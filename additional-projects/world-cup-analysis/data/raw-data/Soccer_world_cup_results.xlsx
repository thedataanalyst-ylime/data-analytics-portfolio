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milysy/Documents/Documents - Emily’s MacBook Pro/03 AI &amp; Data Analytics Bootcamp/04 Labs/02 Lab 2 - 5.03 Introduction to Tableau/Lab 2b World Cup/"/>
    </mc:Choice>
  </mc:AlternateContent>
  <xr:revisionPtr revIDLastSave="0" documentId="13_ncr:9_{006D6D69-63FE-DC45-8F8D-F82070DF536D}" xr6:coauthVersionLast="47" xr6:coauthVersionMax="47" xr10:uidLastSave="{00000000-0000-0000-0000-000000000000}"/>
  <bookViews>
    <workbookView xWindow="0" yWindow="660" windowWidth="29400" windowHeight="16660" firstSheet="2" activeTab="7" xr2:uid="{EDDC020A-5ACE-E042-BC0E-10BE28E734F5}"/>
  </bookViews>
  <sheets>
    <sheet name="Soccer_world_cup_results _CLEAN" sheetId="8" r:id="rId1"/>
    <sheet name="Soccer_world_cup_results" sheetId="1" r:id="rId2"/>
    <sheet name="Chart 1-Highest Scoring Tourney" sheetId="2" r:id="rId3"/>
    <sheet name="Chart 2-Top Scoring Countries" sheetId="4" r:id="rId4"/>
    <sheet name="Chart 3-Most Finals Appearance" sheetId="5" r:id="rId5"/>
    <sheet name="Chart 4-Most Knock-out Appearan" sheetId="6" r:id="rId6"/>
    <sheet name="Chart 5-Scoring Efficiency" sheetId="11" r:id="rId7"/>
    <sheet name="Color Palette" sheetId="9" r:id="rId8"/>
    <sheet name="Sheet2" sheetId="10" r:id="rId9"/>
  </sheets>
  <definedNames>
    <definedName name="_xlnm._FilterDatabase" localSheetId="3" hidden="1">'Chart 2-Top Scoring Countries'!$R$4:$S$87</definedName>
    <definedName name="_xlnm._FilterDatabase" localSheetId="5" hidden="1">'Chart 4-Most Knock-out Appearan'!#REF!</definedName>
    <definedName name="_xlnm._FilterDatabase" localSheetId="1" hidden="1">Soccer_world_cup_results!$A$1:$N$853</definedName>
    <definedName name="_xlnm._FilterDatabase" localSheetId="0" hidden="1">'Soccer_world_cup_results _CLEAN'!$A$1:$L$837</definedName>
    <definedName name="_xlnm.Extract" localSheetId="5">'Chart 4-Most Knock-out Appearan'!$AB$4</definedName>
  </definedNames>
  <calcPr calcId="191029"/>
  <pivotCaches>
    <pivotCache cacheId="0" r:id="rId10"/>
    <pivotCache cacheId="1" r:id="rId11"/>
    <pivotCache cacheId="2" r:id="rId12"/>
    <pivotCache cacheId="3" r:id="rId13"/>
    <pivotCache cacheId="5" r:id="rId1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5" i="11" l="1"/>
  <c r="B4" i="11"/>
  <c r="B6" i="11"/>
  <c r="M84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3" i="1"/>
  <c r="M4" i="1"/>
  <c r="M2" i="1"/>
  <c r="G10" i="2"/>
  <c r="G25" i="2"/>
</calcChain>
</file>

<file path=xl/sharedStrings.xml><?xml version="1.0" encoding="utf-8"?>
<sst xmlns="http://purl.oclc.org/ooxml/spreadsheetml/main" count="18807" uniqueCount="623">
  <si>
    <t>Year</t>
  </si>
  <si>
    <t>Date</t>
  </si>
  <si>
    <t>Time</t>
  </si>
  <si>
    <t>Round</t>
  </si>
  <si>
    <t>Stadium</t>
  </si>
  <si>
    <t>City</t>
  </si>
  <si>
    <t>Country</t>
  </si>
  <si>
    <t>HomeTeam</t>
  </si>
  <si>
    <t>HomeGoals</t>
  </si>
  <si>
    <t>AwayGoals</t>
  </si>
  <si>
    <t>AwayTeam</t>
  </si>
  <si>
    <t>Observation</t>
  </si>
  <si>
    <t xml:space="preserve"> 15:00 </t>
  </si>
  <si>
    <t>Group 1</t>
  </si>
  <si>
    <t>Pocitos</t>
  </si>
  <si>
    <t xml:space="preserve">Montevideo </t>
  </si>
  <si>
    <t>Uruguay</t>
  </si>
  <si>
    <t>France</t>
  </si>
  <si>
    <t>Mexico</t>
  </si>
  <si>
    <t xml:space="preserve"> </t>
  </si>
  <si>
    <t>Group 4</t>
  </si>
  <si>
    <t>Parque Central</t>
  </si>
  <si>
    <t>USA</t>
  </si>
  <si>
    <t>Belgium</t>
  </si>
  <si>
    <t xml:space="preserve"> 12:45 </t>
  </si>
  <si>
    <t>Group 2</t>
  </si>
  <si>
    <t>Yugoslavia</t>
  </si>
  <si>
    <t>Brazil</t>
  </si>
  <si>
    <t xml:space="preserve"> 14:50 </t>
  </si>
  <si>
    <t>Group 3</t>
  </si>
  <si>
    <t>Romania</t>
  </si>
  <si>
    <t>Peru</t>
  </si>
  <si>
    <t xml:space="preserve"> 16:00 </t>
  </si>
  <si>
    <t>Argentina</t>
  </si>
  <si>
    <t xml:space="preserve"> 14:45 </t>
  </si>
  <si>
    <t>Chile</t>
  </si>
  <si>
    <t>Bolivia</t>
  </si>
  <si>
    <t>Paraguay</t>
  </si>
  <si>
    <t xml:space="preserve"> 14:30 </t>
  </si>
  <si>
    <t>Estadio Centenario</t>
  </si>
  <si>
    <t xml:space="preserve"> 12:50 </t>
  </si>
  <si>
    <t xml:space="preserve"> 13:00 </t>
  </si>
  <si>
    <t>Semi-finals</t>
  </si>
  <si>
    <t xml:space="preserve"> 14:15 </t>
  </si>
  <si>
    <t>Final</t>
  </si>
  <si>
    <t xml:space="preserve"> 16:30 </t>
  </si>
  <si>
    <t>Preliminary round</t>
  </si>
  <si>
    <t>Stadio Benito Mussolini</t>
  </si>
  <si>
    <t xml:space="preserve">Turin </t>
  </si>
  <si>
    <t>Italy</t>
  </si>
  <si>
    <t>Austria</t>
  </si>
  <si>
    <t xml:space="preserve">Austria win after extra time </t>
  </si>
  <si>
    <t>Giorgio Ascarelli</t>
  </si>
  <si>
    <t xml:space="preserve">Naples </t>
  </si>
  <si>
    <t>Hungary</t>
  </si>
  <si>
    <t>Egypt</t>
  </si>
  <si>
    <t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</si>
  <si>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</si>
  <si>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</si>
  <si>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</si>
  <si>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</si>
  <si>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</si>
  <si>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</si>
  <si>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>Giovanni Berta</t>
  </si>
  <si>
    <t xml:space="preserve">Florence </t>
  </si>
  <si>
    <t>Germany</t>
  </si>
  <si>
    <t>Luigi Ferraris</t>
  </si>
  <si>
    <t xml:space="preserve">Genoa </t>
  </si>
  <si>
    <t>Spain</t>
  </si>
  <si>
    <t>Nazionale PNF</t>
  </si>
  <si>
    <t xml:space="preserve">Rome </t>
  </si>
  <si>
    <t>Littorio</t>
  </si>
  <si>
    <t xml:space="preserve">Trieste </t>
  </si>
  <si>
    <t>Czechoslovakia</t>
  </si>
  <si>
    <t>Quarter-finals</t>
  </si>
  <si>
    <t xml:space="preserve"> 18:00 </t>
  </si>
  <si>
    <t>Match for third place</t>
  </si>
  <si>
    <t xml:space="preserve"> 17:30 </t>
  </si>
  <si>
    <t xml:space="preserve">Italy win after extra time </t>
  </si>
  <si>
    <t xml:space="preserve"> 17:00 </t>
  </si>
  <si>
    <t>First round</t>
  </si>
  <si>
    <t>Parc des Princes</t>
  </si>
  <si>
    <t xml:space="preserve">Paris </t>
  </si>
  <si>
    <t>Velodrome Municipale</t>
  </si>
  <si>
    <t xml:space="preserve">Reims </t>
  </si>
  <si>
    <t>Dutch East Indies</t>
  </si>
  <si>
    <t>Stade Olympique</t>
  </si>
  <si>
    <t xml:space="preserve">Colombes </t>
  </si>
  <si>
    <t>Stade Municipal</t>
  </si>
  <si>
    <t xml:space="preserve">Toulouse </t>
  </si>
  <si>
    <t>Cuba</t>
  </si>
  <si>
    <t>Stade Vï¿½lodrome</t>
  </si>
  <si>
    <t xml:space="preserve">Marseilles </t>
  </si>
  <si>
    <t>Norway</t>
  </si>
  <si>
    <t>Stade de la Meinau</t>
  </si>
  <si>
    <t xml:space="preserve">Strasbourg </t>
  </si>
  <si>
    <t>Poland</t>
  </si>
  <si>
    <t xml:space="preserve">Brazil win after extra time </t>
  </si>
  <si>
    <t xml:space="preserve"> 18:30 </t>
  </si>
  <si>
    <t>Cavee Verte</t>
  </si>
  <si>
    <t xml:space="preserve">Le Havre </t>
  </si>
  <si>
    <t xml:space="preserve">Czechoslovakia win after extra time </t>
  </si>
  <si>
    <t>Stade du Parc Lescure</t>
  </si>
  <si>
    <t xml:space="preserve">Bordeaux </t>
  </si>
  <si>
    <t>Victor Boucquey</t>
  </si>
  <si>
    <t xml:space="preserve">Lille </t>
  </si>
  <si>
    <t>Fort Carree</t>
  </si>
  <si>
    <t xml:space="preserve">Antibes </t>
  </si>
  <si>
    <t>Maracanï¿½ - Estï¿½dio Jornalista Mï¿½rio Filho</t>
  </si>
  <si>
    <t xml:space="preserve">Rio De Janeiro </t>
  </si>
  <si>
    <t>England</t>
  </si>
  <si>
    <t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</si>
  <si>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</si>
  <si>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</si>
  <si>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</si>
  <si>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</si>
  <si>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</si>
  <si>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</si>
  <si>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</si>
  <si>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 xml:space="preserve"> 15:30 </t>
  </si>
  <si>
    <t xml:space="preserve"> 15:40 </t>
  </si>
  <si>
    <t>Ilha do Retiro</t>
  </si>
  <si>
    <t xml:space="preserve">Recife </t>
  </si>
  <si>
    <t>Group 6</t>
  </si>
  <si>
    <t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</si>
  <si>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</si>
  <si>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</si>
  <si>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</si>
  <si>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</si>
  <si>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</si>
  <si>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</si>
  <si>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>La Pontaise</t>
  </si>
  <si>
    <t xml:space="preserve">Lausanne </t>
  </si>
  <si>
    <t>Germany FR</t>
  </si>
  <si>
    <t>Turkey</t>
  </si>
  <si>
    <t>Korea Republic</t>
  </si>
  <si>
    <t xml:space="preserve"> 18:10 </t>
  </si>
  <si>
    <t>St. Jakob</t>
  </si>
  <si>
    <t xml:space="preserve">Basel </t>
  </si>
  <si>
    <t xml:space="preserve"> 17:50 </t>
  </si>
  <si>
    <t xml:space="preserve"> 16:50 </t>
  </si>
  <si>
    <t xml:space="preserve"> 17:10 </t>
  </si>
  <si>
    <t>Comunale di Cornaredo</t>
  </si>
  <si>
    <t xml:space="preserve">Lugano </t>
  </si>
  <si>
    <t xml:space="preserve">Hungary win after extra time </t>
  </si>
  <si>
    <t xml:space="preserve"> 14:00 </t>
  </si>
  <si>
    <t>Rasunda Stadium</t>
  </si>
  <si>
    <t xml:space="preserve">Solna </t>
  </si>
  <si>
    <t xml:space="preserve"> 19:00 </t>
  </si>
  <si>
    <t>Nya Ullevi</t>
  </si>
  <si>
    <t xml:space="preserve">Gothenburg </t>
  </si>
  <si>
    <t>Soviet Union</t>
  </si>
  <si>
    <t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</si>
  <si>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</si>
  <si>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</si>
  <si>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</si>
  <si>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</si>
  <si>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</si>
  <si>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</si>
  <si>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</si>
  <si>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</si>
  <si>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</si>
  <si>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</si>
  <si>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>Orjans Vall</t>
  </si>
  <si>
    <t xml:space="preserve">Halmstad </t>
  </si>
  <si>
    <t>Northern Ireland</t>
  </si>
  <si>
    <t>Ryavallen</t>
  </si>
  <si>
    <t xml:space="preserve">Boras 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</si>
  <si>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</si>
  <si>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</si>
  <si>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</si>
  <si>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</si>
  <si>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</si>
  <si>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</si>
  <si>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</si>
  <si>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Carlos Dittborn</t>
  </si>
  <si>
    <t xml:space="preserve">Arica </t>
  </si>
  <si>
    <t>Colombia</t>
  </si>
  <si>
    <t>Estadio Sausalito</t>
  </si>
  <si>
    <t xml:space="preserve">Vina Del Mar </t>
  </si>
  <si>
    <t>Estadio El Teniente-Codelco</t>
  </si>
  <si>
    <t xml:space="preserve">Rancagua </t>
  </si>
  <si>
    <t>Bulgaria</t>
  </si>
  <si>
    <t>Nacional</t>
  </si>
  <si>
    <t xml:space="preserve">Santiago De Chile </t>
  </si>
  <si>
    <t xml:space="preserve"> 19:30 </t>
  </si>
  <si>
    <t>Wembley Stadium</t>
  </si>
  <si>
    <t xml:space="preserve">London </t>
  </si>
  <si>
    <t>Hillsborough</t>
  </si>
  <si>
    <t xml:space="preserve">Sheffield </t>
  </si>
  <si>
    <t>Goodison Park</t>
  </si>
  <si>
    <t xml:space="preserve">Liverpool </t>
  </si>
  <si>
    <t>Ayresome Park</t>
  </si>
  <si>
    <t xml:space="preserve">Middlesbrough </t>
  </si>
  <si>
    <t>Korea DPR</t>
  </si>
  <si>
    <t>Old Trafford Stadium</t>
  </si>
  <si>
    <t xml:space="preserve">Manchester </t>
  </si>
  <si>
    <t>Portugal</t>
  </si>
  <si>
    <t>Villa Park</t>
  </si>
  <si>
    <t xml:space="preserve">Birmingham </t>
  </si>
  <si>
    <t>Roker Park Ground</t>
  </si>
  <si>
    <t xml:space="preserve">Sunderland </t>
  </si>
  <si>
    <t>White City</t>
  </si>
  <si>
    <t xml:space="preserve">England win after extra time </t>
  </si>
  <si>
    <t xml:space="preserve"> 12:00 </t>
  </si>
  <si>
    <t>Estadio Azteca</t>
  </si>
  <si>
    <t xml:space="preserve">Mexico City </t>
  </si>
  <si>
    <t>Cuauhtemoc</t>
  </si>
  <si>
    <t xml:space="preserve">Puebla </t>
  </si>
  <si>
    <t>Israel</t>
  </si>
  <si>
    <t>Nou Camp - Estadio Leï¿½n</t>
  </si>
  <si>
    <t xml:space="preserve">Leon </t>
  </si>
  <si>
    <t>Jalisco</t>
  </si>
  <si>
    <t xml:space="preserve">Guadalajara </t>
  </si>
  <si>
    <t>Luis Dosal</t>
  </si>
  <si>
    <t xml:space="preserve">Toluca </t>
  </si>
  <si>
    <t>Morocco</t>
  </si>
  <si>
    <t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</si>
  <si>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</si>
  <si>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</si>
  <si>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</si>
  <si>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</si>
  <si>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</si>
  <si>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</si>
  <si>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</si>
  <si>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</si>
  <si>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</si>
  <si>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</si>
  <si>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</si>
  <si>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</si>
  <si>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</si>
  <si>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</si>
  <si>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</si>
  <si>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</si>
  <si>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</si>
  <si>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</si>
  <si>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</si>
  <si>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</si>
  <si>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</si>
  <si>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</si>
  <si>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</si>
  <si>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>Group B</t>
  </si>
  <si>
    <t>Group A</t>
  </si>
  <si>
    <t>El Monumental - Estadio Monumental Antonio Vespuci</t>
  </si>
  <si>
    <t xml:space="preserve">Buenos Aires </t>
  </si>
  <si>
    <t xml:space="preserve"> 13:45 </t>
  </si>
  <si>
    <t>Estadio Josï¿½ Marï¿½a Minella</t>
  </si>
  <si>
    <t xml:space="preserve">Mar Del Plata </t>
  </si>
  <si>
    <t xml:space="preserve"> 16:45 </t>
  </si>
  <si>
    <t>Arroyito - Estadio Dr. Lisandro de la Torre</t>
  </si>
  <si>
    <t xml:space="preserve">Rosario </t>
  </si>
  <si>
    <t>Tunisia</t>
  </si>
  <si>
    <t xml:space="preserve"> 19:15 </t>
  </si>
  <si>
    <t>Jose Amalfitani</t>
  </si>
  <si>
    <t>Estadio Olï¿½mpico Chateau Carreras</t>
  </si>
  <si>
    <t xml:space="preserve">Cordoba </t>
  </si>
  <si>
    <t>San Martin</t>
  </si>
  <si>
    <t xml:space="preserve">Mendoza </t>
  </si>
  <si>
    <t>IR Iran</t>
  </si>
  <si>
    <t xml:space="preserve"> 15:10 </t>
  </si>
  <si>
    <t>Iran</t>
  </si>
  <si>
    <t xml:space="preserve">Argentina win after extra time </t>
  </si>
  <si>
    <t xml:space="preserve"> 20:00 </t>
  </si>
  <si>
    <t>Camp Nou</t>
  </si>
  <si>
    <t xml:space="preserve">Barcelona </t>
  </si>
  <si>
    <t xml:space="preserve"> 17:15 </t>
  </si>
  <si>
    <t>Estadio Municipal de Balaï¿½dos</t>
  </si>
  <si>
    <t xml:space="preserve">Vigo </t>
  </si>
  <si>
    <t xml:space="preserve"> 21:00 </t>
  </si>
  <si>
    <t>Ramon Sanchez Pizjuan</t>
  </si>
  <si>
    <t xml:space="preserve">Seville </t>
  </si>
  <si>
    <t>Riazor</t>
  </si>
  <si>
    <t xml:space="preserve">La Coruï¿½A </t>
  </si>
  <si>
    <t>Cameroon</t>
  </si>
  <si>
    <t>Nuevo Estadio</t>
  </si>
  <si>
    <t xml:space="preserve">Elche </t>
  </si>
  <si>
    <t>La Rosaleda</t>
  </si>
  <si>
    <t xml:space="preserve">Malaga </t>
  </si>
  <si>
    <t>New Zealand</t>
  </si>
  <si>
    <t>El Molinon</t>
  </si>
  <si>
    <t xml:space="preserve">Gijon </t>
  </si>
  <si>
    <t>Algeria</t>
  </si>
  <si>
    <t>San Mames</t>
  </si>
  <si>
    <t xml:space="preserve">Bilbao </t>
  </si>
  <si>
    <t>Group 5</t>
  </si>
  <si>
    <t>Luis Casanova</t>
  </si>
  <si>
    <t xml:space="preserve">Valencia </t>
  </si>
  <si>
    <t>Honduras</t>
  </si>
  <si>
    <t>Carlos Tartiere</t>
  </si>
  <si>
    <t xml:space="preserve">Oviedo </t>
  </si>
  <si>
    <t xml:space="preserve"> 17:45 </t>
  </si>
  <si>
    <t>Jose Zorrilla</t>
  </si>
  <si>
    <t xml:space="preserve">Valladolid </t>
  </si>
  <si>
    <t>Kuwait</t>
  </si>
  <si>
    <t>La Romareda</t>
  </si>
  <si>
    <t xml:space="preserve">Zaragoza </t>
  </si>
  <si>
    <t>Jose Rico Perez</t>
  </si>
  <si>
    <t xml:space="preserve">Alicante </t>
  </si>
  <si>
    <t>Benito Villamarin</t>
  </si>
  <si>
    <t>Vicente Calderon</t>
  </si>
  <si>
    <t xml:space="preserve">Madrid </t>
  </si>
  <si>
    <t>Sarria</t>
  </si>
  <si>
    <t>Santiago Bernabeu</t>
  </si>
  <si>
    <t xml:space="preserve"> win on penalties (5 - 4) </t>
  </si>
  <si>
    <t>Group C</t>
  </si>
  <si>
    <t>Canada</t>
  </si>
  <si>
    <t>Group D</t>
  </si>
  <si>
    <t>Estadio Irapuato</t>
  </si>
  <si>
    <t xml:space="preserve">Irapuato </t>
  </si>
  <si>
    <t>Estadio Olï¿½mpico Universitario</t>
  </si>
  <si>
    <t>Group F</t>
  </si>
  <si>
    <t>Estadio Universitario</t>
  </si>
  <si>
    <t xml:space="preserve">Monterrey </t>
  </si>
  <si>
    <t>Tres de Marzo</t>
  </si>
  <si>
    <t>Tecnologico</t>
  </si>
  <si>
    <t>Bombonera - Estadio Nemesio Diez</t>
  </si>
  <si>
    <t>Iraq</t>
  </si>
  <si>
    <t>Group E</t>
  </si>
  <si>
    <t>Neza</t>
  </si>
  <si>
    <t xml:space="preserve">Nezahualcoyotl </t>
  </si>
  <si>
    <t>Denmark</t>
  </si>
  <si>
    <t>Estadio Corregidora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</si>
  <si>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</si>
  <si>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</si>
  <si>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</si>
  <si>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</si>
  <si>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</si>
  <si>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</si>
  <si>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</si>
  <si>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</si>
  <si>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Stadio San Nicola</t>
  </si>
  <si>
    <t xml:space="preserve">Bari </t>
  </si>
  <si>
    <t>Renato Dall Ara</t>
  </si>
  <si>
    <t>United Arab Emirates</t>
  </si>
  <si>
    <t>Stadio Olimpico</t>
  </si>
  <si>
    <t>Comunale</t>
  </si>
  <si>
    <t>Stadio delle Alpi</t>
  </si>
  <si>
    <t>Costa Rica</t>
  </si>
  <si>
    <t>Sant Elia</t>
  </si>
  <si>
    <t xml:space="preserve">Cagliari </t>
  </si>
  <si>
    <t>Republic of Ireland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</si>
  <si>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</si>
  <si>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</si>
  <si>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</si>
  <si>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</si>
  <si>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</si>
  <si>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</si>
  <si>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</si>
  <si>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</si>
  <si>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</si>
  <si>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</si>
  <si>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</si>
  <si>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</si>
  <si>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</si>
  <si>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</si>
  <si>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>Cotton Bowl</t>
  </si>
  <si>
    <t xml:space="preserve">Dallas </t>
  </si>
  <si>
    <t>Soldier Field</t>
  </si>
  <si>
    <t xml:space="preserve">Chicago </t>
  </si>
  <si>
    <t xml:space="preserve"> 11:30 </t>
  </si>
  <si>
    <t>Pontiac Silverdome</t>
  </si>
  <si>
    <t xml:space="preserve">Detroit </t>
  </si>
  <si>
    <t>Giants Stadium</t>
  </si>
  <si>
    <t xml:space="preserve">New York/New Jersey </t>
  </si>
  <si>
    <t>Rose Bowl</t>
  </si>
  <si>
    <t xml:space="preserve">Los Angeles </t>
  </si>
  <si>
    <t xml:space="preserve"> 12:30 </t>
  </si>
  <si>
    <t>Citrus Bowl</t>
  </si>
  <si>
    <t xml:space="preserve">Orlando </t>
  </si>
  <si>
    <t>RFK Stadium</t>
  </si>
  <si>
    <t xml:space="preserve">Washington Dc </t>
  </si>
  <si>
    <t>Saudi Arabia</t>
  </si>
  <si>
    <t>Stanford Stadium</t>
  </si>
  <si>
    <t xml:space="preserve">San Francisco </t>
  </si>
  <si>
    <t>Russia</t>
  </si>
  <si>
    <t>Foxboro Stadium</t>
  </si>
  <si>
    <t xml:space="preserve">Boston </t>
  </si>
  <si>
    <t>Greece</t>
  </si>
  <si>
    <t>Nigeria</t>
  </si>
  <si>
    <t xml:space="preserve"> 13:30 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</si>
  <si>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</si>
  <si>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</si>
  <si>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</si>
  <si>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</si>
  <si>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</si>
  <si>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La Mosson</t>
  </si>
  <si>
    <t xml:space="preserve">Montpellier </t>
  </si>
  <si>
    <t>Stade Felix Bollaert</t>
  </si>
  <si>
    <t xml:space="preserve">Lens </t>
  </si>
  <si>
    <t>South Africa</t>
  </si>
  <si>
    <t>La Beaujoire</t>
  </si>
  <si>
    <t xml:space="preserve">Nantes </t>
  </si>
  <si>
    <t>Stade de Gerland</t>
  </si>
  <si>
    <t xml:space="preserve">Lyon </t>
  </si>
  <si>
    <t>Group H</t>
  </si>
  <si>
    <t>Japan</t>
  </si>
  <si>
    <t>Stade Geoffroy Guichard</t>
  </si>
  <si>
    <t xml:space="preserve">Saint-Etienne </t>
  </si>
  <si>
    <t>Jamaica</t>
  </si>
  <si>
    <t>Croatia</t>
  </si>
  <si>
    <t>Group G</t>
  </si>
  <si>
    <t xml:space="preserve">Argentina win on penalties (4 - 3) </t>
  </si>
  <si>
    <t xml:space="preserve">Brazil win on penalties (4 - 2) </t>
  </si>
  <si>
    <t xml:space="preserve"> 20:30 </t>
  </si>
  <si>
    <t>Seoul World Cup Stadium</t>
  </si>
  <si>
    <t xml:space="preserve">Seoul </t>
  </si>
  <si>
    <t>Korea/Japan</t>
  </si>
  <si>
    <t>Senegal</t>
  </si>
  <si>
    <t>Munsu Football Stadium</t>
  </si>
  <si>
    <t xml:space="preserve">Ulsan </t>
  </si>
  <si>
    <t>Niigata Stadium Big Swan</t>
  </si>
  <si>
    <t xml:space="preserve">Niigata </t>
  </si>
  <si>
    <t>Sapporo Dome</t>
  </si>
  <si>
    <t xml:space="preserve">Sapporo </t>
  </si>
  <si>
    <t>Kashima Stadium</t>
  </si>
  <si>
    <t xml:space="preserve">Ibaraki </t>
  </si>
  <si>
    <t>Busan Asiad Main Stadium</t>
  </si>
  <si>
    <t xml:space="preserve">Busan </t>
  </si>
  <si>
    <t>Saitama Stadium 2002</t>
  </si>
  <si>
    <t xml:space="preserve">Saitama </t>
  </si>
  <si>
    <t>Gwangju World Cup Stadium</t>
  </si>
  <si>
    <t xml:space="preserve">Gwangju </t>
  </si>
  <si>
    <t>Slovenia</t>
  </si>
  <si>
    <t>Ecuador</t>
  </si>
  <si>
    <t>China PR</t>
  </si>
  <si>
    <t>Kobe Wing Stadium</t>
  </si>
  <si>
    <t xml:space="preserve">Kobe </t>
  </si>
  <si>
    <t>Suwon World Cup Stadium</t>
  </si>
  <si>
    <t xml:space="preserve">Suwon </t>
  </si>
  <si>
    <t>Daegu World Cup Stadium</t>
  </si>
  <si>
    <t xml:space="preserve">Daegu </t>
  </si>
  <si>
    <t>Jeonju World Cup Stadium</t>
  </si>
  <si>
    <t xml:space="preserve">Jeonju </t>
  </si>
  <si>
    <t>Jeju World Cup Stadium</t>
  </si>
  <si>
    <t xml:space="preserve">Jeju </t>
  </si>
  <si>
    <t>Incheon Football Stadium</t>
  </si>
  <si>
    <t xml:space="preserve">Incheon </t>
  </si>
  <si>
    <t>International Stadium Yokohama</t>
  </si>
  <si>
    <t xml:space="preserve">Yokohama </t>
  </si>
  <si>
    <t>Miyagi Stadium</t>
  </si>
  <si>
    <t xml:space="preserve">Rifu </t>
  </si>
  <si>
    <t>Oita Stadium Big Eye</t>
  </si>
  <si>
    <t xml:space="preserve">Oita </t>
  </si>
  <si>
    <t>Shizuoka Stadium Ecopa</t>
  </si>
  <si>
    <t xml:space="preserve">Shizuoka </t>
  </si>
  <si>
    <t>Osaka Nagai Stadium</t>
  </si>
  <si>
    <t xml:space="preserve">Osaka </t>
  </si>
  <si>
    <t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</si>
  <si>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</si>
  <si>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</si>
  <si>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</si>
  <si>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</si>
  <si>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</si>
  <si>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</si>
  <si>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FIFA World Cup Stadium, Gelsenkirchen</t>
  </si>
  <si>
    <t>FIFA World Cup Stadium, Frankfurt</t>
  </si>
  <si>
    <t>FIFA World Cup Stadium, Dortmund</t>
  </si>
  <si>
    <t>Trinidad and Tobago</t>
  </si>
  <si>
    <t>FIFA World Cup Stadium, Hamburg</t>
  </si>
  <si>
    <t>Cï¿½te d'Ivoire</t>
  </si>
  <si>
    <t>Zentralstadion</t>
  </si>
  <si>
    <t xml:space="preserve">Leipzig </t>
  </si>
  <si>
    <t>Serbia and Montenegro</t>
  </si>
  <si>
    <t>Franken-Stadion</t>
  </si>
  <si>
    <t xml:space="preserve">Nuremberg </t>
  </si>
  <si>
    <t>FIFA World Cup Stadium, Cologne</t>
  </si>
  <si>
    <t xml:space="preserve">Cologne </t>
  </si>
  <si>
    <t>Angola</t>
  </si>
  <si>
    <t>Fritz-Walter-Stadion</t>
  </si>
  <si>
    <t xml:space="preserve">Kaiserslautern </t>
  </si>
  <si>
    <t>Czech Republic</t>
  </si>
  <si>
    <t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</si>
  <si>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</si>
  <si>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</si>
  <si>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</si>
  <si>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</si>
  <si>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</si>
  <si>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</si>
  <si>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</si>
  <si>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</si>
  <si>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</si>
  <si>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</si>
  <si>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</si>
  <si>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Cape Town Stadium</t>
  </si>
  <si>
    <t xml:space="preserve">Cape Town </t>
  </si>
  <si>
    <t>Port Elizabeth Stadium</t>
  </si>
  <si>
    <t xml:space="preserve">Nelson Mandela Bay/Port Elizabeth </t>
  </si>
  <si>
    <t>Ellis Park Stadium</t>
  </si>
  <si>
    <t>Royal Bafokeng Sports Palace</t>
  </si>
  <si>
    <t xml:space="preserve">Phokeng </t>
  </si>
  <si>
    <t>Peter Mokaba Stadium</t>
  </si>
  <si>
    <t xml:space="preserve">Polokwane </t>
  </si>
  <si>
    <t>Loftus Versfeld Stadium</t>
  </si>
  <si>
    <t xml:space="preserve">Tshwane/Pretoria </t>
  </si>
  <si>
    <t>Serbia</t>
  </si>
  <si>
    <t>Durban Stadium</t>
  </si>
  <si>
    <t xml:space="preserve">Durban </t>
  </si>
  <si>
    <t>Free State Stadium</t>
  </si>
  <si>
    <t xml:space="preserve">Mangaung/Bloemfontein </t>
  </si>
  <si>
    <t>Slovakia</t>
  </si>
  <si>
    <t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</si>
  <si>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</si>
  <si>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</si>
  <si>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</si>
  <si>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</si>
  <si>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</si>
  <si>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</si>
  <si>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Estadio das Dunas</t>
  </si>
  <si>
    <t xml:space="preserve">Natal </t>
  </si>
  <si>
    <t>Arena Fonte Nova</t>
  </si>
  <si>
    <t xml:space="preserve">Salvador </t>
  </si>
  <si>
    <t>Arena Pantanal</t>
  </si>
  <si>
    <t xml:space="preserve">Cuiaba </t>
  </si>
  <si>
    <t>Estadio Mineirao</t>
  </si>
  <si>
    <t>Estadio Castelao</t>
  </si>
  <si>
    <t xml:space="preserve">Fortaleza </t>
  </si>
  <si>
    <t>Arena Amazonia</t>
  </si>
  <si>
    <t xml:space="preserve">Manaus </t>
  </si>
  <si>
    <t xml:space="preserve"> 22:00 </t>
  </si>
  <si>
    <t>Arena Pernambuco</t>
  </si>
  <si>
    <t>Estadio Nacional</t>
  </si>
  <si>
    <t xml:space="preserve">Brasilia </t>
  </si>
  <si>
    <t>Estadio Beira-Rio</t>
  </si>
  <si>
    <t>Estadio do Maracana</t>
  </si>
  <si>
    <t>Bosnia and Herzegovina</t>
  </si>
  <si>
    <t>Arena da Baixada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</si>
  <si>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</si>
  <si>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</si>
  <si>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</si>
  <si>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</si>
  <si>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</si>
  <si>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Highest Scoring Tourney</t>
  </si>
  <si>
    <t>Row Labels</t>
  </si>
  <si>
    <t>Grand Total</t>
  </si>
  <si>
    <t>Sum of HomeGoals</t>
  </si>
  <si>
    <t>Sum of AwayGoals</t>
  </si>
  <si>
    <t>Highest Scoring Year</t>
  </si>
  <si>
    <t>Top Scoring Countries</t>
  </si>
  <si>
    <t>Count of Time</t>
  </si>
  <si>
    <t>Count of Games</t>
  </si>
  <si>
    <t>Values</t>
  </si>
  <si>
    <t>Home Team</t>
  </si>
  <si>
    <t>Away Team</t>
  </si>
  <si>
    <t>Team</t>
  </si>
  <si>
    <t>Goals</t>
  </si>
  <si>
    <t>Sum of Goals</t>
  </si>
  <si>
    <t>Combine Germany &amp; Iran</t>
  </si>
  <si>
    <t>Sum of Sum of Goals</t>
  </si>
  <si>
    <t>Group by updated county names and Sort</t>
  </si>
  <si>
    <t>Most Finals Appearance</t>
  </si>
  <si>
    <t>Most Knock-out Appearances</t>
  </si>
  <si>
    <t>Sum of Total Goals</t>
  </si>
  <si>
    <t>Average # of Goals</t>
  </si>
  <si>
    <t>Most goals per games</t>
  </si>
  <si>
    <t>Highlights</t>
  </si>
  <si>
    <t>Highest Scoring Year, Most # of matches</t>
  </si>
  <si>
    <t>Count of Finals Appearances</t>
  </si>
  <si>
    <t>Sum of Count of Finals Appearances</t>
  </si>
  <si>
    <t>Combine all columns</t>
  </si>
  <si>
    <t>Deleted</t>
  </si>
  <si>
    <t>Action Taken</t>
  </si>
  <si>
    <t>World Cup </t>
  </si>
  <si>
    <t>Goals Scored</t>
  </si>
  <si>
    <t>Top Scorer (Goals)</t>
  </si>
  <si>
    <t>Final Position</t>
  </si>
  <si>
    <t>Edmund Conen (4)</t>
  </si>
  <si>
    <t>3rd Place</t>
  </si>
  <si>
    <t>Josef Gauchel / Wilhelm Hahnemann (1)</t>
  </si>
  <si>
    <t>First Round</t>
  </si>
  <si>
    <t>Max Morlock (6)</t>
  </si>
  <si>
    <t>Champions</t>
  </si>
  <si>
    <t>Helmut Rahn (6)</t>
  </si>
  <si>
    <t>4th Place</t>
  </si>
  <si>
    <t>Uwe Seeler / Albert Brülls (2)</t>
  </si>
  <si>
    <t>Helmut Haller (6)</t>
  </si>
  <si>
    <t>Runners-up</t>
  </si>
  <si>
    <t>Gerd Müller (10)</t>
  </si>
  <si>
    <t>Gerd Müller (4)</t>
  </si>
  <si>
    <t>Karl-Heinz Rummenigge (3)</t>
  </si>
  <si>
    <t>Second Round</t>
  </si>
  <si>
    <t>Karl-Heinz Rummenigge (5)</t>
  </si>
  <si>
    <t>Rudi Völler (3)</t>
  </si>
  <si>
    <t>Lothar Matthäus (4)</t>
  </si>
  <si>
    <t>Jürgen Klinsmann (5)</t>
  </si>
  <si>
    <t>Oliver Bierhoff / Jürgen Klinsmann (3)</t>
  </si>
  <si>
    <t>Miroslav Klose (5)</t>
  </si>
  <si>
    <t>Thomas Müller (5)</t>
  </si>
  <si>
    <t>Marco Reus / Toni Kroos (1)</t>
  </si>
  <si>
    <t>Group Stage</t>
  </si>
  <si>
    <t>Niclas Füllkrug / Kai Havertz (2)</t>
  </si>
  <si>
    <t>#F55A00</t>
  </si>
  <si>
    <t>1st place</t>
  </si>
  <si>
    <t>Dark Orange</t>
  </si>
  <si>
    <t>#FB8C00</t>
  </si>
  <si>
    <t>2nd place</t>
  </si>
  <si>
    <t>Orange</t>
  </si>
  <si>
    <t>#FFB74D</t>
  </si>
  <si>
    <t>3rd place</t>
  </si>
  <si>
    <t>Light Orange</t>
  </si>
  <si>
    <t>#D3D3D3</t>
  </si>
  <si>
    <t>Others</t>
  </si>
  <si>
    <t>Light Gray</t>
  </si>
  <si>
    <t>Country (Clean)</t>
  </si>
  <si>
    <t>Clean-up Germany</t>
  </si>
  <si>
    <t>Y</t>
  </si>
  <si>
    <t>N</t>
  </si>
  <si>
    <t>To count the number of Year(s)</t>
  </si>
  <si>
    <t>Count</t>
  </si>
  <si>
    <t>Note: Numbers will be higher due to more "knockout stage" criteria</t>
  </si>
  <si>
    <t>Hex</t>
  </si>
  <si>
    <t>Place</t>
  </si>
  <si>
    <t>Color</t>
  </si>
  <si>
    <t>To be used in Tableau</t>
  </si>
  <si>
    <t>For All knockout-stage Rounds</t>
  </si>
  <si>
    <t>For selected Rounds only (used in Tableau)</t>
  </si>
  <si>
    <t>For All Rounds</t>
  </si>
  <si>
    <t>For Selected Rounds only</t>
  </si>
  <si>
    <t>(All)</t>
  </si>
  <si>
    <t>(Multiple Items)</t>
  </si>
  <si>
    <t>Most Efficient</t>
  </si>
  <si>
    <t>Home</t>
  </si>
  <si>
    <t>Away</t>
  </si>
  <si>
    <t>Average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</si>
</sst>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4"/>
      <color theme="7" tint="-0.499984740745262"/>
      <name val="Helvetica"/>
      <family val="2"/>
    </font>
    <font>
      <b/>
      <sz val="12"/>
      <color theme="7" tint="-0.499984740745262"/>
      <name val="Helvetica"/>
      <family val="2"/>
    </font>
    <font>
      <sz val="14"/>
      <color theme="1"/>
      <name val="Helvetica"/>
      <family val="2"/>
    </font>
    <font>
      <sz val="12"/>
      <color rgb="FFC00000"/>
      <name val="Helvetica"/>
      <family val="2"/>
    </font>
    <font>
      <sz val="12"/>
      <color rgb="FF000000"/>
      <name val="Helvetica"/>
      <family val="2"/>
    </font>
    <font>
      <b/>
      <sz val="12"/>
      <color rgb="FF00B050"/>
      <name val="Helvetica"/>
      <family val="2"/>
    </font>
    <font>
      <b/>
      <sz val="14"/>
      <color rgb="FF0A0A0A"/>
      <name val="Helvetica"/>
      <family val="2"/>
    </font>
    <font>
      <sz val="14"/>
      <color rgb="FF0A0A0A"/>
      <name val="Helvetic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8" fillId="0" borderId="0" xfId="0" applyFont="1"/>
    <xf numFmtId="15" fontId="18" fillId="0" borderId="0" xfId="0" applyNumberFormat="1" applyFont="1"/>
    <xf numFmtId="0" fontId="19" fillId="0" borderId="0" xfId="0" applyFont="1"/>
    <xf numFmtId="0" fontId="20" fillId="0" borderId="0" xfId="0" applyFont="1"/>
    <xf numFmtId="0" fontId="18" fillId="0" borderId="0" xfId="0" pivotButton="1" applyFont="1"/>
    <xf numFmtId="0" fontId="18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33" borderId="0" xfId="0" applyFont="1" applyFill="1"/>
    <xf numFmtId="2" fontId="0" fillId="0" borderId="0" xfId="0" applyNumberFormat="1"/>
    <xf numFmtId="0" fontId="18" fillId="34" borderId="0" xfId="0" applyFont="1" applyFill="1"/>
    <xf numFmtId="0" fontId="18" fillId="34" borderId="0" xfId="0" applyFont="1" applyFill="1" applyAlignment="1">
      <alignment horizontal="left"/>
    </xf>
    <xf numFmtId="0" fontId="24" fillId="0" borderId="0" xfId="0" applyFont="1"/>
    <xf numFmtId="0" fontId="25" fillId="0" borderId="0" xfId="0" applyFont="1"/>
    <xf numFmtId="0" fontId="18" fillId="0" borderId="0" xfId="0" applyFont="1" applyAlignment="1">
      <alignment horizontal="left" indent="1"/>
    </xf>
    <xf numFmtId="0" fontId="18" fillId="0" borderId="0" xfId="0" applyFont="1" applyFill="1" applyAlignment="1">
      <alignment horizontal="left"/>
    </xf>
    <xf numFmtId="0" fontId="26" fillId="0" borderId="0" xfId="0" applyFont="1"/>
    <xf numFmtId="0" fontId="27" fillId="0" borderId="0" xfId="0" applyFont="1"/>
    <xf numFmtId="0" fontId="18" fillId="0" borderId="0" xfId="0" applyFont="1" applyAlignment="1">
      <alignment horizontal="left" indent="2"/>
    </xf>
    <xf numFmtId="0" fontId="18" fillId="0" borderId="0" xfId="0" applyFont="1" applyFill="1" applyAlignment="1">
      <alignment horizontal="left" indent="1"/>
    </xf>
    <xf numFmtId="0" fontId="18" fillId="35" borderId="0" xfId="0" applyFont="1" applyFill="1"/>
    <xf numFmtId="43" fontId="18" fillId="35" borderId="0" xfId="42" applyFont="1" applyFill="1"/>
    <xf numFmtId="0" fontId="19" fillId="35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7">
    <dxf>
      <font>
        <color rgb="FF9C0006"/>
      </font>
      <fill>
        <patternFill>
          <bgColor rgb="FFFFC7CE"/>
        </patternFill>
      </fill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Helvetica"/>
        <family val="2"/>
        <scheme val="none"/>
      </font>
    </dxf>
    <dxf>
      <font>
        <name val="Helvetica"/>
        <family val="2"/>
        <scheme val="none"/>
      </font>
    </dxf>
    <dxf>
      <font>
        <name val="Helvetica"/>
        <family val="2"/>
        <scheme val="none"/>
      </font>
    </dxf>
    <dxf>
      <font>
        <name val="Helvetica"/>
        <family val="2"/>
        <scheme val="none"/>
      </font>
    </dxf>
    <dxf>
      <font>
        <name val="Helvetica"/>
        <family val="2"/>
        <scheme val="none"/>
      </font>
    </dxf>
    <dxf>
      <font>
        <name val="Helvetica"/>
        <family val="2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pivotCacheDefinition" Target="pivotCache/pivotCacheDefinition4.xml"/><Relationship Id="rId1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pivotCacheDefinition" Target="pivotCache/pivotCacheDefinition3.xml"/><Relationship Id="rId17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pivotCacheDefinition" Target="pivotCache/pivotCacheDefinition2.xml"/><Relationship Id="rId5" Type="http://purl.oclc.org/ooxml/officeDocument/relationships/worksheet" Target="worksheets/sheet5.xml"/><Relationship Id="rId15" Type="http://purl.oclc.org/ooxml/officeDocument/relationships/theme" Target="theme/theme1.xml"/><Relationship Id="rId10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5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4T23:11:13.78000016324222325" createdVersion="8" refreshedVersion="8" minRefreshableVersion="3" recordCount="836" xr:uid="{99EEE2D8-8277-EF4F-A501-AE288104E476}">
  <cacheSource type="worksheet">
    <worksheetSource ref="A1:L837" sheet="Soccer_world_cup_results _CLEAN"/>
  </cacheSource>
  <cacheFields count="13">
    <cacheField name="Year" numFmtId="0">
      <sharedItems containsSemiMixedTypes="0" containsString="0" containsNumber="1" containsInteger="1" minValue="1930" maxValue="2014" count="20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</sharedItems>
    </cacheField>
    <cacheField name="Date" numFmtId="15">
      <sharedItems containsSemiMixedTypes="0" containsNonDate="0" containsDate="1" containsString="0" minDate="1950-06-24T00:00:00" maxDate="2038-06-20T00:00:00"/>
    </cacheField>
    <cacheField name="Time" numFmtId="0">
      <sharedItems/>
    </cacheField>
    <cacheField name="Round" numFmtId="0">
      <sharedItems count="23">
        <s v="Group 1"/>
        <s v="Group 4"/>
        <s v="Group 2"/>
        <s v="Group 3"/>
        <s v="Semi-finals"/>
        <s v="Final"/>
        <s v="Preliminary round"/>
        <s v="Quarter-finals"/>
        <s v="Match for third place"/>
        <s v="First round"/>
        <s v="Group 6"/>
        <s v="Group B"/>
        <s v="Group A"/>
        <s v="Group 5"/>
        <s v="Group C"/>
        <s v="Group D"/>
        <s v="Group F"/>
        <s v="Group E"/>
        <s v="Round of 16"/>
        <s v="Group H"/>
        <s v="Group G"/>
        <s v="Third place"/>
        <s v="Play-off for third place"/>
      </sharedItems>
    </cacheField>
    <cacheField name="Stadium" numFmtId="0">
      <sharedItems/>
    </cacheField>
    <cacheField name="City" numFmtId="0">
      <sharedItems/>
    </cacheField>
    <cacheField name="Country" numFmtId="0">
      <sharedItems count="15">
        <s v="Uruguay"/>
        <s v="Italy"/>
        <s v="France"/>
        <s v="Brazil"/>
        <s v="Switzerland"/>
        <s v="Sweden"/>
        <s v="Chile"/>
        <s v="England"/>
        <s v="Mexico"/>
        <s v="Germany"/>
        <s v="Argentina"/>
        <s v="Spain"/>
        <s v="USA"/>
        <s v="Korea/Japan"/>
        <s v="South Africa"/>
      </sharedItems>
    </cacheField>
    <cacheField name="HomeTeam" numFmtId="0">
      <sharedItems count="78">
        <s v="France"/>
        <s v="USA"/>
        <s v="Yugoslavia"/>
        <s v="Romania"/>
        <s v="Argentina"/>
        <s v="Chile"/>
        <s v="Uruguay"/>
        <s v="Brazil"/>
        <s v="Paraguay"/>
        <s v="Austria"/>
        <s v="Hungary"/>
        <s v="Switzerland"/>
        <s v="Sweden"/>
        <s v="Germany"/>
        <s v="Spain"/>
        <s v="Italy"/>
        <s v="Czechoslovakia"/>
        <s v="Cuba"/>
        <s v="England"/>
        <s v="Germany FR"/>
        <s v="Turkey"/>
        <s v="Soviet Union"/>
        <s v="Northern Ireland"/>
        <s v="Mexico"/>
        <s v="Wales"/>
        <s v="Portugal"/>
        <s v="Korea DPR"/>
        <s v="Peru"/>
        <s v="Belgium"/>
        <s v="Bulgaria"/>
        <s v="German DR"/>
        <s v="Zaire"/>
        <s v="Poland"/>
        <s v="Australia"/>
        <s v="Scotland"/>
        <s v="Netherlands"/>
        <s v="Haiti"/>
        <s v="Tunisia"/>
        <s v="Algeria"/>
        <s v="Honduras"/>
        <s v="Canada"/>
        <s v="Morocco"/>
        <s v="Korea Republic"/>
        <s v="Iraq"/>
        <s v="Denmark"/>
        <s v="United Arab Emirates"/>
        <s v="Costa Rica"/>
        <s v="Cameroon"/>
        <s v="Republic of Ireland"/>
        <s v="Colombia"/>
        <s v="Norway"/>
        <s v="Nigeria"/>
        <s v="Saudi Arabia"/>
        <s v="Bolivia"/>
        <s v="Russia"/>
        <s v="Greece"/>
        <s v="Jamaica"/>
        <s v="South Africa"/>
        <s v="Japan"/>
        <s v="Croatia"/>
        <s v="China PR"/>
        <s v="Senegal"/>
        <s v="Slovenia"/>
        <s v="Ecuador"/>
        <s v="Trinidad and Tobago"/>
        <s v="Serbia and Montenegro"/>
        <s v="Angola"/>
        <s v="Czech Republic"/>
        <s v="Togo"/>
        <s v="Iran"/>
        <s v="Cï¿½te d'Ivoire"/>
        <s v="Ghana"/>
        <s v="Ukraine"/>
        <s v="Serbia"/>
        <s v="New Zealand"/>
        <s v="Slovakia"/>
        <s v="IR Iran"/>
        <s v="Bosnia and Herzegovina"/>
      </sharedItems>
    </cacheField>
    <cacheField name="HomeGoals" numFmtId="0">
      <sharedItems containsSemiMixedTypes="0" containsString="0" containsNumber="1" containsInteger="1" minValue="0" maxValue="10"/>
    </cacheField>
    <cacheField name="AwayGoals" numFmtId="0">
      <sharedItems containsSemiMixedTypes="0" containsString="0" containsNumber="1" containsInteger="1" minValue="0" maxValue="7"/>
    </cacheField>
    <cacheField name="AwayTeam" numFmtId="0">
      <sharedItems count="83">
        <s v="Mexico"/>
        <s v="Belgium"/>
        <s v="Brazil"/>
        <s v="Peru"/>
        <s v="France"/>
        <s v="Bolivia"/>
        <s v="Paraguay"/>
        <s v="Romania"/>
        <s v="Chile"/>
        <s v="USA"/>
        <s v="Yugoslavia"/>
        <s v="Argentina"/>
        <s v="Egypt"/>
        <s v="Netherlands"/>
        <s v="Switzerland"/>
        <s v="Sweden"/>
        <s v="Spain"/>
        <s v="Hungary"/>
        <s v="Austria"/>
        <s v="Germany"/>
        <s v="Czechoslovakia"/>
        <s v="Dutch East Indies"/>
        <s v="Norway"/>
        <s v="Poland"/>
        <s v="Cuba"/>
        <s v="Italy"/>
        <s v="England"/>
        <s v="Scotland"/>
        <s v="Turkey"/>
        <s v="Korea Republic"/>
        <s v="Germany FR"/>
        <s v="Uruguay"/>
        <s v="Wales"/>
        <s v="Northern Ireland"/>
        <s v="Soviet Union"/>
        <s v="Colombia"/>
        <s v="Bulgaria"/>
        <s v="Korea DPR"/>
        <s v="Portugal"/>
        <s v="Israel"/>
        <s v="Morocco"/>
        <s v="El Salvador"/>
        <s v="Australia"/>
        <s v="Haiti"/>
        <s v="German DR"/>
        <s v="Zaire"/>
        <s v="IR Iran"/>
        <s v="Tunisia"/>
        <s v="Iran"/>
        <s v="Cameroon"/>
        <s v="New Zealand"/>
        <s v="Algeria"/>
        <s v="Honduras"/>
        <s v="Kuwait"/>
        <s v="Iraq"/>
        <s v="Denmark"/>
        <s v="Canada"/>
        <s v="Republic of Ireland"/>
        <s v="United Arab Emirates"/>
        <s v="Costa Rica"/>
        <s v="Saudi Arabia"/>
        <s v="Russia"/>
        <s v="Greece"/>
        <s v="Nigeria"/>
        <s v="South Africa"/>
        <s v="Japan"/>
        <s v="Croatia"/>
        <s v="Jamaica"/>
        <s v="Senegal"/>
        <s v="Slovenia"/>
        <s v="Ecuador"/>
        <s v="China PR"/>
        <s v="Cï¿½te d'Ivoire"/>
        <s v="Czech Republic"/>
        <s v="Ghana"/>
        <s v="Togo"/>
        <s v="Ukraine"/>
        <s v="Trinidad and Tobago"/>
        <s v="Serbia and Montenegro"/>
        <s v="Angola"/>
        <s v="Slovakia"/>
        <s v="Serbia"/>
        <s v="Bosnia and Herzegovina"/>
      </sharedItems>
    </cacheField>
    <cacheField name="Observation" numFmtId="0">
      <sharedItems/>
    </cacheField>
    <cacheField name="Total Goals" numFmtId="0" formula="HomeGoals+AwayGoal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4T23:20:55.97999996971339275" createdVersion="8" refreshedVersion="8" minRefreshableVersion="3" recordCount="161" xr:uid="{1ACFB71F-697E-C34E-9997-43177003A66B}">
  <cacheSource type="worksheet">
    <worksheetSource ref="H4:J165" sheet="Chart 2-Top Scoring Countries"/>
  </cacheSource>
  <cacheFields count="3">
    <cacheField name="Team" numFmtId="0">
      <sharedItems/>
    </cacheField>
    <cacheField name="Country" numFmtId="0">
      <sharedItems count="83">
        <s v="Algeria"/>
        <s v="Angola"/>
        <s v="Argentina"/>
        <s v="Australia"/>
        <s v="Austria"/>
        <s v="Belgium"/>
        <s v="Bolivia"/>
        <s v="Bosnia and Herzegovina"/>
        <s v="Brazil"/>
        <s v="Bulgaria"/>
        <s v="Cameroon"/>
        <s v="Canada"/>
        <s v="Chile"/>
        <s v="China PR"/>
        <s v="Cï¿½te d'Ivoire"/>
        <s v="Colombia"/>
        <s v="Costa Rica"/>
        <s v="Croatia"/>
        <s v="Cuba"/>
        <s v="Czech Republic"/>
        <s v="Czechoslovakia"/>
        <s v="Denmark"/>
        <s v="Ecuador"/>
        <s v="England"/>
        <s v="France"/>
        <s v="German DR"/>
        <s v="Germany"/>
        <s v="Germany FR"/>
        <s v="Ghana"/>
        <s v="Greece"/>
        <s v="Haiti"/>
        <s v="Honduras"/>
        <s v="Hungary"/>
        <s v="IR Iran"/>
        <s v="Iran"/>
        <s v="Iraq"/>
        <s v="Italy"/>
        <s v="Jamaica"/>
        <s v="Japan"/>
        <s v="Korea DPR"/>
        <s v="Korea Republic"/>
        <s v="Mexico"/>
        <s v="Morocco"/>
        <s v="Netherlands"/>
        <s v="New Zealand"/>
        <s v="Nigeria"/>
        <s v="Northern Ireland"/>
        <s v="Norway"/>
        <s v="Paraguay"/>
        <s v="Peru"/>
        <s v="Poland"/>
        <s v="Portugal"/>
        <s v="Republic of Ireland"/>
        <s v="Romania"/>
        <s v="Russia"/>
        <s v="Saudi Arabia"/>
        <s v="Scotland"/>
        <s v="Senegal"/>
        <s v="Serbia"/>
        <s v="Serbia and Montenegro"/>
        <s v="Slovakia"/>
        <s v="Slovenia"/>
        <s v="South Africa"/>
        <s v="Soviet Union"/>
        <s v="Spain"/>
        <s v="Sweden"/>
        <s v="Switzerland"/>
        <s v="Togo"/>
        <s v="Trinidad and Tobago"/>
        <s v="Tunisia"/>
        <s v="Turkey"/>
        <s v="Ukraine"/>
        <s v="United Arab Emirates"/>
        <s v="Uruguay"/>
        <s v="USA"/>
        <s v="Wales"/>
        <s v="Yugoslavia"/>
        <s v="Zaire"/>
        <s v="Dutch East Indies"/>
        <s v="Egypt"/>
        <s v="El Salvador"/>
        <s v="Israel"/>
        <s v="Kuwait"/>
      </sharedItems>
    </cacheField>
    <cacheField name="Goals" numFmtId="0">
      <sharedItems containsSemiMixedTypes="0" containsString="0" containsNumber="1" containsInteger="1" minValue="0" maxValue="1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4T23:34:23.50999991409480300" createdVersion="8" refreshedVersion="8" minRefreshableVersion="3" recordCount="83" xr:uid="{D8B8F544-3F6F-594A-8108-9491A9C95204}">
  <cacheSource type="worksheet">
    <worksheetSource ref="R4:S87" sheet="Chart 2-Top Scoring Countries"/>
  </cacheSource>
  <cacheFields count="2">
    <cacheField name="Country" numFmtId="0">
      <sharedItems count="80">
        <s v="Algeria"/>
        <s v="Angola"/>
        <s v="Argentina"/>
        <s v="Australia"/>
        <s v="Austria"/>
        <s v="Belgium"/>
        <s v="Bolivia"/>
        <s v="Bosnia and Herzegovina"/>
        <s v="Brazil"/>
        <s v="Bulgaria"/>
        <s v="Cameroon"/>
        <s v="Canada"/>
        <s v="Chile"/>
        <s v="China PR"/>
        <s v="Cï¿½te d'Ivoire"/>
        <s v="Colombia"/>
        <s v="Costa Rica"/>
        <s v="Croatia"/>
        <s v="Cuba"/>
        <s v="Czech Republic"/>
        <s v="Czechoslovakia"/>
        <s v="Denmark"/>
        <s v="Dutch East Indies"/>
        <s v="Ecuador"/>
        <s v="Egypt"/>
        <s v="El Salvador"/>
        <s v="England"/>
        <s v="France"/>
        <s v="Germany"/>
        <s v="Ghana"/>
        <s v="Greece"/>
        <s v="Haiti"/>
        <s v="Honduras"/>
        <s v="Hungary"/>
        <s v="Iran"/>
        <s v="Iraq"/>
        <s v="Israel"/>
        <s v="Italy"/>
        <s v="Jamaica"/>
        <s v="Japan"/>
        <s v="Korea DPR"/>
        <s v="Korea Republic"/>
        <s v="Kuwait"/>
        <s v="Mexico"/>
        <s v="Morocco"/>
        <s v="Netherlands"/>
        <s v="New Zealand"/>
        <s v="Nigeria"/>
        <s v="Northern Ireland"/>
        <s v="Norway"/>
        <s v="Paraguay"/>
        <s v="Peru"/>
        <s v="Poland"/>
        <s v="Portugal"/>
        <s v="Republic of Ireland"/>
        <s v="Romania"/>
        <s v="Russia"/>
        <s v="Saudi Arabia"/>
        <s v="Scotland"/>
        <s v="Senegal"/>
        <s v="Serbia"/>
        <s v="Serbia and Montenegro"/>
        <s v="Slovakia"/>
        <s v="Slovenia"/>
        <s v="South Africa"/>
        <s v="Soviet Union"/>
        <s v="Spain"/>
        <s v="Sweden"/>
        <s v="Switzerland"/>
        <s v="Togo"/>
        <s v="Trinidad and Tobago"/>
        <s v="Tunisia"/>
        <s v="Turkey"/>
        <s v="Ukraine"/>
        <s v="United Arab Emirates"/>
        <s v="Uruguay"/>
        <s v="USA"/>
        <s v="Wales"/>
        <s v="Yugoslavia"/>
        <s v="Zaire"/>
      </sharedItems>
    </cacheField>
    <cacheField name="Sum of Goals" numFmtId="0">
      <sharedItems containsSemiMixedTypes="0" containsString="0" containsNumber="1" containsInteger="1" minValue="0" maxValue="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5T22:37:20.70900001097470200" createdVersion="8" refreshedVersion="8" minRefreshableVersion="3" recordCount="18" xr:uid="{A17F69A9-6D20-2C49-A0AD-C1887919A45F}">
  <cacheSource type="worksheet">
    <worksheetSource ref="G5:I23" sheet="Chart 3-Most Finals Appearance"/>
  </cacheSource>
  <cacheFields count="3">
    <cacheField name="Team" numFmtId="0">
      <sharedItems/>
    </cacheField>
    <cacheField name="Country" numFmtId="0">
      <sharedItems count="13">
        <s v="Brazil"/>
        <s v="Italy"/>
        <s v="Germany FR"/>
        <s v="Netherlands"/>
        <s v="Argentina"/>
        <s v="Germany"/>
        <s v="Uruguay"/>
        <s v="England"/>
        <s v="France"/>
        <s v="Czechoslovakia"/>
        <s v="Hungary"/>
        <s v="Sweden"/>
        <s v="Spain"/>
      </sharedItems>
    </cacheField>
    <cacheField name="Count of Finals Appearance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5T23:08:25.91899969149381075" createdVersion="8" refreshedVersion="8" minRefreshableVersion="3" recordCount="454" xr:uid="{C1D7F9F8-A0F7-BE45-9EF6-5D210CDDB4A4}">
  <cacheSource type="worksheet">
    <worksheetSource ref="O4:S458" sheet="Chart 4-Most Knock-out Appearan"/>
  </cacheSource>
  <cacheFields count="5">
    <cacheField name="Team" numFmtId="0">
      <sharedItems count="2">
        <s v="HomeTeam"/>
        <s v="AwayTeam"/>
      </sharedItems>
    </cacheField>
    <cacheField name="Year" numFmtId="0">
      <sharedItems containsSemiMixedTypes="0" containsString="0" containsNumber="1" containsInteger="1" minValue="1930" maxValue="2014" count="20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</sharedItems>
    </cacheField>
    <cacheField name="Round" numFmtId="0">
      <sharedItems count="10">
        <s v="Semi-finals"/>
        <s v="Final"/>
        <s v="Quarter-finals"/>
        <s v="Match for third place"/>
        <s v="Group 6"/>
        <s v="Group B"/>
        <s v="Group A"/>
        <s v="Round of 16"/>
        <s v="Third place"/>
        <s v="Play-off for third place"/>
      </sharedItems>
    </cacheField>
    <cacheField name="Country" numFmtId="0">
      <sharedItems/>
    </cacheField>
    <cacheField name="Country (Clean)" numFmtId="0">
      <sharedItems count="51">
        <s v="Argentina"/>
        <s v="Uruguay"/>
        <s v="Czechoslovakia"/>
        <s v="Germany"/>
        <s v="Italy"/>
        <s v="Austria"/>
        <s v="Brazil"/>
        <s v="Hungary"/>
        <s v="Sweden"/>
        <s v="France"/>
        <s v="Chile"/>
        <s v="Yugoslavia"/>
        <s v="England"/>
        <s v="Soviet Union"/>
        <s v="Portugal"/>
        <s v="Netherlands"/>
        <s v="Poland"/>
        <s v="Mexico"/>
        <s v="Morocco"/>
        <s v="Denmark"/>
        <s v="Spain"/>
        <s v="Cameroon"/>
        <s v="Republic of Ireland"/>
        <s v="Saudi Arabia"/>
        <s v="Romania"/>
        <s v="Nigeria"/>
        <s v="Bulgaria"/>
        <s v="Japan"/>
        <s v="Korea Republic"/>
        <s v="Senegal"/>
        <s v="Switzerland"/>
        <s v="USA"/>
        <s v="Paraguay"/>
        <s v="Colombia"/>
        <s v="Costa Rica"/>
        <s v="Belgium"/>
        <s v="Cuba"/>
        <s v="Wales"/>
        <s v="Northern Ireland"/>
        <s v="Korea DPR"/>
        <s v="Peru"/>
        <s v="Norway"/>
        <s v="Croatia"/>
        <s v="Turkey"/>
        <s v="Ecuador"/>
        <s v="Australia"/>
        <s v="Ukraine"/>
        <s v="Ghana"/>
        <s v="Slovakia"/>
        <s v="Algeria"/>
        <s v="Gree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36">
  <r>
    <x v="0"/>
    <d v="2030-07-13T00:00:00"/>
    <s v=" 15:00 "/>
    <x v="0"/>
    <s v="Pocitos"/>
    <s v="Montevideo "/>
    <x v="0"/>
    <x v="0"/>
    <n v="4"/>
    <n v="1"/>
    <x v="0"/>
    <s v=" "/>
  </r>
  <r>
    <x v="0"/>
    <d v="2030-07-13T00:00:00"/>
    <s v=" 15:00 "/>
    <x v="1"/>
    <s v="Parque Central"/>
    <s v="Montevideo "/>
    <x v="0"/>
    <x v="1"/>
    <n v="3"/>
    <n v="0"/>
    <x v="1"/>
    <s v=" "/>
  </r>
  <r>
    <x v="0"/>
    <d v="2030-07-14T00:00:00"/>
    <s v=" 12:45 "/>
    <x v="2"/>
    <s v="Parque Central"/>
    <s v="Montevideo "/>
    <x v="0"/>
    <x v="2"/>
    <n v="2"/>
    <n v="1"/>
    <x v="2"/>
    <s v=" "/>
  </r>
  <r>
    <x v="0"/>
    <d v="2030-07-14T00:00:00"/>
    <s v=" 14:50 "/>
    <x v="3"/>
    <s v="Pocitos"/>
    <s v="Montevideo "/>
    <x v="0"/>
    <x v="3"/>
    <n v="3"/>
    <n v="1"/>
    <x v="3"/>
    <s v=" "/>
  </r>
  <r>
    <x v="0"/>
    <d v="2030-07-15T00:00:00"/>
    <s v=" 16:00 "/>
    <x v="0"/>
    <s v="Parque Central"/>
    <s v="Montevideo "/>
    <x v="0"/>
    <x v="4"/>
    <n v="1"/>
    <n v="0"/>
    <x v="4"/>
    <s v=" "/>
  </r>
  <r>
    <x v="0"/>
    <d v="2030-07-16T00:00:00"/>
    <s v=" 14:45 "/>
    <x v="0"/>
    <s v="Parque Central"/>
    <s v="Montevideo "/>
    <x v="0"/>
    <x v="5"/>
    <n v="3"/>
    <n v="0"/>
    <x v="0"/>
    <s v=" "/>
  </r>
  <r>
    <x v="0"/>
    <d v="2030-07-17T00:00:00"/>
    <s v=" 12:45 "/>
    <x v="2"/>
    <s v="Parque Central"/>
    <s v="Montevideo "/>
    <x v="0"/>
    <x v="2"/>
    <n v="4"/>
    <n v="0"/>
    <x v="5"/>
    <s v=" "/>
  </r>
  <r>
    <x v="0"/>
    <d v="2030-07-17T00:00:00"/>
    <s v=" 14:45 "/>
    <x v="1"/>
    <s v="Parque Central"/>
    <s v="Montevideo "/>
    <x v="0"/>
    <x v="1"/>
    <n v="3"/>
    <n v="0"/>
    <x v="6"/>
    <s v=" "/>
  </r>
  <r>
    <x v="0"/>
    <d v="2030-07-18T00:00:00"/>
    <s v=" 14:30 "/>
    <x v="3"/>
    <s v="Estadio Centenario"/>
    <s v="Montevideo "/>
    <x v="0"/>
    <x v="6"/>
    <n v="1"/>
    <n v="0"/>
    <x v="3"/>
    <s v=" "/>
  </r>
  <r>
    <x v="0"/>
    <d v="2030-07-19T00:00:00"/>
    <s v=" 12:50 "/>
    <x v="0"/>
    <s v="Estadio Centenario"/>
    <s v="Montevideo "/>
    <x v="0"/>
    <x v="5"/>
    <n v="1"/>
    <n v="0"/>
    <x v="4"/>
    <s v=" "/>
  </r>
  <r>
    <x v="0"/>
    <d v="2030-07-19T00:00:00"/>
    <s v=" 15:00 "/>
    <x v="0"/>
    <s v="Estadio Centenario"/>
    <s v="Montevideo "/>
    <x v="0"/>
    <x v="4"/>
    <n v="6"/>
    <n v="3"/>
    <x v="0"/>
    <s v=" "/>
  </r>
  <r>
    <x v="0"/>
    <d v="2030-07-20T00:00:00"/>
    <s v=" 13:00 "/>
    <x v="2"/>
    <s v="Estadio Centenario"/>
    <s v="Montevideo "/>
    <x v="0"/>
    <x v="7"/>
    <n v="4"/>
    <n v="0"/>
    <x v="5"/>
    <s v=" "/>
  </r>
  <r>
    <x v="0"/>
    <d v="2030-07-20T00:00:00"/>
    <s v=" 15:00 "/>
    <x v="1"/>
    <s v="Estadio Centenario"/>
    <s v="Montevideo "/>
    <x v="0"/>
    <x v="8"/>
    <n v="1"/>
    <n v="0"/>
    <x v="1"/>
    <s v=" "/>
  </r>
  <r>
    <x v="0"/>
    <d v="2030-07-21T00:00:00"/>
    <s v=" 14:50 "/>
    <x v="3"/>
    <s v="Estadio Centenario"/>
    <s v="Montevideo "/>
    <x v="0"/>
    <x v="6"/>
    <n v="4"/>
    <n v="0"/>
    <x v="7"/>
    <s v=" "/>
  </r>
  <r>
    <x v="0"/>
    <d v="2030-07-22T00:00:00"/>
    <s v=" 14:45 "/>
    <x v="0"/>
    <s v="Estadio Centenario"/>
    <s v="Montevideo "/>
    <x v="0"/>
    <x v="4"/>
    <n v="3"/>
    <n v="1"/>
    <x v="8"/>
    <s v=" "/>
  </r>
  <r>
    <x v="0"/>
    <d v="2030-07-26T00:00:00"/>
    <s v=" 14:45 "/>
    <x v="4"/>
    <s v="Estadio Centenario"/>
    <s v="Montevideo "/>
    <x v="0"/>
    <x v="4"/>
    <n v="6"/>
    <n v="1"/>
    <x v="9"/>
    <s v=" "/>
  </r>
  <r>
    <x v="0"/>
    <d v="2030-07-27T00:00:00"/>
    <s v=" 14:45 "/>
    <x v="4"/>
    <s v="Estadio Centenario"/>
    <s v="Montevideo "/>
    <x v="0"/>
    <x v="6"/>
    <n v="6"/>
    <n v="1"/>
    <x v="10"/>
    <s v=" "/>
  </r>
  <r>
    <x v="0"/>
    <d v="2030-07-30T00:00:00"/>
    <s v=" 14:15 "/>
    <x v="5"/>
    <s v="Estadio Centenario"/>
    <s v="Montevideo "/>
    <x v="0"/>
    <x v="6"/>
    <n v="4"/>
    <n v="2"/>
    <x v="11"/>
    <s v=" "/>
  </r>
  <r>
    <x v="1"/>
    <d v="2034-05-27T00:00:00"/>
    <s v=" 16:30 "/>
    <x v="6"/>
    <s v="Stadio Benito Mussolini"/>
    <s v="Turin "/>
    <x v="1"/>
    <x v="9"/>
    <n v="3"/>
    <n v="2"/>
    <x v="4"/>
    <s v="Austria win after extra time "/>
  </r>
  <r>
    <x v="1"/>
    <d v="2034-05-27T00:00:00"/>
    <s v=" 16:30 "/>
    <x v="6"/>
    <s v="Giorgio Ascarelli"/>
    <s v="Naples "/>
    <x v="1"/>
    <x v="10"/>
    <n v="4"/>
    <n v="2"/>
    <x v="12"/>
    <s v=" "/>
  </r>
  <r>
    <x v="1"/>
    <d v="2034-05-27T00:00:00"/>
    <s v=" 16:30 "/>
    <x v="6"/>
    <s v="San Siro"/>
    <s v="Milan "/>
    <x v="1"/>
    <x v="11"/>
    <n v="3"/>
    <n v="2"/>
    <x v="13"/>
    <s v=" "/>
  </r>
  <r>
    <x v="1"/>
    <d v="2034-05-27T00:00:00"/>
    <s v=" 16:30 "/>
    <x v="6"/>
    <s v="Littorale"/>
    <s v="Bologna "/>
    <x v="1"/>
    <x v="12"/>
    <n v="3"/>
    <n v="2"/>
    <x v="11"/>
    <s v=" "/>
  </r>
  <r>
    <x v="1"/>
    <d v="2034-05-27T00:00:00"/>
    <s v=" 16:30 "/>
    <x v="6"/>
    <s v="Giovanni Berta"/>
    <s v="Florence "/>
    <x v="1"/>
    <x v="13"/>
    <n v="5"/>
    <n v="2"/>
    <x v="1"/>
    <s v=" "/>
  </r>
  <r>
    <x v="1"/>
    <d v="2034-05-27T00:00:00"/>
    <s v=" 16:30 "/>
    <x v="6"/>
    <s v="Luigi Ferraris"/>
    <s v="Genoa "/>
    <x v="1"/>
    <x v="14"/>
    <n v="3"/>
    <n v="1"/>
    <x v="2"/>
    <s v=" "/>
  </r>
  <r>
    <x v="1"/>
    <d v="2034-05-27T00:00:00"/>
    <s v=" 16:30 "/>
    <x v="6"/>
    <s v="Nazionale PNF"/>
    <s v="Rome "/>
    <x v="1"/>
    <x v="15"/>
    <n v="7"/>
    <n v="1"/>
    <x v="9"/>
    <s v=" "/>
  </r>
  <r>
    <x v="1"/>
    <d v="2034-05-27T00:00:00"/>
    <s v=" 16:30 "/>
    <x v="6"/>
    <s v="Littorio"/>
    <s v="Trieste "/>
    <x v="1"/>
    <x v="16"/>
    <n v="2"/>
    <n v="1"/>
    <x v="7"/>
    <s v=" "/>
  </r>
  <r>
    <x v="1"/>
    <d v="2034-05-31T00:00:00"/>
    <s v=" 16:30 "/>
    <x v="7"/>
    <s v="Stadio Benito Mussolini"/>
    <s v="Turin "/>
    <x v="1"/>
    <x v="16"/>
    <n v="3"/>
    <n v="2"/>
    <x v="14"/>
    <s v=" "/>
  </r>
  <r>
    <x v="1"/>
    <d v="2034-05-31T00:00:00"/>
    <s v=" 16:30 "/>
    <x v="7"/>
    <s v="San Siro"/>
    <s v="Milan "/>
    <x v="1"/>
    <x v="13"/>
    <n v="2"/>
    <n v="1"/>
    <x v="15"/>
    <s v=" "/>
  </r>
  <r>
    <x v="1"/>
    <d v="2034-05-31T00:00:00"/>
    <s v=" 16:30 "/>
    <x v="7"/>
    <s v="Giovanni Berta"/>
    <s v="Florence "/>
    <x v="1"/>
    <x v="15"/>
    <n v="1"/>
    <n v="1"/>
    <x v="16"/>
    <s v=" "/>
  </r>
  <r>
    <x v="1"/>
    <d v="2034-05-31T00:00:00"/>
    <s v=" 16:30 "/>
    <x v="7"/>
    <s v="Littorale"/>
    <s v="Bologna "/>
    <x v="1"/>
    <x v="9"/>
    <n v="2"/>
    <n v="1"/>
    <x v="17"/>
    <s v=" "/>
  </r>
  <r>
    <x v="1"/>
    <d v="2034-06-01T00:00:00"/>
    <s v=" 16:30 "/>
    <x v="7"/>
    <s v="Giovanni Berta"/>
    <s v="Florence "/>
    <x v="1"/>
    <x v="15"/>
    <n v="1"/>
    <n v="0"/>
    <x v="16"/>
    <s v=" "/>
  </r>
  <r>
    <x v="1"/>
    <d v="2034-06-03T00:00:00"/>
    <s v=" 16:30 "/>
    <x v="4"/>
    <s v="San Siro"/>
    <s v="Milan "/>
    <x v="1"/>
    <x v="15"/>
    <n v="1"/>
    <n v="0"/>
    <x v="18"/>
    <s v=" "/>
  </r>
  <r>
    <x v="1"/>
    <d v="2034-06-03T00:00:00"/>
    <s v=" 16:30 "/>
    <x v="4"/>
    <s v="Nazionale PNF"/>
    <s v="Rome "/>
    <x v="1"/>
    <x v="16"/>
    <n v="3"/>
    <n v="1"/>
    <x v="19"/>
    <s v=" "/>
  </r>
  <r>
    <x v="1"/>
    <d v="2034-06-07T00:00:00"/>
    <s v=" 18:00 "/>
    <x v="8"/>
    <s v="Giorgio Ascarelli"/>
    <s v="Naples "/>
    <x v="1"/>
    <x v="13"/>
    <n v="3"/>
    <n v="2"/>
    <x v="18"/>
    <s v=" "/>
  </r>
  <r>
    <x v="1"/>
    <d v="2034-06-10T00:00:00"/>
    <s v=" 17:30 "/>
    <x v="5"/>
    <s v="Nazionale PNF"/>
    <s v="Rome "/>
    <x v="1"/>
    <x v="15"/>
    <n v="2"/>
    <n v="1"/>
    <x v="20"/>
    <s v="Italy win after extra time "/>
  </r>
  <r>
    <x v="2"/>
    <d v="2038-06-04T00:00:00"/>
    <s v=" 17:00 "/>
    <x v="9"/>
    <s v="Parc des Princes"/>
    <s v="Paris "/>
    <x v="2"/>
    <x v="11"/>
    <n v="1"/>
    <n v="1"/>
    <x v="19"/>
    <s v=" "/>
  </r>
  <r>
    <x v="2"/>
    <d v="2038-06-05T00:00:00"/>
    <s v=" 17:00 "/>
    <x v="9"/>
    <s v="Velodrome Municipale"/>
    <s v="Reims "/>
    <x v="2"/>
    <x v="10"/>
    <n v="6"/>
    <n v="0"/>
    <x v="21"/>
    <s v=" "/>
  </r>
  <r>
    <x v="2"/>
    <d v="2038-06-05T00:00:00"/>
    <s v=" 17:00 "/>
    <x v="9"/>
    <s v="Stade Olympique"/>
    <s v="Colombes "/>
    <x v="2"/>
    <x v="0"/>
    <n v="3"/>
    <n v="1"/>
    <x v="1"/>
    <s v=" "/>
  </r>
  <r>
    <x v="2"/>
    <d v="2038-06-05T00:00:00"/>
    <s v=" 17:00 "/>
    <x v="9"/>
    <s v="Stade Municipal"/>
    <s v="Toulouse "/>
    <x v="2"/>
    <x v="17"/>
    <n v="3"/>
    <n v="3"/>
    <x v="7"/>
    <s v=" "/>
  </r>
  <r>
    <x v="2"/>
    <d v="2038-06-05T00:00:00"/>
    <s v=" 17:00 "/>
    <x v="9"/>
    <s v="Stade Vï¿½lodrome"/>
    <s v="Marseilles "/>
    <x v="2"/>
    <x v="15"/>
    <n v="2"/>
    <n v="1"/>
    <x v="22"/>
    <s v="Italy win after extra time "/>
  </r>
  <r>
    <x v="2"/>
    <d v="2038-06-05T00:00:00"/>
    <s v=" 17:30 "/>
    <x v="9"/>
    <s v="Stade de la Meinau"/>
    <s v="Strasbourg "/>
    <x v="2"/>
    <x v="7"/>
    <n v="6"/>
    <n v="5"/>
    <x v="23"/>
    <s v="Brazil win after extra time "/>
  </r>
  <r>
    <x v="2"/>
    <d v="2038-06-05T00:00:00"/>
    <s v=" 18:30 "/>
    <x v="9"/>
    <s v="Cavee Verte"/>
    <s v="Le Havre "/>
    <x v="2"/>
    <x v="16"/>
    <n v="3"/>
    <n v="0"/>
    <x v="13"/>
    <s v="Czechoslovakia win after extra time "/>
  </r>
  <r>
    <x v="2"/>
    <d v="2038-06-09T00:00:00"/>
    <s v=" 18:00 "/>
    <x v="9"/>
    <s v="Stade Municipal"/>
    <s v="Toulouse "/>
    <x v="2"/>
    <x v="17"/>
    <n v="2"/>
    <n v="1"/>
    <x v="7"/>
    <s v=" "/>
  </r>
  <r>
    <x v="2"/>
    <d v="2038-06-09T00:00:00"/>
    <s v=" 18:00 "/>
    <x v="9"/>
    <s v="Parc des Princes"/>
    <s v="Paris "/>
    <x v="2"/>
    <x v="11"/>
    <n v="4"/>
    <n v="2"/>
    <x v="19"/>
    <s v=" "/>
  </r>
  <r>
    <x v="2"/>
    <d v="2038-06-12T00:00:00"/>
    <s v=" 17:00 "/>
    <x v="7"/>
    <s v="Stade du Parc Lescure"/>
    <s v="Bordeaux "/>
    <x v="2"/>
    <x v="7"/>
    <n v="1"/>
    <n v="1"/>
    <x v="20"/>
    <s v=" "/>
  </r>
  <r>
    <x v="2"/>
    <d v="2038-06-12T00:00:00"/>
    <s v=" 17:00 "/>
    <x v="7"/>
    <s v="Victor Boucquey"/>
    <s v="Lille "/>
    <x v="2"/>
    <x v="10"/>
    <n v="2"/>
    <n v="0"/>
    <x v="14"/>
    <s v=" "/>
  </r>
  <r>
    <x v="2"/>
    <d v="2038-06-12T00:00:00"/>
    <s v=" 17:00 "/>
    <x v="7"/>
    <s v="Fort Carree"/>
    <s v="Antibes "/>
    <x v="2"/>
    <x v="12"/>
    <n v="8"/>
    <n v="0"/>
    <x v="24"/>
    <s v=" "/>
  </r>
  <r>
    <x v="2"/>
    <d v="2038-06-12T00:00:00"/>
    <s v=" 17:00 "/>
    <x v="7"/>
    <s v="Stade Olympique"/>
    <s v="Colombes "/>
    <x v="2"/>
    <x v="15"/>
    <n v="3"/>
    <n v="1"/>
    <x v="4"/>
    <s v=" "/>
  </r>
  <r>
    <x v="2"/>
    <d v="2038-06-14T00:00:00"/>
    <s v=" 18:00 "/>
    <x v="7"/>
    <s v="Stade du Parc Lescure"/>
    <s v="Bordeaux "/>
    <x v="2"/>
    <x v="7"/>
    <n v="2"/>
    <n v="1"/>
    <x v="20"/>
    <s v=" "/>
  </r>
  <r>
    <x v="2"/>
    <d v="2038-06-16T00:00:00"/>
    <s v=" 18:00 "/>
    <x v="4"/>
    <s v="Parc des Princes"/>
    <s v="Paris "/>
    <x v="2"/>
    <x v="10"/>
    <n v="5"/>
    <n v="1"/>
    <x v="15"/>
    <s v=" "/>
  </r>
  <r>
    <x v="2"/>
    <d v="2038-06-16T00:00:00"/>
    <s v=" 18:00 "/>
    <x v="4"/>
    <s v="Stade Vï¿½lodrome"/>
    <s v="Marseilles "/>
    <x v="2"/>
    <x v="15"/>
    <n v="2"/>
    <n v="1"/>
    <x v="2"/>
    <s v=" "/>
  </r>
  <r>
    <x v="2"/>
    <d v="2038-06-19T00:00:00"/>
    <s v=" 17:00 "/>
    <x v="8"/>
    <s v="Stade du Parc Lescure"/>
    <s v="Bordeaux "/>
    <x v="2"/>
    <x v="7"/>
    <n v="4"/>
    <n v="2"/>
    <x v="15"/>
    <s v=" "/>
  </r>
  <r>
    <x v="2"/>
    <d v="2038-06-19T00:00:00"/>
    <s v=" 17:00 "/>
    <x v="5"/>
    <s v="Stade Olympique"/>
    <s v="Colombes "/>
    <x v="2"/>
    <x v="15"/>
    <n v="4"/>
    <n v="2"/>
    <x v="17"/>
    <s v=" "/>
  </r>
  <r>
    <x v="3"/>
    <d v="1950-06-24T00:00:00"/>
    <s v=" 15:00 "/>
    <x v="0"/>
    <s v="Maracanï¿½ - Estï¿½dio Jornalista Mï¿½rio Filho"/>
    <s v="Rio De Janeiro "/>
    <x v="3"/>
    <x v="7"/>
    <n v="4"/>
    <n v="0"/>
    <x v="0"/>
    <s v=" "/>
  </r>
  <r>
    <x v="3"/>
    <d v="1950-06-25T00:00:00"/>
    <s v=" 15:00 "/>
    <x v="2"/>
    <s v="Maracanï¿½ - Estï¿½dio Jornalista Mï¿½rio Filho"/>
    <s v="Rio De Janeiro "/>
    <x v="3"/>
    <x v="18"/>
    <n v="2"/>
    <n v="0"/>
    <x v="8"/>
    <s v=" "/>
  </r>
  <r>
    <x v="3"/>
    <d v="1950-06-25T00:00:00"/>
    <s v=" 15:00 "/>
    <x v="2"/>
    <s v="Durival de Brito"/>
    <s v="Curitiba "/>
    <x v="3"/>
    <x v="14"/>
    <n v="3"/>
    <n v="1"/>
    <x v="9"/>
    <s v=" "/>
  </r>
  <r>
    <x v="3"/>
    <d v="1950-06-25T00:00:00"/>
    <s v=" 15:00 "/>
    <x v="3"/>
    <s v="Pacaembu"/>
    <s v="Sao Paulo "/>
    <x v="3"/>
    <x v="12"/>
    <n v="3"/>
    <n v="2"/>
    <x v="25"/>
    <s v=" "/>
  </r>
  <r>
    <x v="3"/>
    <d v="1950-06-25T00:00:00"/>
    <s v=" 15:00 "/>
    <x v="0"/>
    <s v="Independencia"/>
    <s v="Belo Horizonte "/>
    <x v="3"/>
    <x v="2"/>
    <n v="3"/>
    <n v="0"/>
    <x v="14"/>
    <s v=" "/>
  </r>
  <r>
    <x v="3"/>
    <d v="1950-06-28T00:00:00"/>
    <s v=" 15:00 "/>
    <x v="0"/>
    <s v="Pacaembu"/>
    <s v="Sao Paulo "/>
    <x v="3"/>
    <x v="7"/>
    <n v="2"/>
    <n v="2"/>
    <x v="14"/>
    <s v=" "/>
  </r>
  <r>
    <x v="3"/>
    <d v="1950-06-28T00:00:00"/>
    <s v=" 15:00 "/>
    <x v="0"/>
    <s v="Eucaliptos"/>
    <s v="Porto Alegre "/>
    <x v="3"/>
    <x v="2"/>
    <n v="4"/>
    <n v="1"/>
    <x v="0"/>
    <s v=" "/>
  </r>
  <r>
    <x v="3"/>
    <d v="1950-06-29T00:00:00"/>
    <s v=" 15:00 "/>
    <x v="2"/>
    <s v="Maracanï¿½ - Estï¿½dio Jornalista Mï¿½rio Filho"/>
    <s v="Rio De Janeiro "/>
    <x v="3"/>
    <x v="14"/>
    <n v="2"/>
    <n v="0"/>
    <x v="8"/>
    <s v=" "/>
  </r>
  <r>
    <x v="3"/>
    <d v="1950-06-29T00:00:00"/>
    <s v=" 15:30 "/>
    <x v="3"/>
    <s v="Durival de Brito"/>
    <s v="Curitiba "/>
    <x v="3"/>
    <x v="12"/>
    <n v="2"/>
    <n v="2"/>
    <x v="6"/>
    <s v=" "/>
  </r>
  <r>
    <x v="3"/>
    <d v="1950-06-29T00:00:00"/>
    <s v=" 15:00 "/>
    <x v="2"/>
    <s v="Independencia"/>
    <s v="Belo Horizonte "/>
    <x v="3"/>
    <x v="1"/>
    <n v="1"/>
    <n v="0"/>
    <x v="26"/>
    <s v=" "/>
  </r>
  <r>
    <x v="3"/>
    <d v="1950-07-01T00:00:00"/>
    <s v=" 15:00 "/>
    <x v="0"/>
    <s v="Maracanï¿½ - Estï¿½dio Jornalista Mï¿½rio Filho"/>
    <s v="Rio De Janeiro "/>
    <x v="3"/>
    <x v="7"/>
    <n v="2"/>
    <n v="0"/>
    <x v="10"/>
    <s v=" "/>
  </r>
  <r>
    <x v="3"/>
    <d v="1950-07-02T00:00:00"/>
    <s v=" 15:00 "/>
    <x v="2"/>
    <s v="Maracanï¿½ - Estï¿½dio Jornalista Mï¿½rio Filho"/>
    <s v="Rio De Janeiro "/>
    <x v="3"/>
    <x v="14"/>
    <n v="1"/>
    <n v="0"/>
    <x v="26"/>
    <s v=" "/>
  </r>
  <r>
    <x v="3"/>
    <d v="1950-07-02T00:00:00"/>
    <s v=" 15:00 "/>
    <x v="3"/>
    <s v="Pacaembu"/>
    <s v="Sao Paulo "/>
    <x v="3"/>
    <x v="15"/>
    <n v="2"/>
    <n v="0"/>
    <x v="6"/>
    <s v=" "/>
  </r>
  <r>
    <x v="3"/>
    <d v="1950-07-02T00:00:00"/>
    <s v=" 15:00 "/>
    <x v="1"/>
    <s v="Independencia"/>
    <s v="Belo Horizonte "/>
    <x v="3"/>
    <x v="6"/>
    <n v="8"/>
    <n v="0"/>
    <x v="5"/>
    <s v=" "/>
  </r>
  <r>
    <x v="3"/>
    <d v="1950-07-02T00:00:00"/>
    <s v=" 15:40 "/>
    <x v="0"/>
    <s v="Eucaliptos"/>
    <s v="Porto Alegre "/>
    <x v="3"/>
    <x v="11"/>
    <n v="2"/>
    <n v="1"/>
    <x v="0"/>
    <s v=" "/>
  </r>
  <r>
    <x v="3"/>
    <d v="1950-07-02T00:00:00"/>
    <s v=" 15:00 "/>
    <x v="2"/>
    <s v="Ilha do Retiro"/>
    <s v="Recife "/>
    <x v="3"/>
    <x v="5"/>
    <n v="5"/>
    <n v="2"/>
    <x v="9"/>
    <s v=" "/>
  </r>
  <r>
    <x v="3"/>
    <d v="1950-07-09T00:00:00"/>
    <s v=" 15:00 "/>
    <x v="10"/>
    <s v="Pacaembu"/>
    <s v="Sao Paulo "/>
    <x v="3"/>
    <x v="6"/>
    <n v="2"/>
    <n v="2"/>
    <x v="16"/>
    <s v=" "/>
  </r>
  <r>
    <x v="3"/>
    <d v="1950-07-09T00:00:00"/>
    <s v=" 15:00 "/>
    <x v="10"/>
    <s v="Maracanï¿½ - Estï¿½dio Jornalista Mï¿½rio Filho"/>
    <s v="Rio De Janeiro "/>
    <x v="3"/>
    <x v="7"/>
    <n v="7"/>
    <n v="1"/>
    <x v="15"/>
    <s v=" "/>
  </r>
  <r>
    <x v="3"/>
    <d v="1950-07-13T00:00:00"/>
    <s v=" 15:00 "/>
    <x v="10"/>
    <s v="Maracanï¿½ - Estï¿½dio Jornalista Mï¿½rio Filho"/>
    <s v="Rio De Janeiro "/>
    <x v="3"/>
    <x v="7"/>
    <n v="6"/>
    <n v="1"/>
    <x v="16"/>
    <s v=" "/>
  </r>
  <r>
    <x v="3"/>
    <d v="1950-07-13T00:00:00"/>
    <s v=" 15:00 "/>
    <x v="10"/>
    <s v="Pacaembu"/>
    <s v="Sao Paulo "/>
    <x v="3"/>
    <x v="6"/>
    <n v="3"/>
    <n v="2"/>
    <x v="15"/>
    <s v=" "/>
  </r>
  <r>
    <x v="3"/>
    <d v="1950-07-16T00:00:00"/>
    <s v=" 15:00 "/>
    <x v="10"/>
    <s v="Pacaembu"/>
    <s v="Sao Paulo "/>
    <x v="3"/>
    <x v="12"/>
    <n v="3"/>
    <n v="1"/>
    <x v="16"/>
    <s v=" "/>
  </r>
  <r>
    <x v="3"/>
    <d v="1950-07-16T00:00:00"/>
    <s v=" 15:00 "/>
    <x v="10"/>
    <s v="Maracanï¿½ - Estï¿½dio Jornalista Mï¿½rio Filho"/>
    <s v="Rio De Janeiro "/>
    <x v="3"/>
    <x v="6"/>
    <n v="2"/>
    <n v="1"/>
    <x v="2"/>
    <s v=" "/>
  </r>
  <r>
    <x v="4"/>
    <d v="1954-06-16T00:00:00"/>
    <s v=" 18:00 "/>
    <x v="3"/>
    <s v="Wankdorf Stadium"/>
    <s v="Berne "/>
    <x v="4"/>
    <x v="6"/>
    <n v="2"/>
    <n v="0"/>
    <x v="20"/>
    <s v=" "/>
  </r>
  <r>
    <x v="4"/>
    <d v="1954-06-16T00:00:00"/>
    <s v=" 18:00 "/>
    <x v="3"/>
    <s v="Hardturm"/>
    <s v="Zurich "/>
    <x v="4"/>
    <x v="9"/>
    <n v="1"/>
    <n v="0"/>
    <x v="27"/>
    <s v=" "/>
  </r>
  <r>
    <x v="4"/>
    <d v="1954-06-16T00:00:00"/>
    <s v=" 18:00 "/>
    <x v="0"/>
    <s v="Charmilles"/>
    <s v="Geneva "/>
    <x v="4"/>
    <x v="7"/>
    <n v="5"/>
    <n v="0"/>
    <x v="0"/>
    <s v=" "/>
  </r>
  <r>
    <x v="4"/>
    <d v="1954-06-16T00:00:00"/>
    <s v=" 18:00 "/>
    <x v="0"/>
    <s v="La Pontaise"/>
    <s v="Lausanne "/>
    <x v="4"/>
    <x v="2"/>
    <n v="1"/>
    <n v="0"/>
    <x v="4"/>
    <s v=" "/>
  </r>
  <r>
    <x v="4"/>
    <d v="1954-06-17T00:00:00"/>
    <s v=" 18:00 "/>
    <x v="2"/>
    <s v="Wankdorf Stadium"/>
    <s v="Berne "/>
    <x v="4"/>
    <x v="19"/>
    <n v="4"/>
    <n v="1"/>
    <x v="28"/>
    <s v=" "/>
  </r>
  <r>
    <x v="4"/>
    <d v="1954-06-17T00:00:00"/>
    <s v=" 18:00 "/>
    <x v="2"/>
    <s v="Hardturm"/>
    <s v="Zurich "/>
    <x v="4"/>
    <x v="10"/>
    <n v="9"/>
    <n v="0"/>
    <x v="29"/>
    <s v=" "/>
  </r>
  <r>
    <x v="4"/>
    <d v="1954-06-17T00:00:00"/>
    <s v=" 18:10 "/>
    <x v="1"/>
    <s v="St. Jakob"/>
    <s v="Basel "/>
    <x v="4"/>
    <x v="18"/>
    <n v="4"/>
    <n v="4"/>
    <x v="1"/>
    <s v=" "/>
  </r>
  <r>
    <x v="4"/>
    <d v="1954-06-17T00:00:00"/>
    <s v=" 17:50 "/>
    <x v="1"/>
    <s v="La Pontaise"/>
    <s v="Lausanne "/>
    <x v="4"/>
    <x v="11"/>
    <n v="2"/>
    <n v="1"/>
    <x v="25"/>
    <s v=" "/>
  </r>
  <r>
    <x v="4"/>
    <d v="1954-06-19T00:00:00"/>
    <s v=" 16:50 "/>
    <x v="3"/>
    <s v="St. Jakob"/>
    <s v="Basel "/>
    <x v="4"/>
    <x v="6"/>
    <n v="7"/>
    <n v="0"/>
    <x v="27"/>
    <s v=" "/>
  </r>
  <r>
    <x v="4"/>
    <d v="1954-06-19T00:00:00"/>
    <s v=" 17:00 "/>
    <x v="3"/>
    <s v="Hardturm"/>
    <s v="Zurich "/>
    <x v="4"/>
    <x v="9"/>
    <n v="5"/>
    <n v="0"/>
    <x v="20"/>
    <s v=" "/>
  </r>
  <r>
    <x v="4"/>
    <d v="1954-06-19T00:00:00"/>
    <s v=" 17:10 "/>
    <x v="0"/>
    <s v="Charmilles"/>
    <s v="Geneva "/>
    <x v="4"/>
    <x v="0"/>
    <n v="3"/>
    <n v="2"/>
    <x v="0"/>
    <s v=" "/>
  </r>
  <r>
    <x v="4"/>
    <d v="1954-06-19T00:00:00"/>
    <s v=" 17:00 "/>
    <x v="0"/>
    <s v="La Pontaise"/>
    <s v="Lausanne "/>
    <x v="4"/>
    <x v="7"/>
    <n v="1"/>
    <n v="1"/>
    <x v="10"/>
    <s v=" "/>
  </r>
  <r>
    <x v="4"/>
    <d v="1954-06-20T00:00:00"/>
    <s v=" 16:50 "/>
    <x v="2"/>
    <s v="St. Jakob"/>
    <s v="Basel "/>
    <x v="4"/>
    <x v="10"/>
    <n v="8"/>
    <n v="3"/>
    <x v="30"/>
    <s v=" "/>
  </r>
  <r>
    <x v="4"/>
    <d v="1954-06-20T00:00:00"/>
    <s v=" 17:00 "/>
    <x v="2"/>
    <s v="Charmilles"/>
    <s v="Geneva "/>
    <x v="4"/>
    <x v="20"/>
    <n v="7"/>
    <n v="0"/>
    <x v="29"/>
    <s v=" "/>
  </r>
  <r>
    <x v="4"/>
    <d v="1954-06-20T00:00:00"/>
    <s v=" 17:10 "/>
    <x v="1"/>
    <s v="Wankdorf Stadium"/>
    <s v="Berne "/>
    <x v="4"/>
    <x v="18"/>
    <n v="2"/>
    <n v="0"/>
    <x v="14"/>
    <s v=" "/>
  </r>
  <r>
    <x v="4"/>
    <d v="1954-06-20T00:00:00"/>
    <s v=" 17:00 "/>
    <x v="1"/>
    <s v="Comunale di Cornaredo"/>
    <s v="Lugano "/>
    <x v="4"/>
    <x v="15"/>
    <n v="4"/>
    <n v="1"/>
    <x v="1"/>
    <s v=" "/>
  </r>
  <r>
    <x v="4"/>
    <d v="1954-06-23T00:00:00"/>
    <s v=" 18:00 "/>
    <x v="2"/>
    <s v="Hardturm"/>
    <s v="Zurich "/>
    <x v="4"/>
    <x v="19"/>
    <n v="7"/>
    <n v="2"/>
    <x v="28"/>
    <s v=" "/>
  </r>
  <r>
    <x v="4"/>
    <d v="1954-06-23T00:00:00"/>
    <s v=" 18:00 "/>
    <x v="1"/>
    <s v="St. Jakob"/>
    <s v="Basel "/>
    <x v="4"/>
    <x v="11"/>
    <n v="4"/>
    <n v="1"/>
    <x v="25"/>
    <s v=" "/>
  </r>
  <r>
    <x v="4"/>
    <d v="1954-06-26T00:00:00"/>
    <s v=" 17:00 "/>
    <x v="7"/>
    <s v="St. Jakob"/>
    <s v="Basel "/>
    <x v="4"/>
    <x v="6"/>
    <n v="4"/>
    <n v="2"/>
    <x v="26"/>
    <s v=" "/>
  </r>
  <r>
    <x v="4"/>
    <d v="1954-06-26T00:00:00"/>
    <s v=" 17:00 "/>
    <x v="7"/>
    <s v="La Pontaise"/>
    <s v="Lausanne "/>
    <x v="4"/>
    <x v="9"/>
    <n v="7"/>
    <n v="5"/>
    <x v="14"/>
    <s v=" "/>
  </r>
  <r>
    <x v="4"/>
    <d v="1954-06-27T00:00:00"/>
    <s v=" 17:00 "/>
    <x v="7"/>
    <s v="Charmilles"/>
    <s v="Geneva "/>
    <x v="4"/>
    <x v="19"/>
    <n v="2"/>
    <n v="0"/>
    <x v="10"/>
    <s v=" "/>
  </r>
  <r>
    <x v="4"/>
    <d v="1954-06-27T00:00:00"/>
    <s v=" 17:00 "/>
    <x v="7"/>
    <s v="Wankdorf Stadium"/>
    <s v="Berne "/>
    <x v="4"/>
    <x v="10"/>
    <n v="4"/>
    <n v="2"/>
    <x v="2"/>
    <s v=" "/>
  </r>
  <r>
    <x v="4"/>
    <d v="1954-06-30T00:00:00"/>
    <s v=" 18:00 "/>
    <x v="4"/>
    <s v="St. Jakob"/>
    <s v="Basel "/>
    <x v="4"/>
    <x v="19"/>
    <n v="6"/>
    <n v="1"/>
    <x v="18"/>
    <s v=" "/>
  </r>
  <r>
    <x v="4"/>
    <d v="1954-06-30T00:00:00"/>
    <s v=" 18:00 "/>
    <x v="4"/>
    <s v="La Pontaise"/>
    <s v="Lausanne "/>
    <x v="4"/>
    <x v="10"/>
    <n v="4"/>
    <n v="2"/>
    <x v="31"/>
    <s v="Hungary win after extra time "/>
  </r>
  <r>
    <x v="4"/>
    <d v="1954-07-03T00:00:00"/>
    <s v=" 17:00 "/>
    <x v="8"/>
    <s v="Hardturm"/>
    <s v="Zurich "/>
    <x v="4"/>
    <x v="9"/>
    <n v="3"/>
    <n v="1"/>
    <x v="31"/>
    <s v=" "/>
  </r>
  <r>
    <x v="4"/>
    <d v="1954-07-04T00:00:00"/>
    <s v=" 17:00 "/>
    <x v="5"/>
    <s v="Wankdorf Stadium"/>
    <s v="Berne "/>
    <x v="4"/>
    <x v="19"/>
    <n v="3"/>
    <n v="2"/>
    <x v="17"/>
    <s v=" "/>
  </r>
  <r>
    <x v="5"/>
    <d v="1958-06-08T00:00:00"/>
    <s v=" 14:00 "/>
    <x v="3"/>
    <s v="Rasunda Stadium"/>
    <s v="Solna "/>
    <x v="5"/>
    <x v="12"/>
    <n v="3"/>
    <n v="0"/>
    <x v="0"/>
    <s v=" "/>
  </r>
  <r>
    <x v="5"/>
    <d v="1958-06-08T00:00:00"/>
    <s v=" 19:00 "/>
    <x v="1"/>
    <s v="Nya Ullevi"/>
    <s v="Gothenburg "/>
    <x v="5"/>
    <x v="21"/>
    <n v="2"/>
    <n v="2"/>
    <x v="26"/>
    <s v=" "/>
  </r>
  <r>
    <x v="5"/>
    <d v="1958-06-08T00:00:00"/>
    <s v=" 19:00 "/>
    <x v="0"/>
    <s v="Malmo Stadion"/>
    <s v="Malmï¿½ "/>
    <x v="5"/>
    <x v="4"/>
    <n v="1"/>
    <n v="3"/>
    <x v="30"/>
    <s v=" "/>
  </r>
  <r>
    <x v="5"/>
    <d v="1958-06-08T00:00:00"/>
    <s v=" 19:00 "/>
    <x v="3"/>
    <s v="Jarnvallen"/>
    <s v="Sandviken "/>
    <x v="5"/>
    <x v="10"/>
    <n v="1"/>
    <n v="1"/>
    <x v="32"/>
    <s v=" "/>
  </r>
  <r>
    <x v="5"/>
    <d v="1958-06-08T00:00:00"/>
    <s v=" 19:00 "/>
    <x v="2"/>
    <s v="Idrottsparken"/>
    <s v="Norrkï¿½Ping "/>
    <x v="5"/>
    <x v="0"/>
    <n v="7"/>
    <n v="3"/>
    <x v="6"/>
    <s v=" "/>
  </r>
  <r>
    <x v="5"/>
    <d v="1958-06-08T00:00:00"/>
    <s v=" 19:00 "/>
    <x v="2"/>
    <s v="Arosvallen"/>
    <s v="Vasteras "/>
    <x v="5"/>
    <x v="2"/>
    <n v="1"/>
    <n v="1"/>
    <x v="27"/>
    <s v=" "/>
  </r>
  <r>
    <x v="5"/>
    <d v="1958-06-08T00:00:00"/>
    <s v=" 19:00 "/>
    <x v="1"/>
    <s v="Rimnersvallen"/>
    <s v="Udevalla "/>
    <x v="5"/>
    <x v="7"/>
    <n v="3"/>
    <n v="0"/>
    <x v="18"/>
    <s v=" "/>
  </r>
  <r>
    <x v="5"/>
    <d v="1958-06-08T00:00:00"/>
    <s v=" 19:00 "/>
    <x v="0"/>
    <s v="Orjans Vall"/>
    <s v="Halmstad "/>
    <x v="5"/>
    <x v="22"/>
    <n v="1"/>
    <n v="0"/>
    <x v="20"/>
    <s v=" "/>
  </r>
  <r>
    <x v="5"/>
    <d v="1958-06-11T00:00:00"/>
    <s v=" 19:00 "/>
    <x v="1"/>
    <s v="Nya Ullevi"/>
    <s v="Gothenburg "/>
    <x v="5"/>
    <x v="7"/>
    <n v="0"/>
    <n v="0"/>
    <x v="26"/>
    <s v=" "/>
  </r>
  <r>
    <x v="5"/>
    <d v="1958-06-11T00:00:00"/>
    <s v=" 19:00 "/>
    <x v="3"/>
    <s v="Rasunda Stadium"/>
    <s v="Solna "/>
    <x v="5"/>
    <x v="23"/>
    <n v="1"/>
    <n v="1"/>
    <x v="32"/>
    <s v=" "/>
  </r>
  <r>
    <x v="5"/>
    <d v="1958-06-11T00:00:00"/>
    <s v=" 19:00 "/>
    <x v="2"/>
    <s v="Idrottsparken"/>
    <s v="Norrkï¿½Ping "/>
    <x v="5"/>
    <x v="8"/>
    <n v="3"/>
    <n v="2"/>
    <x v="27"/>
    <s v=" "/>
  </r>
  <r>
    <x v="5"/>
    <d v="1958-06-11T00:00:00"/>
    <s v=" 19:00 "/>
    <x v="2"/>
    <s v="Arosvallen"/>
    <s v="Vasteras "/>
    <x v="5"/>
    <x v="2"/>
    <n v="3"/>
    <n v="2"/>
    <x v="4"/>
    <s v=" "/>
  </r>
  <r>
    <x v="5"/>
    <d v="1958-06-11T00:00:00"/>
    <s v=" 19:00 "/>
    <x v="1"/>
    <s v="Ryavallen"/>
    <s v="Boras "/>
    <x v="5"/>
    <x v="21"/>
    <n v="2"/>
    <n v="0"/>
    <x v="18"/>
    <s v=" "/>
  </r>
  <r>
    <x v="5"/>
    <d v="1958-06-11T00:00:00"/>
    <s v=" 19:00 "/>
    <x v="0"/>
    <s v="Olympia Stadium"/>
    <s v="Helsingborg "/>
    <x v="5"/>
    <x v="19"/>
    <n v="2"/>
    <n v="2"/>
    <x v="20"/>
    <s v=" "/>
  </r>
  <r>
    <x v="5"/>
    <d v="1958-06-11T00:00:00"/>
    <s v=" 19:00 "/>
    <x v="0"/>
    <s v="Orjans Vall"/>
    <s v="Halmstad "/>
    <x v="5"/>
    <x v="4"/>
    <n v="3"/>
    <n v="1"/>
    <x v="33"/>
    <s v=" "/>
  </r>
  <r>
    <x v="5"/>
    <d v="1958-06-12T00:00:00"/>
    <s v=" 19:00 "/>
    <x v="3"/>
    <s v="Rasunda Stadium"/>
    <s v="Solna "/>
    <x v="5"/>
    <x v="12"/>
    <n v="2"/>
    <n v="1"/>
    <x v="17"/>
    <s v=" "/>
  </r>
  <r>
    <x v="5"/>
    <d v="1958-06-15T00:00:00"/>
    <s v=" 14:00 "/>
    <x v="3"/>
    <s v="Rasunda Stadium"/>
    <s v="Solna "/>
    <x v="5"/>
    <x v="12"/>
    <n v="0"/>
    <n v="0"/>
    <x v="32"/>
    <s v=" "/>
  </r>
  <r>
    <x v="5"/>
    <d v="1958-06-15T00:00:00"/>
    <s v=" 19:00 "/>
    <x v="1"/>
    <s v="Nya Ullevi"/>
    <s v="Gothenburg "/>
    <x v="5"/>
    <x v="7"/>
    <n v="2"/>
    <n v="0"/>
    <x v="34"/>
    <s v=" "/>
  </r>
  <r>
    <x v="5"/>
    <d v="1958-06-15T00:00:00"/>
    <s v=" 19:00 "/>
    <x v="0"/>
    <s v="Malmo Stadion"/>
    <s v="Malmï¿½ "/>
    <x v="5"/>
    <x v="19"/>
    <n v="2"/>
    <n v="2"/>
    <x v="33"/>
    <s v=" "/>
  </r>
  <r>
    <x v="5"/>
    <d v="1958-06-15T00:00:00"/>
    <s v=" 19:00 "/>
    <x v="3"/>
    <s v="Jarnvallen"/>
    <s v="Sandviken "/>
    <x v="5"/>
    <x v="10"/>
    <n v="4"/>
    <n v="0"/>
    <x v="0"/>
    <s v=" "/>
  </r>
  <r>
    <x v="5"/>
    <d v="1958-06-15T00:00:00"/>
    <s v=" 19:00 "/>
    <x v="2"/>
    <s v="Tunavallen"/>
    <s v="Eskilstuna "/>
    <x v="5"/>
    <x v="8"/>
    <n v="3"/>
    <n v="3"/>
    <x v="10"/>
    <s v=" "/>
  </r>
  <r>
    <x v="5"/>
    <d v="1958-06-15T00:00:00"/>
    <s v=" 19:00 "/>
    <x v="2"/>
    <s v="Eyravallen"/>
    <s v="Orebro "/>
    <x v="5"/>
    <x v="0"/>
    <n v="2"/>
    <n v="1"/>
    <x v="27"/>
    <s v=" "/>
  </r>
  <r>
    <x v="5"/>
    <d v="1958-06-15T00:00:00"/>
    <s v=" 19:00 "/>
    <x v="1"/>
    <s v="Ryavallen"/>
    <s v="Boras "/>
    <x v="5"/>
    <x v="18"/>
    <n v="2"/>
    <n v="2"/>
    <x v="18"/>
    <s v=" "/>
  </r>
  <r>
    <x v="5"/>
    <d v="1958-06-15T00:00:00"/>
    <s v=" 19:00 "/>
    <x v="0"/>
    <s v="Olympia Stadium"/>
    <s v="Helsingborg "/>
    <x v="5"/>
    <x v="16"/>
    <n v="6"/>
    <n v="1"/>
    <x v="11"/>
    <s v=" "/>
  </r>
  <r>
    <x v="5"/>
    <d v="1958-06-17T00:00:00"/>
    <s v=" 19:00 "/>
    <x v="1"/>
    <s v="Nya Ullevi"/>
    <s v="Gothenburg "/>
    <x v="5"/>
    <x v="21"/>
    <n v="1"/>
    <n v="0"/>
    <x v="26"/>
    <s v=" "/>
  </r>
  <r>
    <x v="5"/>
    <d v="1958-06-17T00:00:00"/>
    <s v=" 19:00 "/>
    <x v="0"/>
    <s v="Malmo Stadion"/>
    <s v="Malmï¿½ "/>
    <x v="5"/>
    <x v="22"/>
    <n v="2"/>
    <n v="1"/>
    <x v="20"/>
    <s v="Northern Ireland win after extra time "/>
  </r>
  <r>
    <x v="5"/>
    <d v="1958-06-17T00:00:00"/>
    <s v=" 19:00 "/>
    <x v="3"/>
    <s v="Rasunda Stadium"/>
    <s v="Solna "/>
    <x v="5"/>
    <x v="24"/>
    <n v="2"/>
    <n v="1"/>
    <x v="17"/>
    <s v=" "/>
  </r>
  <r>
    <x v="5"/>
    <d v="1958-06-19T00:00:00"/>
    <s v=" 19:00 "/>
    <x v="7"/>
    <s v="Nya Ullevi"/>
    <s v="Gothenburg "/>
    <x v="5"/>
    <x v="7"/>
    <n v="1"/>
    <n v="0"/>
    <x v="32"/>
    <s v=" "/>
  </r>
  <r>
    <x v="5"/>
    <d v="1958-06-19T00:00:00"/>
    <s v=" 19:00 "/>
    <x v="7"/>
    <s v="Malmo Stadion"/>
    <s v="Malmï¿½ "/>
    <x v="5"/>
    <x v="19"/>
    <n v="1"/>
    <n v="0"/>
    <x v="10"/>
    <s v=" "/>
  </r>
  <r>
    <x v="5"/>
    <d v="1958-06-19T00:00:00"/>
    <s v=" 19:00 "/>
    <x v="7"/>
    <s v="Rasunda Stadium"/>
    <s v="Solna "/>
    <x v="5"/>
    <x v="12"/>
    <n v="2"/>
    <n v="0"/>
    <x v="34"/>
    <s v=" "/>
  </r>
  <r>
    <x v="5"/>
    <d v="1958-06-19T00:00:00"/>
    <s v=" 19:00 "/>
    <x v="7"/>
    <s v="Idrottsparken"/>
    <s v="Norrkï¿½Ping "/>
    <x v="5"/>
    <x v="0"/>
    <n v="4"/>
    <n v="0"/>
    <x v="33"/>
    <s v=" "/>
  </r>
  <r>
    <x v="5"/>
    <d v="1958-06-24T00:00:00"/>
    <s v=" 19:00 "/>
    <x v="4"/>
    <s v="Nya Ullevi"/>
    <s v="Gothenburg "/>
    <x v="5"/>
    <x v="12"/>
    <n v="3"/>
    <n v="1"/>
    <x v="30"/>
    <s v=" "/>
  </r>
  <r>
    <x v="5"/>
    <d v="1958-06-24T00:00:00"/>
    <s v=" 19:00 "/>
    <x v="4"/>
    <s v="Rasunda Stadium"/>
    <s v="Solna "/>
    <x v="5"/>
    <x v="7"/>
    <n v="5"/>
    <n v="2"/>
    <x v="4"/>
    <s v=" "/>
  </r>
  <r>
    <x v="5"/>
    <d v="1958-06-28T00:00:00"/>
    <s v=" 17:00 "/>
    <x v="8"/>
    <s v="Nya Ullevi"/>
    <s v="Gothenburg "/>
    <x v="5"/>
    <x v="0"/>
    <n v="6"/>
    <n v="3"/>
    <x v="30"/>
    <s v=" "/>
  </r>
  <r>
    <x v="5"/>
    <d v="1958-06-29T00:00:00"/>
    <s v=" 15:00 "/>
    <x v="5"/>
    <s v="Rasunda Stadium"/>
    <s v="Solna "/>
    <x v="5"/>
    <x v="7"/>
    <n v="5"/>
    <n v="2"/>
    <x v="15"/>
    <s v=" "/>
  </r>
  <r>
    <x v="6"/>
    <d v="1962-05-30T00:00:00"/>
    <s v=" 15:00 "/>
    <x v="0"/>
    <s v="Carlos Dittborn"/>
    <s v="Arica "/>
    <x v="6"/>
    <x v="6"/>
    <n v="2"/>
    <n v="1"/>
    <x v="35"/>
    <s v=" "/>
  </r>
  <r>
    <x v="6"/>
    <d v="1962-05-30T00:00:00"/>
    <s v=" 15:00 "/>
    <x v="3"/>
    <s v="Estadio Sausalito"/>
    <s v="Vina Del Mar "/>
    <x v="6"/>
    <x v="7"/>
    <n v="2"/>
    <n v="0"/>
    <x v="0"/>
    <s v=" "/>
  </r>
  <r>
    <x v="6"/>
    <d v="1962-05-30T00:00:00"/>
    <s v=" 15:00 "/>
    <x v="1"/>
    <s v="Estadio El Teniente-Codelco"/>
    <s v="Rancagua "/>
    <x v="6"/>
    <x v="4"/>
    <n v="1"/>
    <n v="0"/>
    <x v="36"/>
    <s v=" "/>
  </r>
  <r>
    <x v="6"/>
    <d v="1962-05-30T00:00:00"/>
    <s v=" 15:00 "/>
    <x v="2"/>
    <s v="Nacional"/>
    <s v="Santiago De Chile "/>
    <x v="6"/>
    <x v="5"/>
    <n v="3"/>
    <n v="1"/>
    <x v="14"/>
    <s v=" "/>
  </r>
  <r>
    <x v="6"/>
    <d v="1962-05-31T00:00:00"/>
    <s v=" 15:00 "/>
    <x v="0"/>
    <s v="Carlos Dittborn"/>
    <s v="Arica "/>
    <x v="6"/>
    <x v="21"/>
    <n v="2"/>
    <n v="0"/>
    <x v="10"/>
    <s v=" "/>
  </r>
  <r>
    <x v="6"/>
    <d v="1962-05-31T00:00:00"/>
    <s v=" 15:00 "/>
    <x v="3"/>
    <s v="Estadio Sausalito"/>
    <s v="Vina Del Mar "/>
    <x v="6"/>
    <x v="16"/>
    <n v="1"/>
    <n v="0"/>
    <x v="16"/>
    <s v=" "/>
  </r>
  <r>
    <x v="6"/>
    <d v="1962-05-31T00:00:00"/>
    <s v=" 15:00 "/>
    <x v="1"/>
    <s v="Estadio El Teniente-Codelco"/>
    <s v="Rancagua "/>
    <x v="6"/>
    <x v="10"/>
    <n v="2"/>
    <n v="1"/>
    <x v="26"/>
    <s v=" "/>
  </r>
  <r>
    <x v="6"/>
    <d v="1962-05-31T00:00:00"/>
    <s v=" 15:00 "/>
    <x v="2"/>
    <s v="Nacional"/>
    <s v="Santiago De Chile "/>
    <x v="6"/>
    <x v="19"/>
    <n v="0"/>
    <n v="0"/>
    <x v="25"/>
    <s v=" "/>
  </r>
  <r>
    <x v="6"/>
    <d v="1962-06-02T00:00:00"/>
    <s v=" 15:00 "/>
    <x v="0"/>
    <s v="Carlos Dittborn"/>
    <s v="Arica "/>
    <x v="6"/>
    <x v="2"/>
    <n v="3"/>
    <n v="1"/>
    <x v="31"/>
    <s v=" "/>
  </r>
  <r>
    <x v="6"/>
    <d v="1962-06-02T00:00:00"/>
    <s v=" 15:00 "/>
    <x v="3"/>
    <s v="Estadio Sausalito"/>
    <s v="Vina Del Mar "/>
    <x v="6"/>
    <x v="7"/>
    <n v="0"/>
    <n v="0"/>
    <x v="20"/>
    <s v=" "/>
  </r>
  <r>
    <x v="6"/>
    <d v="1962-06-02T00:00:00"/>
    <s v=" 15:00 "/>
    <x v="1"/>
    <s v="Estadio El Teniente-Codelco"/>
    <s v="Rancagua "/>
    <x v="6"/>
    <x v="18"/>
    <n v="3"/>
    <n v="1"/>
    <x v="11"/>
    <s v=" "/>
  </r>
  <r>
    <x v="6"/>
    <d v="1962-06-02T00:00:00"/>
    <s v=" 15:00 "/>
    <x v="2"/>
    <s v="Nacional"/>
    <s v="Santiago De Chile "/>
    <x v="6"/>
    <x v="5"/>
    <n v="2"/>
    <n v="0"/>
    <x v="25"/>
    <s v=" "/>
  </r>
  <r>
    <x v="6"/>
    <d v="1962-06-03T00:00:00"/>
    <s v=" 15:00 "/>
    <x v="0"/>
    <s v="Carlos Dittborn"/>
    <s v="Arica "/>
    <x v="6"/>
    <x v="21"/>
    <n v="4"/>
    <n v="4"/>
    <x v="35"/>
    <s v=" "/>
  </r>
  <r>
    <x v="6"/>
    <d v="1962-06-03T00:00:00"/>
    <s v=" 15:00 "/>
    <x v="3"/>
    <s v="Estadio Sausalito"/>
    <s v="Vina Del Mar "/>
    <x v="6"/>
    <x v="14"/>
    <n v="1"/>
    <n v="0"/>
    <x v="0"/>
    <s v=" "/>
  </r>
  <r>
    <x v="6"/>
    <d v="1962-06-03T00:00:00"/>
    <s v=" 15:00 "/>
    <x v="1"/>
    <s v="Estadio El Teniente-Codelco"/>
    <s v="Rancagua "/>
    <x v="6"/>
    <x v="10"/>
    <n v="6"/>
    <n v="1"/>
    <x v="36"/>
    <s v=" "/>
  </r>
  <r>
    <x v="6"/>
    <d v="1962-06-03T00:00:00"/>
    <s v=" 15:00 "/>
    <x v="2"/>
    <s v="Nacional"/>
    <s v="Santiago De Chile "/>
    <x v="6"/>
    <x v="19"/>
    <n v="2"/>
    <n v="1"/>
    <x v="14"/>
    <s v=" "/>
  </r>
  <r>
    <x v="6"/>
    <d v="1962-06-06T00:00:00"/>
    <s v=" 15:00 "/>
    <x v="0"/>
    <s v="Carlos Dittborn"/>
    <s v="Arica "/>
    <x v="6"/>
    <x v="21"/>
    <n v="2"/>
    <n v="1"/>
    <x v="31"/>
    <s v=" "/>
  </r>
  <r>
    <x v="6"/>
    <d v="1962-06-06T00:00:00"/>
    <s v=" 15:00 "/>
    <x v="3"/>
    <s v="Estadio Sausalito"/>
    <s v="Vina Del Mar "/>
    <x v="6"/>
    <x v="7"/>
    <n v="2"/>
    <n v="1"/>
    <x v="16"/>
    <s v=" "/>
  </r>
  <r>
    <x v="6"/>
    <d v="1962-06-06T00:00:00"/>
    <s v=" 15:00 "/>
    <x v="1"/>
    <s v="Estadio El Teniente-Codelco"/>
    <s v="Rancagua "/>
    <x v="6"/>
    <x v="10"/>
    <n v="0"/>
    <n v="0"/>
    <x v="11"/>
    <s v=" "/>
  </r>
  <r>
    <x v="6"/>
    <d v="1962-06-06T00:00:00"/>
    <s v=" 15:00 "/>
    <x v="2"/>
    <s v="Nacional"/>
    <s v="Santiago De Chile "/>
    <x v="6"/>
    <x v="19"/>
    <n v="2"/>
    <n v="0"/>
    <x v="8"/>
    <s v=" "/>
  </r>
  <r>
    <x v="6"/>
    <d v="1962-06-07T00:00:00"/>
    <s v=" 15:00 "/>
    <x v="0"/>
    <s v="Carlos Dittborn"/>
    <s v="Arica "/>
    <x v="6"/>
    <x v="2"/>
    <n v="5"/>
    <n v="0"/>
    <x v="35"/>
    <s v=" "/>
  </r>
  <r>
    <x v="6"/>
    <d v="1962-06-07T00:00:00"/>
    <s v=" 15:00 "/>
    <x v="3"/>
    <s v="Estadio Sausalito"/>
    <s v="Vina Del Mar "/>
    <x v="6"/>
    <x v="23"/>
    <n v="3"/>
    <n v="1"/>
    <x v="20"/>
    <s v=" "/>
  </r>
  <r>
    <x v="6"/>
    <d v="1962-06-07T00:00:00"/>
    <s v=" 15:00 "/>
    <x v="1"/>
    <s v="Estadio El Teniente-Codelco"/>
    <s v="Rancagua "/>
    <x v="6"/>
    <x v="18"/>
    <n v="0"/>
    <n v="0"/>
    <x v="36"/>
    <s v=" "/>
  </r>
  <r>
    <x v="6"/>
    <d v="1962-06-07T00:00:00"/>
    <s v=" 15:00 "/>
    <x v="2"/>
    <s v="Nacional"/>
    <s v="Santiago De Chile "/>
    <x v="6"/>
    <x v="15"/>
    <n v="3"/>
    <n v="0"/>
    <x v="14"/>
    <s v=" "/>
  </r>
  <r>
    <x v="6"/>
    <d v="1962-06-10T00:00:00"/>
    <s v=" 14:30 "/>
    <x v="7"/>
    <s v="Carlos Dittborn"/>
    <s v="Arica "/>
    <x v="6"/>
    <x v="5"/>
    <n v="2"/>
    <n v="1"/>
    <x v="34"/>
    <s v=" "/>
  </r>
  <r>
    <x v="6"/>
    <d v="1962-06-10T00:00:00"/>
    <s v=" 14:30 "/>
    <x v="7"/>
    <s v="Estadio Sausalito"/>
    <s v="Vina Del Mar "/>
    <x v="6"/>
    <x v="7"/>
    <n v="3"/>
    <n v="1"/>
    <x v="26"/>
    <s v=" "/>
  </r>
  <r>
    <x v="6"/>
    <d v="1962-06-10T00:00:00"/>
    <s v=" 14:30 "/>
    <x v="7"/>
    <s v="Estadio El Teniente-Codelco"/>
    <s v="Rancagua "/>
    <x v="6"/>
    <x v="16"/>
    <n v="1"/>
    <n v="0"/>
    <x v="17"/>
    <s v=" "/>
  </r>
  <r>
    <x v="6"/>
    <d v="1962-06-10T00:00:00"/>
    <s v=" 14:30 "/>
    <x v="7"/>
    <s v="Nacional"/>
    <s v="Santiago De Chile "/>
    <x v="6"/>
    <x v="2"/>
    <n v="1"/>
    <n v="0"/>
    <x v="30"/>
    <s v=" "/>
  </r>
  <r>
    <x v="6"/>
    <d v="1962-06-13T00:00:00"/>
    <s v=" 14:30 "/>
    <x v="4"/>
    <s v="Estadio Sausalito"/>
    <s v="Vina Del Mar "/>
    <x v="6"/>
    <x v="16"/>
    <n v="3"/>
    <n v="1"/>
    <x v="10"/>
    <s v=" "/>
  </r>
  <r>
    <x v="6"/>
    <d v="1962-06-13T00:00:00"/>
    <s v=" 14:30 "/>
    <x v="4"/>
    <s v="Nacional"/>
    <s v="Santiago De Chile "/>
    <x v="6"/>
    <x v="7"/>
    <n v="4"/>
    <n v="2"/>
    <x v="8"/>
    <s v=" "/>
  </r>
  <r>
    <x v="6"/>
    <d v="1962-06-16T00:00:00"/>
    <s v=" 14:30 "/>
    <x v="8"/>
    <s v="Nacional"/>
    <s v="Santiago De Chile "/>
    <x v="6"/>
    <x v="5"/>
    <n v="1"/>
    <n v="0"/>
    <x v="10"/>
    <s v=" "/>
  </r>
  <r>
    <x v="6"/>
    <d v="1962-06-17T00:00:00"/>
    <s v=" 14:30 "/>
    <x v="5"/>
    <s v="Nacional"/>
    <s v="Santiago De Chile "/>
    <x v="6"/>
    <x v="7"/>
    <n v="3"/>
    <n v="1"/>
    <x v="20"/>
    <s v=" "/>
  </r>
  <r>
    <x v="7"/>
    <d v="1966-07-11T00:00:00"/>
    <s v=" 19:30 "/>
    <x v="0"/>
    <s v="Wembley Stadium"/>
    <s v="London "/>
    <x v="7"/>
    <x v="18"/>
    <n v="0"/>
    <n v="0"/>
    <x v="31"/>
    <s v=" "/>
  </r>
  <r>
    <x v="7"/>
    <d v="1966-07-12T00:00:00"/>
    <s v=" 19:30 "/>
    <x v="2"/>
    <s v="Hillsborough"/>
    <s v="Sheffield "/>
    <x v="7"/>
    <x v="19"/>
    <n v="5"/>
    <n v="0"/>
    <x v="14"/>
    <s v=" "/>
  </r>
  <r>
    <x v="7"/>
    <d v="1966-07-12T00:00:00"/>
    <s v=" 19:30 "/>
    <x v="3"/>
    <s v="Goodison Park"/>
    <s v="Liverpool "/>
    <x v="7"/>
    <x v="7"/>
    <n v="2"/>
    <n v="0"/>
    <x v="36"/>
    <s v=" "/>
  </r>
  <r>
    <x v="7"/>
    <d v="1966-07-12T00:00:00"/>
    <s v=" 19:30 "/>
    <x v="1"/>
    <s v="Ayresome Park"/>
    <s v="Middlesbrough "/>
    <x v="7"/>
    <x v="21"/>
    <n v="3"/>
    <n v="0"/>
    <x v="37"/>
    <s v=" "/>
  </r>
  <r>
    <x v="7"/>
    <d v="1966-07-13T00:00:00"/>
    <s v=" 19:30 "/>
    <x v="0"/>
    <s v="Wembley Stadium"/>
    <s v="London "/>
    <x v="7"/>
    <x v="0"/>
    <n v="1"/>
    <n v="1"/>
    <x v="0"/>
    <s v=" "/>
  </r>
  <r>
    <x v="7"/>
    <d v="1966-07-13T00:00:00"/>
    <s v=" 19:30 "/>
    <x v="3"/>
    <s v="Old Trafford Stadium"/>
    <s v="Manchester "/>
    <x v="7"/>
    <x v="25"/>
    <n v="3"/>
    <n v="1"/>
    <x v="17"/>
    <s v=" "/>
  </r>
  <r>
    <x v="7"/>
    <d v="1966-07-13T00:00:00"/>
    <s v=" 19:30 "/>
    <x v="2"/>
    <s v="Villa Park"/>
    <s v="Birmingham "/>
    <x v="7"/>
    <x v="4"/>
    <n v="2"/>
    <n v="1"/>
    <x v="16"/>
    <s v=" "/>
  </r>
  <r>
    <x v="7"/>
    <d v="1966-07-13T00:00:00"/>
    <s v=" 19:30 "/>
    <x v="1"/>
    <s v="Roker Park Ground"/>
    <s v="Sunderland "/>
    <x v="7"/>
    <x v="15"/>
    <n v="2"/>
    <n v="0"/>
    <x v="8"/>
    <s v=" "/>
  </r>
  <r>
    <x v="7"/>
    <d v="1966-07-15T00:00:00"/>
    <s v=" 19:30 "/>
    <x v="0"/>
    <s v="White City"/>
    <s v="London "/>
    <x v="7"/>
    <x v="6"/>
    <n v="2"/>
    <n v="1"/>
    <x v="4"/>
    <s v=" "/>
  </r>
  <r>
    <x v="7"/>
    <d v="1966-07-15T00:00:00"/>
    <s v=" 19:30 "/>
    <x v="2"/>
    <s v="Hillsborough"/>
    <s v="Sheffield "/>
    <x v="7"/>
    <x v="14"/>
    <n v="2"/>
    <n v="1"/>
    <x v="14"/>
    <s v=" "/>
  </r>
  <r>
    <x v="7"/>
    <d v="1966-07-15T00:00:00"/>
    <s v=" 19:30 "/>
    <x v="3"/>
    <s v="Goodison Park"/>
    <s v="Liverpool "/>
    <x v="7"/>
    <x v="10"/>
    <n v="3"/>
    <n v="1"/>
    <x v="2"/>
    <s v=" "/>
  </r>
  <r>
    <x v="7"/>
    <d v="1966-07-15T00:00:00"/>
    <s v=" 19:30 "/>
    <x v="1"/>
    <s v="Ayresome Park"/>
    <s v="Middlesbrough "/>
    <x v="7"/>
    <x v="26"/>
    <n v="1"/>
    <n v="1"/>
    <x v="8"/>
    <s v=" "/>
  </r>
  <r>
    <x v="7"/>
    <d v="1966-07-16T00:00:00"/>
    <s v=" 15:00 "/>
    <x v="3"/>
    <s v="Old Trafford Stadium"/>
    <s v="Manchester "/>
    <x v="7"/>
    <x v="25"/>
    <n v="3"/>
    <n v="0"/>
    <x v="36"/>
    <s v=" "/>
  </r>
  <r>
    <x v="7"/>
    <d v="1966-07-16T00:00:00"/>
    <s v=" 15:00 "/>
    <x v="2"/>
    <s v="Villa Park"/>
    <s v="Birmingham "/>
    <x v="7"/>
    <x v="19"/>
    <n v="0"/>
    <n v="0"/>
    <x v="11"/>
    <s v=" "/>
  </r>
  <r>
    <x v="7"/>
    <d v="1966-07-16T00:00:00"/>
    <s v=" 15:00 "/>
    <x v="1"/>
    <s v="Roker Park Ground"/>
    <s v="Sunderland "/>
    <x v="7"/>
    <x v="21"/>
    <n v="1"/>
    <n v="0"/>
    <x v="25"/>
    <s v=" "/>
  </r>
  <r>
    <x v="7"/>
    <d v="1966-07-16T00:00:00"/>
    <s v=" 19:30 "/>
    <x v="0"/>
    <s v="Wembley Stadium"/>
    <s v="London "/>
    <x v="7"/>
    <x v="18"/>
    <n v="2"/>
    <n v="0"/>
    <x v="0"/>
    <s v=" "/>
  </r>
  <r>
    <x v="7"/>
    <d v="1966-07-19T00:00:00"/>
    <s v=" 16:30 "/>
    <x v="0"/>
    <s v="Wembley Stadium"/>
    <s v="London "/>
    <x v="7"/>
    <x v="6"/>
    <n v="0"/>
    <n v="0"/>
    <x v="0"/>
    <s v=" "/>
  </r>
  <r>
    <x v="7"/>
    <d v="1966-07-19T00:00:00"/>
    <s v=" 19:30 "/>
    <x v="2"/>
    <s v="Hillsborough"/>
    <s v="Sheffield "/>
    <x v="7"/>
    <x v="4"/>
    <n v="2"/>
    <n v="0"/>
    <x v="14"/>
    <s v=" "/>
  </r>
  <r>
    <x v="7"/>
    <d v="1966-07-19T00:00:00"/>
    <s v=" 19:30 "/>
    <x v="3"/>
    <s v="Goodison Park"/>
    <s v="Liverpool "/>
    <x v="7"/>
    <x v="25"/>
    <n v="3"/>
    <n v="1"/>
    <x v="2"/>
    <s v=" "/>
  </r>
  <r>
    <x v="7"/>
    <d v="1966-07-19T00:00:00"/>
    <s v=" 19:30 "/>
    <x v="1"/>
    <s v="Ayresome Park"/>
    <s v="Middlesbrough "/>
    <x v="7"/>
    <x v="26"/>
    <n v="1"/>
    <n v="0"/>
    <x v="25"/>
    <s v=" "/>
  </r>
  <r>
    <x v="7"/>
    <d v="1966-07-20T00:00:00"/>
    <s v=" 19:30 "/>
    <x v="0"/>
    <s v="Wembley Stadium"/>
    <s v="London "/>
    <x v="7"/>
    <x v="18"/>
    <n v="2"/>
    <n v="0"/>
    <x v="4"/>
    <s v=" "/>
  </r>
  <r>
    <x v="7"/>
    <d v="1966-07-20T00:00:00"/>
    <s v=" 19:30 "/>
    <x v="3"/>
    <s v="Old Trafford Stadium"/>
    <s v="Manchester "/>
    <x v="7"/>
    <x v="10"/>
    <n v="3"/>
    <n v="1"/>
    <x v="36"/>
    <s v=" "/>
  </r>
  <r>
    <x v="7"/>
    <d v="1966-07-20T00:00:00"/>
    <s v=" 19:30 "/>
    <x v="2"/>
    <s v="Villa Park"/>
    <s v="Birmingham "/>
    <x v="7"/>
    <x v="19"/>
    <n v="2"/>
    <n v="1"/>
    <x v="16"/>
    <s v=" "/>
  </r>
  <r>
    <x v="7"/>
    <d v="1966-07-20T00:00:00"/>
    <s v=" 19:30 "/>
    <x v="1"/>
    <s v="Roker Park Ground"/>
    <s v="Sunderland "/>
    <x v="7"/>
    <x v="21"/>
    <n v="2"/>
    <n v="1"/>
    <x v="8"/>
    <s v=" "/>
  </r>
  <r>
    <x v="7"/>
    <d v="1966-07-23T00:00:00"/>
    <s v=" 15:00 "/>
    <x v="7"/>
    <s v="Wembley Stadium"/>
    <s v="London "/>
    <x v="7"/>
    <x v="18"/>
    <n v="1"/>
    <n v="0"/>
    <x v="11"/>
    <s v=" "/>
  </r>
  <r>
    <x v="7"/>
    <d v="1966-07-23T00:00:00"/>
    <s v=" 15:00 "/>
    <x v="7"/>
    <s v="Hillsborough"/>
    <s v="Sheffield "/>
    <x v="7"/>
    <x v="19"/>
    <n v="4"/>
    <n v="0"/>
    <x v="31"/>
    <s v=" "/>
  </r>
  <r>
    <x v="7"/>
    <d v="1966-07-23T00:00:00"/>
    <s v=" 15:00 "/>
    <x v="7"/>
    <s v="Roker Park Ground"/>
    <s v="Sunderland "/>
    <x v="7"/>
    <x v="21"/>
    <n v="2"/>
    <n v="1"/>
    <x v="17"/>
    <s v=" "/>
  </r>
  <r>
    <x v="7"/>
    <d v="1966-07-23T00:00:00"/>
    <s v=" 15:00 "/>
    <x v="7"/>
    <s v="Goodison Park"/>
    <s v="Liverpool "/>
    <x v="7"/>
    <x v="25"/>
    <n v="5"/>
    <n v="3"/>
    <x v="37"/>
    <s v=" "/>
  </r>
  <r>
    <x v="7"/>
    <d v="1966-07-25T00:00:00"/>
    <s v=" 19:30 "/>
    <x v="4"/>
    <s v="Goodison Park"/>
    <s v="Liverpool "/>
    <x v="7"/>
    <x v="19"/>
    <n v="2"/>
    <n v="1"/>
    <x v="34"/>
    <s v=" "/>
  </r>
  <r>
    <x v="7"/>
    <d v="1966-07-26T00:00:00"/>
    <s v=" 19:30 "/>
    <x v="4"/>
    <s v="Wembley Stadium"/>
    <s v="London "/>
    <x v="7"/>
    <x v="18"/>
    <n v="2"/>
    <n v="1"/>
    <x v="38"/>
    <s v=" "/>
  </r>
  <r>
    <x v="7"/>
    <d v="1966-07-28T00:00:00"/>
    <s v=" 19:30 "/>
    <x v="8"/>
    <s v="Wembley Stadium"/>
    <s v="London "/>
    <x v="7"/>
    <x v="25"/>
    <n v="2"/>
    <n v="1"/>
    <x v="34"/>
    <s v=" "/>
  </r>
  <r>
    <x v="7"/>
    <d v="1966-07-30T00:00:00"/>
    <s v=" 15:00 "/>
    <x v="5"/>
    <s v="Wembley Stadium"/>
    <s v="London "/>
    <x v="7"/>
    <x v="18"/>
    <n v="4"/>
    <n v="2"/>
    <x v="30"/>
    <s v="England win after extra time "/>
  </r>
  <r>
    <x v="8"/>
    <d v="1970-05-31T00:00:00"/>
    <s v=" 12:00 "/>
    <x v="0"/>
    <s v="Estadio Azteca"/>
    <s v="Mexico City "/>
    <x v="8"/>
    <x v="23"/>
    <n v="0"/>
    <n v="0"/>
    <x v="34"/>
    <s v=" "/>
  </r>
  <r>
    <x v="8"/>
    <d v="1970-06-02T00:00:00"/>
    <s v=" 16:00 "/>
    <x v="2"/>
    <s v="Cuauhtemoc"/>
    <s v="Puebla "/>
    <x v="8"/>
    <x v="6"/>
    <n v="2"/>
    <n v="0"/>
    <x v="39"/>
    <s v=" "/>
  </r>
  <r>
    <x v="8"/>
    <d v="1970-06-02T00:00:00"/>
    <s v=" 16:00 "/>
    <x v="1"/>
    <s v="Nou Camp - Estadio Leï¿½n"/>
    <s v="Leon "/>
    <x v="8"/>
    <x v="27"/>
    <n v="3"/>
    <n v="2"/>
    <x v="36"/>
    <s v=" "/>
  </r>
  <r>
    <x v="8"/>
    <d v="1970-06-02T00:00:00"/>
    <s v=" 16:00 "/>
    <x v="3"/>
    <s v="Jalisco"/>
    <s v="Guadalajara "/>
    <x v="8"/>
    <x v="18"/>
    <n v="1"/>
    <n v="0"/>
    <x v="7"/>
    <s v=" "/>
  </r>
  <r>
    <x v="8"/>
    <d v="1970-06-03T00:00:00"/>
    <s v=" 16:00 "/>
    <x v="2"/>
    <s v="Luis Dosal"/>
    <s v="Toluca "/>
    <x v="8"/>
    <x v="15"/>
    <n v="1"/>
    <n v="0"/>
    <x v="15"/>
    <s v=" "/>
  </r>
  <r>
    <x v="8"/>
    <d v="1970-06-03T00:00:00"/>
    <s v=" 16:00 "/>
    <x v="1"/>
    <s v="Nou Camp - Estadio Leï¿½n"/>
    <s v="Leon "/>
    <x v="8"/>
    <x v="19"/>
    <n v="2"/>
    <n v="1"/>
    <x v="40"/>
    <s v=" "/>
  </r>
  <r>
    <x v="8"/>
    <d v="1970-06-03T00:00:00"/>
    <s v=" 16:00 "/>
    <x v="3"/>
    <s v="Jalisco"/>
    <s v="Guadalajara "/>
    <x v="8"/>
    <x v="7"/>
    <n v="4"/>
    <n v="1"/>
    <x v="20"/>
    <s v=" "/>
  </r>
  <r>
    <x v="8"/>
    <d v="1970-06-03T00:00:00"/>
    <s v=" 16:00 "/>
    <x v="0"/>
    <s v="Estadio Azteca"/>
    <s v="Mexico City "/>
    <x v="8"/>
    <x v="28"/>
    <n v="3"/>
    <n v="0"/>
    <x v="41"/>
    <s v=" "/>
  </r>
  <r>
    <x v="8"/>
    <d v="1970-06-06T00:00:00"/>
    <s v=" 16:00 "/>
    <x v="2"/>
    <s v="Cuauhtemoc"/>
    <s v="Puebla "/>
    <x v="8"/>
    <x v="6"/>
    <n v="0"/>
    <n v="0"/>
    <x v="25"/>
    <s v=" "/>
  </r>
  <r>
    <x v="8"/>
    <d v="1970-06-06T00:00:00"/>
    <s v=" 16:00 "/>
    <x v="1"/>
    <s v="Nou Camp - Estadio Leï¿½n"/>
    <s v="Leon "/>
    <x v="8"/>
    <x v="27"/>
    <n v="3"/>
    <n v="0"/>
    <x v="40"/>
    <s v=" "/>
  </r>
  <r>
    <x v="8"/>
    <d v="1970-06-06T00:00:00"/>
    <s v=" 16:00 "/>
    <x v="3"/>
    <s v="Jalisco"/>
    <s v="Guadalajara "/>
    <x v="8"/>
    <x v="3"/>
    <n v="2"/>
    <n v="1"/>
    <x v="20"/>
    <s v=" "/>
  </r>
  <r>
    <x v="8"/>
    <d v="1970-06-06T00:00:00"/>
    <s v=" 16:00 "/>
    <x v="0"/>
    <s v="Estadio Azteca"/>
    <s v="Mexico City "/>
    <x v="8"/>
    <x v="21"/>
    <n v="4"/>
    <n v="1"/>
    <x v="1"/>
    <s v=" "/>
  </r>
  <r>
    <x v="8"/>
    <d v="1970-06-07T00:00:00"/>
    <s v=" 12:00 "/>
    <x v="2"/>
    <s v="Luis Dosal"/>
    <s v="Toluca "/>
    <x v="8"/>
    <x v="12"/>
    <n v="1"/>
    <n v="1"/>
    <x v="39"/>
    <s v=" "/>
  </r>
  <r>
    <x v="8"/>
    <d v="1970-06-07T00:00:00"/>
    <s v=" 12:00 "/>
    <x v="1"/>
    <s v="Nou Camp - Estadio Leï¿½n"/>
    <s v="Leon "/>
    <x v="8"/>
    <x v="19"/>
    <n v="5"/>
    <n v="2"/>
    <x v="36"/>
    <s v=" "/>
  </r>
  <r>
    <x v="8"/>
    <d v="1970-06-07T00:00:00"/>
    <s v=" 12:00 "/>
    <x v="3"/>
    <s v="Jalisco"/>
    <s v="Guadalajara "/>
    <x v="8"/>
    <x v="7"/>
    <n v="1"/>
    <n v="0"/>
    <x v="26"/>
    <s v=" "/>
  </r>
  <r>
    <x v="8"/>
    <d v="1970-06-07T00:00:00"/>
    <s v=" 12:00 "/>
    <x v="0"/>
    <s v="Estadio Azteca"/>
    <s v="Mexico City "/>
    <x v="8"/>
    <x v="23"/>
    <n v="4"/>
    <n v="0"/>
    <x v="41"/>
    <s v=" "/>
  </r>
  <r>
    <x v="8"/>
    <d v="1970-06-10T00:00:00"/>
    <s v=" 16:00 "/>
    <x v="2"/>
    <s v="Cuauhtemoc"/>
    <s v="Puebla "/>
    <x v="8"/>
    <x v="12"/>
    <n v="1"/>
    <n v="0"/>
    <x v="31"/>
    <s v=" "/>
  </r>
  <r>
    <x v="8"/>
    <d v="1970-06-10T00:00:00"/>
    <s v=" 16:00 "/>
    <x v="1"/>
    <s v="Nou Camp - Estadio Leï¿½n"/>
    <s v="Leon "/>
    <x v="8"/>
    <x v="19"/>
    <n v="3"/>
    <n v="1"/>
    <x v="3"/>
    <s v=" "/>
  </r>
  <r>
    <x v="8"/>
    <d v="1970-06-10T00:00:00"/>
    <s v=" 16:00 "/>
    <x v="3"/>
    <s v="Jalisco"/>
    <s v="Guadalajara "/>
    <x v="8"/>
    <x v="7"/>
    <n v="3"/>
    <n v="2"/>
    <x v="7"/>
    <s v=" "/>
  </r>
  <r>
    <x v="8"/>
    <d v="1970-06-10T00:00:00"/>
    <s v=" 16:00 "/>
    <x v="0"/>
    <s v="Estadio Azteca"/>
    <s v="Mexico City "/>
    <x v="8"/>
    <x v="21"/>
    <n v="2"/>
    <n v="0"/>
    <x v="41"/>
    <s v=" "/>
  </r>
  <r>
    <x v="8"/>
    <d v="1970-06-11T00:00:00"/>
    <s v=" 16:00 "/>
    <x v="2"/>
    <s v="Luis Dosal"/>
    <s v="Toluca "/>
    <x v="8"/>
    <x v="15"/>
    <n v="0"/>
    <n v="0"/>
    <x v="39"/>
    <s v=" "/>
  </r>
  <r>
    <x v="8"/>
    <d v="1970-06-11T00:00:00"/>
    <s v=" 16:00 "/>
    <x v="1"/>
    <s v="Nou Camp - Estadio Leï¿½n"/>
    <s v="Leon "/>
    <x v="8"/>
    <x v="29"/>
    <n v="1"/>
    <n v="1"/>
    <x v="40"/>
    <s v=" "/>
  </r>
  <r>
    <x v="8"/>
    <d v="1970-06-11T00:00:00"/>
    <s v=" 16:00 "/>
    <x v="3"/>
    <s v="Jalisco"/>
    <s v="Guadalajara "/>
    <x v="8"/>
    <x v="18"/>
    <n v="1"/>
    <n v="0"/>
    <x v="20"/>
    <s v=" "/>
  </r>
  <r>
    <x v="8"/>
    <d v="1970-06-11T00:00:00"/>
    <s v=" 16:00 "/>
    <x v="0"/>
    <s v="Estadio Azteca"/>
    <s v="Mexico City "/>
    <x v="8"/>
    <x v="23"/>
    <n v="1"/>
    <n v="0"/>
    <x v="1"/>
    <s v=" "/>
  </r>
  <r>
    <x v="8"/>
    <d v="1970-06-14T00:00:00"/>
    <s v=" 12:00 "/>
    <x v="7"/>
    <s v="Luis Dosal"/>
    <s v="Toluca "/>
    <x v="8"/>
    <x v="15"/>
    <n v="4"/>
    <n v="1"/>
    <x v="0"/>
    <s v=" "/>
  </r>
  <r>
    <x v="8"/>
    <d v="1970-06-14T00:00:00"/>
    <s v=" 12:00 "/>
    <x v="7"/>
    <s v="Nou Camp - Estadio Leï¿½n"/>
    <s v="Leon "/>
    <x v="8"/>
    <x v="19"/>
    <n v="3"/>
    <n v="2"/>
    <x v="26"/>
    <s v="Germany FR win after extra time "/>
  </r>
  <r>
    <x v="8"/>
    <d v="1970-06-14T00:00:00"/>
    <s v=" 12:00 "/>
    <x v="7"/>
    <s v="Jalisco"/>
    <s v="Guadalajara "/>
    <x v="8"/>
    <x v="7"/>
    <n v="4"/>
    <n v="2"/>
    <x v="3"/>
    <s v=" "/>
  </r>
  <r>
    <x v="8"/>
    <d v="1970-06-14T00:00:00"/>
    <s v=" 12:00 "/>
    <x v="7"/>
    <s v="Estadio Azteca"/>
    <s v="Mexico City "/>
    <x v="8"/>
    <x v="6"/>
    <n v="1"/>
    <n v="0"/>
    <x v="34"/>
    <s v="Uruguay win after extra time "/>
  </r>
  <r>
    <x v="8"/>
    <d v="1970-06-17T00:00:00"/>
    <s v=" 16:00 "/>
    <x v="4"/>
    <s v="Jalisco"/>
    <s v="Guadalajara "/>
    <x v="8"/>
    <x v="7"/>
    <n v="3"/>
    <n v="1"/>
    <x v="31"/>
    <s v=" "/>
  </r>
  <r>
    <x v="8"/>
    <d v="1970-06-17T00:00:00"/>
    <s v=" 16:00 "/>
    <x v="4"/>
    <s v="Estadio Azteca"/>
    <s v="Mexico City "/>
    <x v="8"/>
    <x v="15"/>
    <n v="4"/>
    <n v="3"/>
    <x v="30"/>
    <s v="Italy win after extra time "/>
  </r>
  <r>
    <x v="8"/>
    <d v="1970-06-20T00:00:00"/>
    <s v=" 16:00 "/>
    <x v="8"/>
    <s v="Estadio Azteca"/>
    <s v="Mexico City "/>
    <x v="8"/>
    <x v="19"/>
    <n v="1"/>
    <n v="0"/>
    <x v="31"/>
    <s v=" "/>
  </r>
  <r>
    <x v="8"/>
    <d v="1970-06-21T00:00:00"/>
    <s v=" 12:00 "/>
    <x v="5"/>
    <s v="Estadio Azteca"/>
    <s v="Mexico City "/>
    <x v="8"/>
    <x v="7"/>
    <n v="4"/>
    <n v="1"/>
    <x v="25"/>
    <s v=" "/>
  </r>
  <r>
    <x v="9"/>
    <d v="1974-06-13T00:00:00"/>
    <s v=" 17:00 "/>
    <x v="2"/>
    <s v="Waldstadion"/>
    <s v="Frankfurt/Main "/>
    <x v="9"/>
    <x v="7"/>
    <n v="0"/>
    <n v="0"/>
    <x v="10"/>
    <s v=" "/>
  </r>
  <r>
    <x v="9"/>
    <d v="1974-06-14T00:00:00"/>
    <s v=" 16:00 "/>
    <x v="0"/>
    <s v="Olympiastadion"/>
    <s v="Berlin West "/>
    <x v="9"/>
    <x v="19"/>
    <n v="1"/>
    <n v="0"/>
    <x v="8"/>
    <s v=" "/>
  </r>
  <r>
    <x v="9"/>
    <d v="1974-06-14T00:00:00"/>
    <s v=" 19:30 "/>
    <x v="0"/>
    <s v="Volksparkstadion"/>
    <s v="Hamburg "/>
    <x v="9"/>
    <x v="30"/>
    <n v="2"/>
    <n v="0"/>
    <x v="42"/>
    <s v=" "/>
  </r>
  <r>
    <x v="9"/>
    <d v="1974-06-14T00:00:00"/>
    <s v=" 19:30 "/>
    <x v="2"/>
    <s v="Westfalenstadion"/>
    <s v="Dortmund "/>
    <x v="9"/>
    <x v="31"/>
    <n v="0"/>
    <n v="2"/>
    <x v="27"/>
    <s v=" "/>
  </r>
  <r>
    <x v="9"/>
    <d v="1974-06-15T00:00:00"/>
    <s v=" 16:00 "/>
    <x v="3"/>
    <s v="Niedersachsenstadion"/>
    <s v="Hanover "/>
    <x v="9"/>
    <x v="6"/>
    <n v="0"/>
    <n v="2"/>
    <x v="13"/>
    <s v=" "/>
  </r>
  <r>
    <x v="9"/>
    <d v="1974-06-15T00:00:00"/>
    <s v=" 16:00 "/>
    <x v="3"/>
    <s v="Rheinstadion"/>
    <s v="Dï¿½Sseldorf "/>
    <x v="9"/>
    <x v="12"/>
    <n v="0"/>
    <n v="0"/>
    <x v="36"/>
    <s v=" "/>
  </r>
  <r>
    <x v="9"/>
    <d v="1974-06-15T00:00:00"/>
    <s v=" 18:00 "/>
    <x v="1"/>
    <s v="Olympiastadion"/>
    <s v="Munich "/>
    <x v="9"/>
    <x v="15"/>
    <n v="3"/>
    <n v="1"/>
    <x v="43"/>
    <s v=" "/>
  </r>
  <r>
    <x v="9"/>
    <d v="1974-06-15T00:00:00"/>
    <s v=" 18:00 "/>
    <x v="1"/>
    <s v="Neckarstadion"/>
    <s v="Stuttgart "/>
    <x v="9"/>
    <x v="32"/>
    <n v="3"/>
    <n v="2"/>
    <x v="11"/>
    <s v=" "/>
  </r>
  <r>
    <x v="9"/>
    <d v="1974-06-18T00:00:00"/>
    <s v=" 16:00 "/>
    <x v="0"/>
    <s v="Volksparkstadion"/>
    <s v="Hamburg "/>
    <x v="9"/>
    <x v="33"/>
    <n v="0"/>
    <n v="3"/>
    <x v="30"/>
    <s v=" "/>
  </r>
  <r>
    <x v="9"/>
    <d v="1974-06-18T00:00:00"/>
    <s v=" 19:30 "/>
    <x v="2"/>
    <s v="Waldstadion"/>
    <s v="Frankfurt/Main "/>
    <x v="9"/>
    <x v="34"/>
    <n v="0"/>
    <n v="0"/>
    <x v="2"/>
    <s v=" "/>
  </r>
  <r>
    <x v="9"/>
    <d v="1974-06-18T00:00:00"/>
    <s v=" 19:30 "/>
    <x v="0"/>
    <s v="Olympiastadion"/>
    <s v="Berlin West "/>
    <x v="9"/>
    <x v="5"/>
    <n v="1"/>
    <n v="1"/>
    <x v="44"/>
    <s v=" "/>
  </r>
  <r>
    <x v="9"/>
    <d v="1974-06-18T00:00:00"/>
    <s v=" 19:30 "/>
    <x v="2"/>
    <s v="Parkstadion"/>
    <s v="Gelsenkirchen "/>
    <x v="9"/>
    <x v="2"/>
    <n v="9"/>
    <n v="0"/>
    <x v="45"/>
    <s v=" "/>
  </r>
  <r>
    <x v="9"/>
    <d v="1974-06-19T00:00:00"/>
    <s v=" 19:30 "/>
    <x v="3"/>
    <s v="Westfalenstadion"/>
    <s v="Dortmund "/>
    <x v="9"/>
    <x v="35"/>
    <n v="0"/>
    <n v="0"/>
    <x v="15"/>
    <s v=" "/>
  </r>
  <r>
    <x v="9"/>
    <d v="1974-06-19T00:00:00"/>
    <s v=" 19:30 "/>
    <x v="3"/>
    <s v="Niedersachsenstadion"/>
    <s v="Hanover "/>
    <x v="9"/>
    <x v="29"/>
    <n v="1"/>
    <n v="1"/>
    <x v="31"/>
    <s v=" "/>
  </r>
  <r>
    <x v="9"/>
    <d v="1974-06-19T00:00:00"/>
    <s v=" 19:30 "/>
    <x v="1"/>
    <s v="Olympiastadion"/>
    <s v="Munich "/>
    <x v="9"/>
    <x v="36"/>
    <n v="0"/>
    <n v="7"/>
    <x v="23"/>
    <s v=" "/>
  </r>
  <r>
    <x v="9"/>
    <d v="1974-06-19T00:00:00"/>
    <s v=" 19:30 "/>
    <x v="1"/>
    <s v="Neckarstadion"/>
    <s v="Stuttgart "/>
    <x v="9"/>
    <x v="4"/>
    <n v="1"/>
    <n v="1"/>
    <x v="25"/>
    <s v=" "/>
  </r>
  <r>
    <x v="9"/>
    <d v="1974-06-22T00:00:00"/>
    <s v=" 16:00 "/>
    <x v="2"/>
    <s v="Waldstadion"/>
    <s v="Frankfurt/Main "/>
    <x v="9"/>
    <x v="34"/>
    <n v="1"/>
    <n v="1"/>
    <x v="10"/>
    <s v=" "/>
  </r>
  <r>
    <x v="9"/>
    <d v="1974-06-22T00:00:00"/>
    <s v=" 16:00 "/>
    <x v="0"/>
    <s v="Olympiastadion"/>
    <s v="Berlin West "/>
    <x v="9"/>
    <x v="33"/>
    <n v="0"/>
    <n v="0"/>
    <x v="8"/>
    <s v=" "/>
  </r>
  <r>
    <x v="9"/>
    <d v="1974-06-22T00:00:00"/>
    <s v=" 16:00 "/>
    <x v="2"/>
    <s v="Parkstadion"/>
    <s v="Gelsenkirchen "/>
    <x v="9"/>
    <x v="31"/>
    <n v="0"/>
    <n v="3"/>
    <x v="2"/>
    <s v=" "/>
  </r>
  <r>
    <x v="9"/>
    <d v="1974-06-22T00:00:00"/>
    <s v=" 19:30 "/>
    <x v="0"/>
    <s v="Volksparkstadion"/>
    <s v="Hamburg "/>
    <x v="9"/>
    <x v="30"/>
    <n v="1"/>
    <n v="0"/>
    <x v="30"/>
    <s v=" "/>
  </r>
  <r>
    <x v="9"/>
    <d v="1974-06-23T00:00:00"/>
    <s v=" 16:00 "/>
    <x v="3"/>
    <s v="Westfalenstadion"/>
    <s v="Dortmund "/>
    <x v="9"/>
    <x v="29"/>
    <n v="1"/>
    <n v="4"/>
    <x v="13"/>
    <s v=" "/>
  </r>
  <r>
    <x v="9"/>
    <d v="1974-06-23T00:00:00"/>
    <s v=" 16:00 "/>
    <x v="1"/>
    <s v="Olympiastadion"/>
    <s v="Munich "/>
    <x v="9"/>
    <x v="4"/>
    <n v="4"/>
    <n v="1"/>
    <x v="43"/>
    <s v=" "/>
  </r>
  <r>
    <x v="9"/>
    <d v="1974-06-23T00:00:00"/>
    <s v=" 16:00 "/>
    <x v="3"/>
    <s v="Rheinstadion"/>
    <s v="Dï¿½Sseldorf "/>
    <x v="9"/>
    <x v="12"/>
    <n v="3"/>
    <n v="0"/>
    <x v="31"/>
    <s v=" "/>
  </r>
  <r>
    <x v="9"/>
    <d v="1974-06-23T00:00:00"/>
    <s v=" 16:00 "/>
    <x v="1"/>
    <s v="Neckarstadion"/>
    <s v="Stuttgart "/>
    <x v="9"/>
    <x v="32"/>
    <n v="2"/>
    <n v="1"/>
    <x v="25"/>
    <s v=" "/>
  </r>
  <r>
    <x v="9"/>
    <d v="1974-06-26T00:00:00"/>
    <s v=" 16:00 "/>
    <x v="11"/>
    <s v="Rheinstadion"/>
    <s v="Dï¿½Sseldorf "/>
    <x v="9"/>
    <x v="2"/>
    <n v="0"/>
    <n v="2"/>
    <x v="30"/>
    <s v=" "/>
  </r>
  <r>
    <x v="9"/>
    <d v="1974-06-26T00:00:00"/>
    <s v=" 19:30 "/>
    <x v="12"/>
    <s v="Niedersachsenstadion"/>
    <s v="Hanover "/>
    <x v="9"/>
    <x v="7"/>
    <n v="1"/>
    <n v="0"/>
    <x v="44"/>
    <s v=" "/>
  </r>
  <r>
    <x v="9"/>
    <d v="1974-06-26T00:00:00"/>
    <s v=" 19:30 "/>
    <x v="12"/>
    <s v="Parkstadion"/>
    <s v="Gelsenkirchen "/>
    <x v="9"/>
    <x v="35"/>
    <n v="4"/>
    <n v="0"/>
    <x v="11"/>
    <s v=" "/>
  </r>
  <r>
    <x v="9"/>
    <d v="1974-06-26T00:00:00"/>
    <s v=" 19:30 "/>
    <x v="11"/>
    <s v="Neckarstadion"/>
    <s v="Stuttgart "/>
    <x v="9"/>
    <x v="12"/>
    <n v="0"/>
    <n v="1"/>
    <x v="23"/>
    <s v=" "/>
  </r>
  <r>
    <x v="9"/>
    <d v="1974-06-30T00:00:00"/>
    <s v=" 16:00 "/>
    <x v="12"/>
    <s v="Niedersachsenstadion"/>
    <s v="Hanover "/>
    <x v="9"/>
    <x v="4"/>
    <n v="1"/>
    <n v="2"/>
    <x v="2"/>
    <s v=" "/>
  </r>
  <r>
    <x v="9"/>
    <d v="1974-06-30T00:00:00"/>
    <s v=" 16:00 "/>
    <x v="11"/>
    <s v="Waldstadion"/>
    <s v="Frankfurt/Main "/>
    <x v="9"/>
    <x v="32"/>
    <n v="2"/>
    <n v="1"/>
    <x v="10"/>
    <s v=" "/>
  </r>
  <r>
    <x v="9"/>
    <d v="1974-06-30T00:00:00"/>
    <s v=" 16:00 "/>
    <x v="12"/>
    <s v="Parkstadion"/>
    <s v="Gelsenkirchen "/>
    <x v="9"/>
    <x v="30"/>
    <n v="0"/>
    <n v="2"/>
    <x v="13"/>
    <s v=" "/>
  </r>
  <r>
    <x v="9"/>
    <d v="1974-06-30T00:00:00"/>
    <s v=" 19:30 "/>
    <x v="11"/>
    <s v="Rheinstadion"/>
    <s v="Dï¿½Sseldorf "/>
    <x v="9"/>
    <x v="19"/>
    <n v="4"/>
    <n v="2"/>
    <x v="15"/>
    <s v=" "/>
  </r>
  <r>
    <x v="9"/>
    <d v="1974-07-03T00:00:00"/>
    <s v=" 17:00 "/>
    <x v="11"/>
    <s v="Waldstadion"/>
    <s v="Frankfurt/Main "/>
    <x v="9"/>
    <x v="32"/>
    <n v="0"/>
    <n v="1"/>
    <x v="30"/>
    <s v=" "/>
  </r>
  <r>
    <x v="9"/>
    <d v="1974-07-03T00:00:00"/>
    <s v=" 19:30 "/>
    <x v="12"/>
    <s v="Westfalenstadion"/>
    <s v="Dortmund "/>
    <x v="9"/>
    <x v="35"/>
    <n v="2"/>
    <n v="0"/>
    <x v="2"/>
    <s v=" "/>
  </r>
  <r>
    <x v="9"/>
    <d v="1974-07-03T00:00:00"/>
    <s v=" 19:30 "/>
    <x v="12"/>
    <s v="Parkstadion"/>
    <s v="Gelsenkirchen "/>
    <x v="9"/>
    <x v="4"/>
    <n v="1"/>
    <n v="1"/>
    <x v="44"/>
    <s v=" "/>
  </r>
  <r>
    <x v="9"/>
    <d v="1974-07-03T00:00:00"/>
    <s v=" 19:30 "/>
    <x v="11"/>
    <s v="Rheinstadion"/>
    <s v="Dï¿½Sseldorf "/>
    <x v="9"/>
    <x v="12"/>
    <n v="2"/>
    <n v="1"/>
    <x v="10"/>
    <s v=" "/>
  </r>
  <r>
    <x v="9"/>
    <d v="1974-07-06T00:00:00"/>
    <s v=" 16:00 "/>
    <x v="8"/>
    <s v="Olympiastadion"/>
    <s v="Munich "/>
    <x v="9"/>
    <x v="7"/>
    <n v="0"/>
    <n v="1"/>
    <x v="23"/>
    <s v=" "/>
  </r>
  <r>
    <x v="9"/>
    <d v="1974-07-07T00:00:00"/>
    <s v=" 16:00 "/>
    <x v="5"/>
    <s v="Olympiastadion"/>
    <s v="Munich "/>
    <x v="9"/>
    <x v="35"/>
    <n v="1"/>
    <n v="2"/>
    <x v="30"/>
    <s v=" "/>
  </r>
  <r>
    <x v="10"/>
    <d v="1978-06-01T00:00:00"/>
    <s v=" 15:00 "/>
    <x v="2"/>
    <s v="El Monumental - Estadio Monumental Antonio Vespuci"/>
    <s v="Buenos Aires "/>
    <x v="10"/>
    <x v="19"/>
    <n v="0"/>
    <n v="0"/>
    <x v="23"/>
    <s v=" "/>
  </r>
  <r>
    <x v="10"/>
    <d v="1978-06-02T00:00:00"/>
    <s v=" 13:45 "/>
    <x v="0"/>
    <s v="Estadio Josï¿½ Marï¿½a Minella"/>
    <s v="Mar Del Plata "/>
    <x v="10"/>
    <x v="15"/>
    <n v="2"/>
    <n v="1"/>
    <x v="4"/>
    <s v=" "/>
  </r>
  <r>
    <x v="10"/>
    <d v="1978-06-02T00:00:00"/>
    <s v=" 16:45 "/>
    <x v="2"/>
    <s v="Arroyito - Estadio Dr. Lisandro de la Torre"/>
    <s v="Rosario "/>
    <x v="10"/>
    <x v="37"/>
    <n v="3"/>
    <n v="1"/>
    <x v="0"/>
    <s v=" "/>
  </r>
  <r>
    <x v="10"/>
    <d v="1978-06-02T00:00:00"/>
    <s v=" 19:15 "/>
    <x v="0"/>
    <s v="El Monumental - Estadio Monumental Antonio Vespuci"/>
    <s v="Buenos Aires "/>
    <x v="10"/>
    <x v="4"/>
    <n v="2"/>
    <n v="1"/>
    <x v="17"/>
    <s v=" "/>
  </r>
  <r>
    <x v="10"/>
    <d v="1978-06-03T00:00:00"/>
    <s v=" 13:45 "/>
    <x v="3"/>
    <s v="Estadio Josï¿½ Marï¿½a Minella"/>
    <s v="Mar Del Plata "/>
    <x v="10"/>
    <x v="12"/>
    <n v="1"/>
    <n v="1"/>
    <x v="2"/>
    <s v=" "/>
  </r>
  <r>
    <x v="10"/>
    <d v="1978-06-03T00:00:00"/>
    <s v=" 13:45 "/>
    <x v="3"/>
    <s v="Jose Amalfitani"/>
    <s v="Buenos Aires "/>
    <x v="10"/>
    <x v="9"/>
    <n v="2"/>
    <n v="1"/>
    <x v="16"/>
    <s v=" "/>
  </r>
  <r>
    <x v="10"/>
    <d v="1978-06-03T00:00:00"/>
    <s v=" 16:45 "/>
    <x v="1"/>
    <s v="Estadio Olï¿½mpico Chateau Carreras"/>
    <s v="Cordoba "/>
    <x v="10"/>
    <x v="27"/>
    <n v="3"/>
    <n v="1"/>
    <x v="27"/>
    <s v=" "/>
  </r>
  <r>
    <x v="10"/>
    <d v="1978-06-03T00:00:00"/>
    <s v=" 16:45 "/>
    <x v="1"/>
    <s v="San Martin"/>
    <s v="Mendoza "/>
    <x v="10"/>
    <x v="35"/>
    <n v="3"/>
    <n v="0"/>
    <x v="46"/>
    <s v=" "/>
  </r>
  <r>
    <x v="10"/>
    <d v="1978-06-06T00:00:00"/>
    <s v=" 13:45 "/>
    <x v="0"/>
    <s v="Estadio Josï¿½ Marï¿½a Minella"/>
    <s v="Mar Del Plata "/>
    <x v="10"/>
    <x v="15"/>
    <n v="3"/>
    <n v="1"/>
    <x v="17"/>
    <s v=" "/>
  </r>
  <r>
    <x v="10"/>
    <d v="1978-06-06T00:00:00"/>
    <s v=" 16:45 "/>
    <x v="2"/>
    <s v="Arroyito - Estadio Dr. Lisandro de la Torre"/>
    <s v="Rosario "/>
    <x v="10"/>
    <x v="32"/>
    <n v="1"/>
    <n v="0"/>
    <x v="47"/>
    <s v=" "/>
  </r>
  <r>
    <x v="10"/>
    <d v="1978-06-06T00:00:00"/>
    <s v=" 16:45 "/>
    <x v="2"/>
    <s v="Estadio Olï¿½mpico Chateau Carreras"/>
    <s v="Cordoba "/>
    <x v="10"/>
    <x v="19"/>
    <n v="6"/>
    <n v="0"/>
    <x v="0"/>
    <s v=" "/>
  </r>
  <r>
    <x v="10"/>
    <d v="1978-06-06T00:00:00"/>
    <s v=" 19:15 "/>
    <x v="0"/>
    <s v="El Monumental - Estadio Monumental Antonio Vespuci"/>
    <s v="Buenos Aires "/>
    <x v="10"/>
    <x v="4"/>
    <n v="2"/>
    <n v="1"/>
    <x v="4"/>
    <s v=" "/>
  </r>
  <r>
    <x v="10"/>
    <d v="1978-06-07T00:00:00"/>
    <s v=" 13:45 "/>
    <x v="3"/>
    <s v="Estadio Josï¿½ Marï¿½a Minella"/>
    <s v="Mar Del Plata "/>
    <x v="10"/>
    <x v="7"/>
    <n v="0"/>
    <n v="0"/>
    <x v="16"/>
    <s v=" "/>
  </r>
  <r>
    <x v="10"/>
    <d v="1978-06-07T00:00:00"/>
    <s v=" 13:45 "/>
    <x v="3"/>
    <s v="Jose Amalfitani"/>
    <s v="Buenos Aires "/>
    <x v="10"/>
    <x v="9"/>
    <n v="1"/>
    <n v="0"/>
    <x v="15"/>
    <s v=" "/>
  </r>
  <r>
    <x v="10"/>
    <d v="1978-06-07T00:00:00"/>
    <s v=" 16:45 "/>
    <x v="1"/>
    <s v="Estadio Olï¿½mpico Chateau Carreras"/>
    <s v="Cordoba "/>
    <x v="10"/>
    <x v="34"/>
    <n v="1"/>
    <n v="1"/>
    <x v="46"/>
    <s v=" "/>
  </r>
  <r>
    <x v="10"/>
    <d v="1978-06-07T00:00:00"/>
    <s v=" 16:45 "/>
    <x v="1"/>
    <s v="San Martin"/>
    <s v="Mendoza "/>
    <x v="10"/>
    <x v="35"/>
    <n v="0"/>
    <n v="0"/>
    <x v="3"/>
    <s v=" "/>
  </r>
  <r>
    <x v="10"/>
    <d v="1978-06-10T00:00:00"/>
    <s v=" 15:10 "/>
    <x v="0"/>
    <s v="Estadio Josï¿½ Marï¿½a Minella"/>
    <s v="Mar Del Plata "/>
    <x v="10"/>
    <x v="0"/>
    <n v="3"/>
    <n v="1"/>
    <x v="17"/>
    <s v=" "/>
  </r>
  <r>
    <x v="10"/>
    <d v="1978-06-10T00:00:00"/>
    <s v=" 16:45 "/>
    <x v="2"/>
    <s v="Arroyito - Estadio Dr. Lisandro de la Torre"/>
    <s v="Rosario "/>
    <x v="10"/>
    <x v="32"/>
    <n v="3"/>
    <n v="1"/>
    <x v="0"/>
    <s v=" "/>
  </r>
  <r>
    <x v="10"/>
    <d v="1978-06-10T00:00:00"/>
    <s v=" 16:45 "/>
    <x v="2"/>
    <s v="Estadio Olï¿½mpico Chateau Carreras"/>
    <s v="Cordoba "/>
    <x v="10"/>
    <x v="19"/>
    <n v="0"/>
    <n v="0"/>
    <x v="47"/>
    <s v=" "/>
  </r>
  <r>
    <x v="10"/>
    <d v="1978-06-10T00:00:00"/>
    <s v=" 19:15 "/>
    <x v="0"/>
    <s v="El Monumental - Estadio Monumental Antonio Vespuci"/>
    <s v="Buenos Aires "/>
    <x v="10"/>
    <x v="15"/>
    <n v="1"/>
    <n v="0"/>
    <x v="11"/>
    <s v=" "/>
  </r>
  <r>
    <x v="10"/>
    <d v="1978-06-11T00:00:00"/>
    <s v=" 13:45 "/>
    <x v="3"/>
    <s v="Estadio Josï¿½ Marï¿½a Minella"/>
    <s v="Mar Del Plata "/>
    <x v="10"/>
    <x v="7"/>
    <n v="1"/>
    <n v="0"/>
    <x v="18"/>
    <s v=" "/>
  </r>
  <r>
    <x v="10"/>
    <d v="1978-06-11T00:00:00"/>
    <s v=" 13:45 "/>
    <x v="3"/>
    <s v="Jose Amalfitani"/>
    <s v="Buenos Aires "/>
    <x v="10"/>
    <x v="14"/>
    <n v="1"/>
    <n v="0"/>
    <x v="15"/>
    <s v=" "/>
  </r>
  <r>
    <x v="10"/>
    <d v="1978-06-11T00:00:00"/>
    <s v=" 16:45 "/>
    <x v="1"/>
    <s v="Estadio Olï¿½mpico Chateau Carreras"/>
    <s v="Cordoba "/>
    <x v="10"/>
    <x v="27"/>
    <n v="4"/>
    <n v="1"/>
    <x v="48"/>
    <s v=" "/>
  </r>
  <r>
    <x v="10"/>
    <d v="1978-06-11T00:00:00"/>
    <s v=" 16:45 "/>
    <x v="1"/>
    <s v="San Martin"/>
    <s v="Mendoza "/>
    <x v="10"/>
    <x v="34"/>
    <n v="3"/>
    <n v="2"/>
    <x v="13"/>
    <s v=" "/>
  </r>
  <r>
    <x v="10"/>
    <d v="1978-06-14T00:00:00"/>
    <s v=" 13:45 "/>
    <x v="12"/>
    <s v="El Monumental - Estadio Monumental Antonio Vespuci"/>
    <s v="Buenos Aires "/>
    <x v="10"/>
    <x v="19"/>
    <n v="0"/>
    <n v="0"/>
    <x v="25"/>
    <s v=" "/>
  </r>
  <r>
    <x v="10"/>
    <d v="1978-06-14T00:00:00"/>
    <s v=" 13:45 "/>
    <x v="12"/>
    <s v="Estadio Olï¿½mpico Chateau Carreras"/>
    <s v="Cordoba "/>
    <x v="10"/>
    <x v="35"/>
    <n v="5"/>
    <n v="1"/>
    <x v="18"/>
    <s v=" "/>
  </r>
  <r>
    <x v="10"/>
    <d v="1978-06-14T00:00:00"/>
    <s v=" 16:45 "/>
    <x v="11"/>
    <s v="San Martin"/>
    <s v="Mendoza "/>
    <x v="10"/>
    <x v="7"/>
    <n v="3"/>
    <n v="0"/>
    <x v="3"/>
    <s v=" "/>
  </r>
  <r>
    <x v="10"/>
    <d v="1978-06-14T00:00:00"/>
    <s v=" 19:15 "/>
    <x v="11"/>
    <s v="Arroyito - Estadio Dr. Lisandro de la Torre"/>
    <s v="Rosario "/>
    <x v="10"/>
    <x v="4"/>
    <n v="2"/>
    <n v="0"/>
    <x v="23"/>
    <s v=" "/>
  </r>
  <r>
    <x v="10"/>
    <d v="1978-06-18T00:00:00"/>
    <s v=" 13:45 "/>
    <x v="11"/>
    <s v="San Martin"/>
    <s v="Mendoza "/>
    <x v="10"/>
    <x v="32"/>
    <n v="1"/>
    <n v="0"/>
    <x v="3"/>
    <s v=" "/>
  </r>
  <r>
    <x v="10"/>
    <d v="1978-06-18T00:00:00"/>
    <s v=" 16:45 "/>
    <x v="12"/>
    <s v="El Monumental - Estadio Monumental Antonio Vespuci"/>
    <s v="Buenos Aires "/>
    <x v="10"/>
    <x v="15"/>
    <n v="1"/>
    <n v="0"/>
    <x v="18"/>
    <s v=" "/>
  </r>
  <r>
    <x v="10"/>
    <d v="1978-06-18T00:00:00"/>
    <s v=" 16:45 "/>
    <x v="12"/>
    <s v="Estadio Olï¿½mpico Chateau Carreras"/>
    <s v="Cordoba "/>
    <x v="10"/>
    <x v="19"/>
    <n v="2"/>
    <n v="2"/>
    <x v="13"/>
    <s v=" "/>
  </r>
  <r>
    <x v="10"/>
    <d v="1978-06-18T00:00:00"/>
    <s v=" 19:15 "/>
    <x v="11"/>
    <s v="Arroyito - Estadio Dr. Lisandro de la Torre"/>
    <s v="Rosario "/>
    <x v="10"/>
    <x v="4"/>
    <n v="0"/>
    <n v="0"/>
    <x v="2"/>
    <s v=" "/>
  </r>
  <r>
    <x v="10"/>
    <d v="1978-06-21T00:00:00"/>
    <s v=" 13:45 "/>
    <x v="12"/>
    <s v="El Monumental - Estadio Monumental Antonio Vespuci"/>
    <s v="Buenos Aires "/>
    <x v="10"/>
    <x v="35"/>
    <n v="2"/>
    <n v="1"/>
    <x v="25"/>
    <s v=" "/>
  </r>
  <r>
    <x v="10"/>
    <d v="1978-06-21T00:00:00"/>
    <s v=" 13:45 "/>
    <x v="12"/>
    <s v="Estadio Olï¿½mpico Chateau Carreras"/>
    <s v="Cordoba "/>
    <x v="10"/>
    <x v="9"/>
    <n v="3"/>
    <n v="2"/>
    <x v="30"/>
    <s v=" "/>
  </r>
  <r>
    <x v="10"/>
    <d v="1978-06-21T00:00:00"/>
    <s v=" 16:45 "/>
    <x v="11"/>
    <s v="San Martin"/>
    <s v="Mendoza "/>
    <x v="10"/>
    <x v="7"/>
    <n v="3"/>
    <n v="1"/>
    <x v="23"/>
    <s v=" "/>
  </r>
  <r>
    <x v="10"/>
    <d v="1978-06-21T00:00:00"/>
    <s v=" 19:15 "/>
    <x v="11"/>
    <s v="Arroyito - Estadio Dr. Lisandro de la Torre"/>
    <s v="Rosario "/>
    <x v="10"/>
    <x v="4"/>
    <n v="6"/>
    <n v="0"/>
    <x v="3"/>
    <s v=" "/>
  </r>
  <r>
    <x v="10"/>
    <d v="1978-06-24T00:00:00"/>
    <s v=" 15:00 "/>
    <x v="8"/>
    <s v="El Monumental - Estadio Monumental Antonio Vespuci"/>
    <s v="Buenos Aires "/>
    <x v="10"/>
    <x v="7"/>
    <n v="2"/>
    <n v="1"/>
    <x v="25"/>
    <s v=" "/>
  </r>
  <r>
    <x v="10"/>
    <d v="1978-06-25T00:00:00"/>
    <s v=" 15:00 "/>
    <x v="5"/>
    <s v="El Monumental - Estadio Monumental Antonio Vespuci"/>
    <s v="Buenos Aires "/>
    <x v="10"/>
    <x v="4"/>
    <n v="3"/>
    <n v="1"/>
    <x v="13"/>
    <s v="Argentina win after extra time "/>
  </r>
  <r>
    <x v="11"/>
    <d v="1982-06-13T00:00:00"/>
    <s v=" 20:00 "/>
    <x v="3"/>
    <s v="Camp Nou"/>
    <s v="Barcelona "/>
    <x v="11"/>
    <x v="4"/>
    <n v="0"/>
    <n v="1"/>
    <x v="1"/>
    <s v=" "/>
  </r>
  <r>
    <x v="11"/>
    <d v="1982-06-14T00:00:00"/>
    <s v=" 17:15 "/>
    <x v="0"/>
    <s v="Estadio Municipal de Balaï¿½dos"/>
    <s v="Vigo "/>
    <x v="11"/>
    <x v="15"/>
    <n v="0"/>
    <n v="0"/>
    <x v="23"/>
    <s v=" "/>
  </r>
  <r>
    <x v="11"/>
    <d v="1982-06-14T00:00:00"/>
    <s v=" 21:00 "/>
    <x v="10"/>
    <s v="Ramon Sanchez Pizjuan"/>
    <s v="Seville "/>
    <x v="11"/>
    <x v="7"/>
    <n v="2"/>
    <n v="1"/>
    <x v="34"/>
    <s v=" "/>
  </r>
  <r>
    <x v="11"/>
    <d v="1982-06-15T00:00:00"/>
    <s v=" 17:15 "/>
    <x v="0"/>
    <s v="Riazor"/>
    <s v="La Coruï¿½A "/>
    <x v="11"/>
    <x v="27"/>
    <n v="0"/>
    <n v="0"/>
    <x v="49"/>
    <s v=" "/>
  </r>
  <r>
    <x v="11"/>
    <d v="1982-06-15T00:00:00"/>
    <s v=" 21:00 "/>
    <x v="3"/>
    <s v="Nuevo Estadio"/>
    <s v="Elche "/>
    <x v="11"/>
    <x v="10"/>
    <n v="10"/>
    <n v="1"/>
    <x v="41"/>
    <s v=" "/>
  </r>
  <r>
    <x v="11"/>
    <d v="1982-06-15T00:00:00"/>
    <s v=" 21:00 "/>
    <x v="10"/>
    <s v="La Rosaleda"/>
    <s v="Malaga "/>
    <x v="11"/>
    <x v="34"/>
    <n v="5"/>
    <n v="2"/>
    <x v="50"/>
    <s v=" "/>
  </r>
  <r>
    <x v="11"/>
    <d v="1982-06-16T00:00:00"/>
    <s v=" 17:15 "/>
    <x v="2"/>
    <s v="El Molinon"/>
    <s v="Gijon "/>
    <x v="11"/>
    <x v="19"/>
    <n v="1"/>
    <n v="2"/>
    <x v="51"/>
    <s v=" "/>
  </r>
  <r>
    <x v="11"/>
    <d v="1982-06-16T00:00:00"/>
    <s v=" 17:15 "/>
    <x v="1"/>
    <s v="San Mames"/>
    <s v="Bilbao "/>
    <x v="11"/>
    <x v="18"/>
    <n v="3"/>
    <n v="1"/>
    <x v="4"/>
    <s v=" "/>
  </r>
  <r>
    <x v="11"/>
    <d v="1982-06-16T00:00:00"/>
    <s v=" 21:00 "/>
    <x v="13"/>
    <s v="Luis Casanova"/>
    <s v="Valencia "/>
    <x v="11"/>
    <x v="14"/>
    <n v="1"/>
    <n v="1"/>
    <x v="52"/>
    <s v=" "/>
  </r>
  <r>
    <x v="11"/>
    <d v="1982-06-17T00:00:00"/>
    <s v=" 17:15 "/>
    <x v="2"/>
    <s v="Carlos Tartiere"/>
    <s v="Oviedo "/>
    <x v="11"/>
    <x v="5"/>
    <n v="0"/>
    <n v="1"/>
    <x v="18"/>
    <s v=" "/>
  </r>
  <r>
    <x v="11"/>
    <d v="1982-06-17T00:00:00"/>
    <s v=" 17:45 "/>
    <x v="1"/>
    <s v="Jose Zorrilla"/>
    <s v="Valladolid "/>
    <x v="11"/>
    <x v="16"/>
    <n v="1"/>
    <n v="1"/>
    <x v="53"/>
    <s v=" "/>
  </r>
  <r>
    <x v="11"/>
    <d v="1982-06-17T00:00:00"/>
    <s v=" 21:00 "/>
    <x v="13"/>
    <s v="La Romareda"/>
    <s v="Zaragoza "/>
    <x v="11"/>
    <x v="2"/>
    <n v="0"/>
    <n v="0"/>
    <x v="33"/>
    <s v=" "/>
  </r>
  <r>
    <x v="11"/>
    <d v="1982-06-18T00:00:00"/>
    <s v=" 17:15 "/>
    <x v="0"/>
    <s v="Estadio Municipal de Balaï¿½dos"/>
    <s v="Vigo "/>
    <x v="11"/>
    <x v="15"/>
    <n v="1"/>
    <n v="1"/>
    <x v="3"/>
    <s v=" "/>
  </r>
  <r>
    <x v="11"/>
    <d v="1982-06-18T00:00:00"/>
    <s v=" 21:00 "/>
    <x v="3"/>
    <s v="Jose Rico Perez"/>
    <s v="Alicante "/>
    <x v="11"/>
    <x v="4"/>
    <n v="4"/>
    <n v="1"/>
    <x v="17"/>
    <s v=" "/>
  </r>
  <r>
    <x v="11"/>
    <d v="1982-06-18T00:00:00"/>
    <s v=" 21:00 "/>
    <x v="10"/>
    <s v="Benito Villamarin"/>
    <s v="Seville "/>
    <x v="11"/>
    <x v="7"/>
    <n v="4"/>
    <n v="1"/>
    <x v="27"/>
    <s v=" "/>
  </r>
  <r>
    <x v="11"/>
    <d v="1982-06-19T00:00:00"/>
    <s v=" 19:15 "/>
    <x v="0"/>
    <s v="Riazor"/>
    <s v="La Coruï¿½A "/>
    <x v="11"/>
    <x v="32"/>
    <n v="0"/>
    <n v="0"/>
    <x v="49"/>
    <s v=" "/>
  </r>
  <r>
    <x v="11"/>
    <d v="1982-06-19T00:00:00"/>
    <s v=" 21:00 "/>
    <x v="3"/>
    <s v="Nuevo Estadio"/>
    <s v="Elche "/>
    <x v="11"/>
    <x v="28"/>
    <n v="1"/>
    <n v="0"/>
    <x v="41"/>
    <s v=" "/>
  </r>
  <r>
    <x v="11"/>
    <d v="1982-06-19T00:00:00"/>
    <s v=" 21:00 "/>
    <x v="10"/>
    <s v="La Rosaleda"/>
    <s v="Malaga "/>
    <x v="11"/>
    <x v="21"/>
    <n v="3"/>
    <n v="0"/>
    <x v="50"/>
    <s v=" "/>
  </r>
  <r>
    <x v="11"/>
    <d v="1982-06-20T00:00:00"/>
    <s v=" 17:15 "/>
    <x v="2"/>
    <s v="El Molinon"/>
    <s v="Gijon "/>
    <x v="11"/>
    <x v="19"/>
    <n v="4"/>
    <n v="1"/>
    <x v="8"/>
    <s v=" "/>
  </r>
  <r>
    <x v="11"/>
    <d v="1982-06-20T00:00:00"/>
    <s v=" 17:15 "/>
    <x v="1"/>
    <s v="San Mames"/>
    <s v="Bilbao "/>
    <x v="11"/>
    <x v="18"/>
    <n v="2"/>
    <n v="0"/>
    <x v="20"/>
    <s v=" "/>
  </r>
  <r>
    <x v="11"/>
    <d v="1982-06-20T00:00:00"/>
    <s v=" 21:00 "/>
    <x v="13"/>
    <s v="Luis Casanova"/>
    <s v="Valencia "/>
    <x v="11"/>
    <x v="14"/>
    <n v="2"/>
    <n v="1"/>
    <x v="10"/>
    <s v=" "/>
  </r>
  <r>
    <x v="11"/>
    <d v="1982-06-21T00:00:00"/>
    <s v=" 17:15 "/>
    <x v="2"/>
    <s v="Carlos Tartiere"/>
    <s v="Oviedo "/>
    <x v="11"/>
    <x v="38"/>
    <n v="0"/>
    <n v="2"/>
    <x v="18"/>
    <s v=" "/>
  </r>
  <r>
    <x v="11"/>
    <d v="1982-06-21T00:00:00"/>
    <s v=" 17:15 "/>
    <x v="1"/>
    <s v="Jose Zorrilla"/>
    <s v="Valladolid "/>
    <x v="11"/>
    <x v="0"/>
    <n v="4"/>
    <n v="1"/>
    <x v="53"/>
    <s v=" "/>
  </r>
  <r>
    <x v="11"/>
    <d v="1982-06-21T00:00:00"/>
    <s v=" 21:00 "/>
    <x v="13"/>
    <s v="La Romareda"/>
    <s v="Zaragoza "/>
    <x v="11"/>
    <x v="39"/>
    <n v="1"/>
    <n v="1"/>
    <x v="33"/>
    <s v=" "/>
  </r>
  <r>
    <x v="11"/>
    <d v="1982-06-22T00:00:00"/>
    <s v=" 17:15 "/>
    <x v="0"/>
    <s v="Riazor"/>
    <s v="La Coruï¿½A "/>
    <x v="11"/>
    <x v="32"/>
    <n v="5"/>
    <n v="1"/>
    <x v="3"/>
    <s v=" "/>
  </r>
  <r>
    <x v="11"/>
    <d v="1982-06-22T00:00:00"/>
    <s v=" 21:00 "/>
    <x v="3"/>
    <s v="Nuevo Estadio"/>
    <s v="Elche "/>
    <x v="11"/>
    <x v="28"/>
    <n v="1"/>
    <n v="1"/>
    <x v="17"/>
    <s v=" "/>
  </r>
  <r>
    <x v="11"/>
    <d v="1982-06-22T00:00:00"/>
    <s v=" 21:00 "/>
    <x v="10"/>
    <s v="La Rosaleda"/>
    <s v="Malaga "/>
    <x v="11"/>
    <x v="21"/>
    <n v="2"/>
    <n v="2"/>
    <x v="27"/>
    <s v=" "/>
  </r>
  <r>
    <x v="11"/>
    <d v="1982-06-23T00:00:00"/>
    <s v=" 17:15 "/>
    <x v="0"/>
    <s v="Estadio Municipal de Balaï¿½dos"/>
    <s v="Vigo "/>
    <x v="11"/>
    <x v="15"/>
    <n v="1"/>
    <n v="1"/>
    <x v="49"/>
    <s v=" "/>
  </r>
  <r>
    <x v="11"/>
    <d v="1982-06-23T00:00:00"/>
    <s v=" 21:00 "/>
    <x v="3"/>
    <s v="Jose Rico Perez"/>
    <s v="Alicante "/>
    <x v="11"/>
    <x v="4"/>
    <n v="2"/>
    <n v="0"/>
    <x v="41"/>
    <s v=" "/>
  </r>
  <r>
    <x v="11"/>
    <d v="1982-06-23T00:00:00"/>
    <s v=" 21:00 "/>
    <x v="10"/>
    <s v="Benito Villamarin"/>
    <s v="Seville "/>
    <x v="11"/>
    <x v="7"/>
    <n v="4"/>
    <n v="0"/>
    <x v="50"/>
    <s v=" "/>
  </r>
  <r>
    <x v="11"/>
    <d v="1982-06-24T00:00:00"/>
    <s v=" 17:15 "/>
    <x v="2"/>
    <s v="Carlos Tartiere"/>
    <s v="Oviedo "/>
    <x v="11"/>
    <x v="38"/>
    <n v="3"/>
    <n v="2"/>
    <x v="8"/>
    <s v=" "/>
  </r>
  <r>
    <x v="11"/>
    <d v="1982-06-24T00:00:00"/>
    <s v=" 17:15 "/>
    <x v="1"/>
    <s v="Jose Zorrilla"/>
    <s v="Valladolid "/>
    <x v="11"/>
    <x v="0"/>
    <n v="1"/>
    <n v="1"/>
    <x v="20"/>
    <s v=" "/>
  </r>
  <r>
    <x v="11"/>
    <d v="1982-06-24T00:00:00"/>
    <s v=" 21:00 "/>
    <x v="13"/>
    <s v="La Romareda"/>
    <s v="Zaragoza "/>
    <x v="11"/>
    <x v="39"/>
    <n v="0"/>
    <n v="1"/>
    <x v="10"/>
    <s v=" "/>
  </r>
  <r>
    <x v="11"/>
    <d v="1982-06-25T00:00:00"/>
    <s v=" 17:15 "/>
    <x v="2"/>
    <s v="El Molinon"/>
    <s v="Gijon "/>
    <x v="11"/>
    <x v="19"/>
    <n v="1"/>
    <n v="0"/>
    <x v="18"/>
    <s v=" "/>
  </r>
  <r>
    <x v="11"/>
    <d v="1982-06-25T00:00:00"/>
    <s v=" 17:15 "/>
    <x v="1"/>
    <s v="San Mames"/>
    <s v="Bilbao "/>
    <x v="11"/>
    <x v="18"/>
    <n v="1"/>
    <n v="0"/>
    <x v="53"/>
    <s v=" "/>
  </r>
  <r>
    <x v="11"/>
    <d v="1982-06-25T00:00:00"/>
    <s v=" 21:00 "/>
    <x v="13"/>
    <s v="Luis Casanova"/>
    <s v="Valencia "/>
    <x v="11"/>
    <x v="22"/>
    <n v="1"/>
    <n v="0"/>
    <x v="16"/>
    <s v=" "/>
  </r>
  <r>
    <x v="11"/>
    <d v="1982-06-28T00:00:00"/>
    <s v=" 17:15 "/>
    <x v="1"/>
    <s v="Vicente Calderon"/>
    <s v="Madrid "/>
    <x v="11"/>
    <x v="9"/>
    <n v="0"/>
    <n v="1"/>
    <x v="4"/>
    <s v=" "/>
  </r>
  <r>
    <x v="11"/>
    <d v="1982-06-28T00:00:00"/>
    <s v=" 21:00 "/>
    <x v="0"/>
    <s v="Camp Nou"/>
    <s v="Barcelona "/>
    <x v="11"/>
    <x v="32"/>
    <n v="3"/>
    <n v="0"/>
    <x v="1"/>
    <s v=" "/>
  </r>
  <r>
    <x v="11"/>
    <d v="1982-06-29T00:00:00"/>
    <s v=" 17:15 "/>
    <x v="3"/>
    <s v="Sarria"/>
    <s v="Barcelona "/>
    <x v="11"/>
    <x v="15"/>
    <n v="2"/>
    <n v="1"/>
    <x v="11"/>
    <s v=" "/>
  </r>
  <r>
    <x v="11"/>
    <d v="1982-06-29T00:00:00"/>
    <s v=" 21:00 "/>
    <x v="2"/>
    <s v="Santiago Bernabeu"/>
    <s v="Madrid "/>
    <x v="11"/>
    <x v="19"/>
    <n v="0"/>
    <n v="0"/>
    <x v="26"/>
    <s v=" "/>
  </r>
  <r>
    <x v="11"/>
    <d v="1982-07-01T00:00:00"/>
    <s v=" 17:15 "/>
    <x v="1"/>
    <s v="Vicente Calderon"/>
    <s v="Madrid "/>
    <x v="11"/>
    <x v="9"/>
    <n v="2"/>
    <n v="2"/>
    <x v="33"/>
    <s v=" "/>
  </r>
  <r>
    <x v="11"/>
    <d v="1982-07-01T00:00:00"/>
    <s v=" 21:00 "/>
    <x v="0"/>
    <s v="Camp Nou"/>
    <s v="Barcelona "/>
    <x v="11"/>
    <x v="28"/>
    <n v="0"/>
    <n v="1"/>
    <x v="34"/>
    <s v=" "/>
  </r>
  <r>
    <x v="11"/>
    <d v="1982-07-02T00:00:00"/>
    <s v=" 17:15 "/>
    <x v="3"/>
    <s v="Sarria"/>
    <s v="Barcelona "/>
    <x v="11"/>
    <x v="4"/>
    <n v="1"/>
    <n v="3"/>
    <x v="2"/>
    <s v=" "/>
  </r>
  <r>
    <x v="11"/>
    <d v="1982-07-02T00:00:00"/>
    <s v=" 21:00 "/>
    <x v="2"/>
    <s v="Santiago Bernabeu"/>
    <s v="Madrid "/>
    <x v="11"/>
    <x v="19"/>
    <n v="2"/>
    <n v="1"/>
    <x v="16"/>
    <s v=" "/>
  </r>
  <r>
    <x v="11"/>
    <d v="1982-07-04T00:00:00"/>
    <s v=" 17:15 "/>
    <x v="1"/>
    <s v="Vicente Calderon"/>
    <s v="Madrid "/>
    <x v="11"/>
    <x v="0"/>
    <n v="4"/>
    <n v="1"/>
    <x v="33"/>
    <s v=" "/>
  </r>
  <r>
    <x v="11"/>
    <d v="1982-07-04T00:00:00"/>
    <s v=" 21:00 "/>
    <x v="0"/>
    <s v="Camp Nou"/>
    <s v="Barcelona "/>
    <x v="11"/>
    <x v="32"/>
    <n v="0"/>
    <n v="0"/>
    <x v="34"/>
    <s v=" "/>
  </r>
  <r>
    <x v="11"/>
    <d v="1982-07-05T00:00:00"/>
    <s v=" 17:15 "/>
    <x v="3"/>
    <s v="Sarria"/>
    <s v="Barcelona "/>
    <x v="11"/>
    <x v="15"/>
    <n v="3"/>
    <n v="2"/>
    <x v="2"/>
    <s v=" "/>
  </r>
  <r>
    <x v="11"/>
    <d v="1982-07-05T00:00:00"/>
    <s v=" 21:00 "/>
    <x v="2"/>
    <s v="Santiago Bernabeu"/>
    <s v="Madrid "/>
    <x v="11"/>
    <x v="14"/>
    <n v="0"/>
    <n v="0"/>
    <x v="26"/>
    <s v=" "/>
  </r>
  <r>
    <x v="11"/>
    <d v="1982-07-08T00:00:00"/>
    <s v=" 17:15 "/>
    <x v="4"/>
    <s v="Camp Nou"/>
    <s v="Barcelona "/>
    <x v="11"/>
    <x v="32"/>
    <n v="0"/>
    <n v="2"/>
    <x v="25"/>
    <s v=" "/>
  </r>
  <r>
    <x v="11"/>
    <d v="1982-07-08T00:00:00"/>
    <s v=" 21:00 "/>
    <x v="4"/>
    <s v="Ramon Sanchez Pizjuan"/>
    <s v="Seville "/>
    <x v="11"/>
    <x v="19"/>
    <n v="3"/>
    <n v="3"/>
    <x v="4"/>
    <s v=" win on penalties (5 - 4) "/>
  </r>
  <r>
    <x v="11"/>
    <d v="1982-07-10T00:00:00"/>
    <s v=" 20:00 "/>
    <x v="8"/>
    <s v="Jose Rico Perez"/>
    <s v="Alicante "/>
    <x v="11"/>
    <x v="32"/>
    <n v="3"/>
    <n v="2"/>
    <x v="4"/>
    <s v=" "/>
  </r>
  <r>
    <x v="11"/>
    <d v="1982-07-11T00:00:00"/>
    <s v=" 20:00 "/>
    <x v="5"/>
    <s v="Santiago Bernabeu"/>
    <s v="Madrid "/>
    <x v="11"/>
    <x v="15"/>
    <n v="3"/>
    <n v="1"/>
    <x v="30"/>
    <s v=" "/>
  </r>
  <r>
    <x v="12"/>
    <d v="1986-05-31T00:00:00"/>
    <s v=" 12:00 "/>
    <x v="12"/>
    <s v="Estadio Azteca"/>
    <s v="Mexico City "/>
    <x v="8"/>
    <x v="29"/>
    <n v="1"/>
    <n v="1"/>
    <x v="25"/>
    <s v=" "/>
  </r>
  <r>
    <x v="12"/>
    <d v="1986-06-01T00:00:00"/>
    <s v=" 16:00 "/>
    <x v="14"/>
    <s v="Nou Camp - Estadio Leï¿½n"/>
    <s v="Leon "/>
    <x v="8"/>
    <x v="40"/>
    <n v="0"/>
    <n v="1"/>
    <x v="4"/>
    <s v=" "/>
  </r>
  <r>
    <x v="12"/>
    <d v="1986-06-01T00:00:00"/>
    <s v=" 12:00 "/>
    <x v="15"/>
    <s v="Jalisco"/>
    <s v="Guadalajara "/>
    <x v="8"/>
    <x v="14"/>
    <n v="0"/>
    <n v="1"/>
    <x v="2"/>
    <s v=" "/>
  </r>
  <r>
    <x v="12"/>
    <d v="1986-06-02T00:00:00"/>
    <s v=" 12:00 "/>
    <x v="14"/>
    <s v="Estadio Irapuato"/>
    <s v="Irapuato "/>
    <x v="8"/>
    <x v="21"/>
    <n v="6"/>
    <n v="0"/>
    <x v="17"/>
    <s v=" "/>
  </r>
  <r>
    <x v="12"/>
    <d v="1986-06-02T00:00:00"/>
    <s v=" 12:00 "/>
    <x v="12"/>
    <s v="Estadio Olï¿½mpico Universitario"/>
    <s v="Mexico City "/>
    <x v="8"/>
    <x v="4"/>
    <n v="3"/>
    <n v="1"/>
    <x v="29"/>
    <s v=" "/>
  </r>
  <r>
    <x v="12"/>
    <d v="1986-06-02T00:00:00"/>
    <s v=" 16:00 "/>
    <x v="16"/>
    <s v="Estadio Universitario"/>
    <s v="Monterrey "/>
    <x v="8"/>
    <x v="41"/>
    <n v="0"/>
    <n v="0"/>
    <x v="23"/>
    <s v=" "/>
  </r>
  <r>
    <x v="12"/>
    <d v="1986-06-03T00:00:00"/>
    <s v=" 12:00 "/>
    <x v="15"/>
    <s v="Tres de Marzo"/>
    <s v="Guadalajara "/>
    <x v="8"/>
    <x v="38"/>
    <n v="1"/>
    <n v="1"/>
    <x v="33"/>
    <s v=" "/>
  </r>
  <r>
    <x v="12"/>
    <d v="1986-06-03T00:00:00"/>
    <s v=" 12:00 "/>
    <x v="11"/>
    <s v="Estadio Azteca"/>
    <s v="Mexico City "/>
    <x v="8"/>
    <x v="28"/>
    <n v="1"/>
    <n v="2"/>
    <x v="0"/>
    <s v=" "/>
  </r>
  <r>
    <x v="12"/>
    <d v="1986-06-03T00:00:00"/>
    <s v=" 16:00 "/>
    <x v="16"/>
    <s v="Tecnologico"/>
    <s v="Monterrey "/>
    <x v="8"/>
    <x v="25"/>
    <n v="1"/>
    <n v="0"/>
    <x v="26"/>
    <s v=" "/>
  </r>
  <r>
    <x v="12"/>
    <d v="1986-06-04T00:00:00"/>
    <s v=" 12:00 "/>
    <x v="11"/>
    <s v="Bombonera - Estadio Nemesio Diez"/>
    <s v="Toluca "/>
    <x v="8"/>
    <x v="8"/>
    <n v="1"/>
    <n v="0"/>
    <x v="54"/>
    <s v=" "/>
  </r>
  <r>
    <x v="12"/>
    <d v="1986-06-04T00:00:00"/>
    <s v=" 16:00 "/>
    <x v="17"/>
    <s v="Neza"/>
    <s v="Nezahualcoyotl "/>
    <x v="8"/>
    <x v="34"/>
    <n v="0"/>
    <n v="1"/>
    <x v="55"/>
    <s v=" "/>
  </r>
  <r>
    <x v="12"/>
    <d v="1986-06-04T00:00:00"/>
    <s v=" 12:00 "/>
    <x v="17"/>
    <s v="Estadio Corregidora"/>
    <s v="Queretaro "/>
    <x v="8"/>
    <x v="6"/>
    <n v="1"/>
    <n v="1"/>
    <x v="30"/>
    <s v=" "/>
  </r>
  <r>
    <x v="12"/>
    <d v="1986-06-05T00:00:00"/>
    <s v=" 12:00 "/>
    <x v="12"/>
    <s v="Cuauhtemoc"/>
    <s v="Puebla "/>
    <x v="8"/>
    <x v="15"/>
    <n v="1"/>
    <n v="1"/>
    <x v="11"/>
    <s v=" "/>
  </r>
  <r>
    <x v="12"/>
    <d v="1986-06-05T00:00:00"/>
    <s v=" 12:00 "/>
    <x v="14"/>
    <s v="Nou Camp - Estadio Leï¿½n"/>
    <s v="Leon "/>
    <x v="8"/>
    <x v="0"/>
    <n v="1"/>
    <n v="1"/>
    <x v="34"/>
    <s v=" "/>
  </r>
  <r>
    <x v="12"/>
    <d v="1986-06-05T00:00:00"/>
    <s v=" 16:00 "/>
    <x v="12"/>
    <s v="Estadio Olï¿½mpico Universitario"/>
    <s v="Mexico City "/>
    <x v="8"/>
    <x v="42"/>
    <n v="1"/>
    <n v="1"/>
    <x v="36"/>
    <s v=" "/>
  </r>
  <r>
    <x v="12"/>
    <d v="1986-06-06T00:00:00"/>
    <s v=" 12:00 "/>
    <x v="14"/>
    <s v="Estadio Irapuato"/>
    <s v="Irapuato "/>
    <x v="8"/>
    <x v="10"/>
    <n v="2"/>
    <n v="0"/>
    <x v="56"/>
    <s v=" "/>
  </r>
  <r>
    <x v="12"/>
    <d v="1986-06-06T00:00:00"/>
    <s v=" 12:00 "/>
    <x v="15"/>
    <s v="Jalisco"/>
    <s v="Guadalajara "/>
    <x v="8"/>
    <x v="7"/>
    <n v="1"/>
    <n v="0"/>
    <x v="51"/>
    <s v=" "/>
  </r>
  <r>
    <x v="12"/>
    <d v="1986-06-06T00:00:00"/>
    <s v=" 16:00 "/>
    <x v="16"/>
    <s v="Tecnologico"/>
    <s v="Monterrey "/>
    <x v="8"/>
    <x v="18"/>
    <n v="0"/>
    <n v="0"/>
    <x v="40"/>
    <s v=" "/>
  </r>
  <r>
    <x v="12"/>
    <d v="1986-06-07T00:00:00"/>
    <s v=" 12:00 "/>
    <x v="15"/>
    <s v="Tres de Marzo"/>
    <s v="Guadalajara "/>
    <x v="8"/>
    <x v="22"/>
    <n v="1"/>
    <n v="2"/>
    <x v="16"/>
    <s v=" "/>
  </r>
  <r>
    <x v="12"/>
    <d v="1986-06-07T00:00:00"/>
    <s v=" 12:00 "/>
    <x v="11"/>
    <s v="Estadio Azteca"/>
    <s v="Mexico City "/>
    <x v="8"/>
    <x v="23"/>
    <n v="1"/>
    <n v="1"/>
    <x v="6"/>
    <s v=" "/>
  </r>
  <r>
    <x v="12"/>
    <d v="1986-06-07T00:00:00"/>
    <s v=" 16:00 "/>
    <x v="16"/>
    <s v="Estadio Universitario"/>
    <s v="Monterrey "/>
    <x v="8"/>
    <x v="32"/>
    <n v="1"/>
    <n v="0"/>
    <x v="38"/>
    <s v=" "/>
  </r>
  <r>
    <x v="12"/>
    <d v="1986-06-08T00:00:00"/>
    <s v=" 12:00 "/>
    <x v="11"/>
    <s v="Bombonera - Estadio Nemesio Diez"/>
    <s v="Toluca "/>
    <x v="8"/>
    <x v="43"/>
    <n v="1"/>
    <n v="2"/>
    <x v="1"/>
    <s v=" "/>
  </r>
  <r>
    <x v="12"/>
    <d v="1986-06-08T00:00:00"/>
    <s v=" 16:00 "/>
    <x v="17"/>
    <s v="Neza"/>
    <s v="Nezahualcoyotl "/>
    <x v="8"/>
    <x v="44"/>
    <n v="6"/>
    <n v="1"/>
    <x v="31"/>
    <s v=" "/>
  </r>
  <r>
    <x v="12"/>
    <d v="1986-06-08T00:00:00"/>
    <s v=" 12:00 "/>
    <x v="17"/>
    <s v="Estadio Corregidora"/>
    <s v="Queretaro "/>
    <x v="8"/>
    <x v="19"/>
    <n v="2"/>
    <n v="1"/>
    <x v="27"/>
    <s v=" "/>
  </r>
  <r>
    <x v="12"/>
    <d v="1986-06-09T00:00:00"/>
    <s v=" 12:00 "/>
    <x v="14"/>
    <s v="Nou Camp - Estadio Leï¿½n"/>
    <s v="Leon "/>
    <x v="8"/>
    <x v="10"/>
    <n v="0"/>
    <n v="3"/>
    <x v="4"/>
    <s v=" "/>
  </r>
  <r>
    <x v="12"/>
    <d v="1986-06-09T00:00:00"/>
    <s v=" 12:00 "/>
    <x v="14"/>
    <s v="Estadio Irapuato"/>
    <s v="Irapuato "/>
    <x v="8"/>
    <x v="21"/>
    <n v="2"/>
    <n v="0"/>
    <x v="56"/>
    <s v=" "/>
  </r>
  <r>
    <x v="12"/>
    <d v="1986-06-10T00:00:00"/>
    <s v=" 12:00 "/>
    <x v="12"/>
    <s v="Cuauhtemoc"/>
    <s v="Puebla "/>
    <x v="8"/>
    <x v="42"/>
    <n v="2"/>
    <n v="3"/>
    <x v="25"/>
    <s v=" "/>
  </r>
  <r>
    <x v="12"/>
    <d v="1986-06-10T00:00:00"/>
    <s v=" 12:00 "/>
    <x v="12"/>
    <s v="Estadio Olï¿½mpico Universitario"/>
    <s v="Mexico City "/>
    <x v="8"/>
    <x v="4"/>
    <n v="2"/>
    <n v="0"/>
    <x v="36"/>
    <s v=" "/>
  </r>
  <r>
    <x v="12"/>
    <d v="1986-06-11T00:00:00"/>
    <s v=" 12:00 "/>
    <x v="11"/>
    <s v="Bombonera - Estadio Nemesio Diez"/>
    <s v="Toluca "/>
    <x v="8"/>
    <x v="8"/>
    <n v="2"/>
    <n v="2"/>
    <x v="1"/>
    <s v=" "/>
  </r>
  <r>
    <x v="12"/>
    <d v="1986-06-11T00:00:00"/>
    <s v=" 12:00 "/>
    <x v="11"/>
    <s v="Estadio Azteca"/>
    <s v="Mexico City "/>
    <x v="8"/>
    <x v="43"/>
    <n v="0"/>
    <n v="1"/>
    <x v="0"/>
    <s v=" "/>
  </r>
  <r>
    <x v="12"/>
    <d v="1986-06-11T00:00:00"/>
    <s v=" 16:00 "/>
    <x v="16"/>
    <s v="Tres de Marzo"/>
    <s v="Guadalajara "/>
    <x v="8"/>
    <x v="25"/>
    <n v="1"/>
    <n v="3"/>
    <x v="40"/>
    <s v=" "/>
  </r>
  <r>
    <x v="12"/>
    <d v="1986-06-11T00:00:00"/>
    <s v=" 16:00 "/>
    <x v="16"/>
    <s v="Tecnologico"/>
    <s v="Monterrey "/>
    <x v="8"/>
    <x v="18"/>
    <n v="3"/>
    <n v="0"/>
    <x v="23"/>
    <s v=" "/>
  </r>
  <r>
    <x v="12"/>
    <d v="1986-06-12T00:00:00"/>
    <s v=" 12:00 "/>
    <x v="15"/>
    <s v="Jalisco"/>
    <s v="Guadalajara "/>
    <x v="8"/>
    <x v="22"/>
    <n v="0"/>
    <n v="3"/>
    <x v="2"/>
    <s v=" "/>
  </r>
  <r>
    <x v="12"/>
    <d v="1986-06-12T00:00:00"/>
    <s v=" 12:00 "/>
    <x v="15"/>
    <s v="Tecnologico"/>
    <s v="Monterrey "/>
    <x v="8"/>
    <x v="38"/>
    <n v="0"/>
    <n v="3"/>
    <x v="16"/>
    <s v=" "/>
  </r>
  <r>
    <x v="12"/>
    <d v="1986-06-13T00:00:00"/>
    <s v=" 12:00 "/>
    <x v="17"/>
    <s v="Neza"/>
    <s v="Nezahualcoyotl "/>
    <x v="8"/>
    <x v="34"/>
    <n v="0"/>
    <n v="0"/>
    <x v="31"/>
    <s v=" "/>
  </r>
  <r>
    <x v="12"/>
    <d v="1986-06-13T00:00:00"/>
    <s v=" 12:00 "/>
    <x v="17"/>
    <s v="Estadio Corregidora"/>
    <s v="Queretaro "/>
    <x v="8"/>
    <x v="44"/>
    <n v="2"/>
    <n v="0"/>
    <x v="30"/>
    <s v=" "/>
  </r>
  <r>
    <x v="12"/>
    <d v="1986-06-15T00:00:00"/>
    <s v=" 16:00 "/>
    <x v="18"/>
    <s v="Nou Camp - Estadio Leï¿½n"/>
    <s v="Leon "/>
    <x v="8"/>
    <x v="21"/>
    <n v="3"/>
    <n v="4"/>
    <x v="1"/>
    <s v="Belgium win after extra time "/>
  </r>
  <r>
    <x v="12"/>
    <d v="1986-06-15T00:00:00"/>
    <s v=" 12:00 "/>
    <x v="18"/>
    <s v="Estadio Azteca"/>
    <s v="Mexico City "/>
    <x v="8"/>
    <x v="23"/>
    <n v="2"/>
    <n v="0"/>
    <x v="36"/>
    <s v=" "/>
  </r>
  <r>
    <x v="12"/>
    <d v="1986-06-16T00:00:00"/>
    <s v=" 16:00 "/>
    <x v="18"/>
    <s v="Cuauhtemoc"/>
    <s v="Puebla "/>
    <x v="8"/>
    <x v="4"/>
    <n v="1"/>
    <n v="0"/>
    <x v="31"/>
    <s v=" "/>
  </r>
  <r>
    <x v="12"/>
    <d v="1986-06-16T00:00:00"/>
    <s v=" 12:00 "/>
    <x v="18"/>
    <s v="Jalisco"/>
    <s v="Guadalajara "/>
    <x v="8"/>
    <x v="7"/>
    <n v="4"/>
    <n v="0"/>
    <x v="23"/>
    <s v=" "/>
  </r>
  <r>
    <x v="12"/>
    <d v="1986-06-17T00:00:00"/>
    <s v=" 12:00 "/>
    <x v="18"/>
    <s v="Estadio Olï¿½mpico Universitario"/>
    <s v="Mexico City "/>
    <x v="8"/>
    <x v="15"/>
    <n v="0"/>
    <n v="2"/>
    <x v="4"/>
    <s v=" "/>
  </r>
  <r>
    <x v="12"/>
    <d v="1986-06-17T00:00:00"/>
    <s v=" 16:00 "/>
    <x v="18"/>
    <s v="Estadio Universitario"/>
    <s v="Monterrey "/>
    <x v="8"/>
    <x v="41"/>
    <n v="0"/>
    <n v="1"/>
    <x v="30"/>
    <s v=" "/>
  </r>
  <r>
    <x v="12"/>
    <d v="1986-06-18T00:00:00"/>
    <s v=" 12:00 "/>
    <x v="18"/>
    <s v="Estadio Azteca"/>
    <s v="Mexico City "/>
    <x v="8"/>
    <x v="18"/>
    <n v="3"/>
    <n v="0"/>
    <x v="6"/>
    <s v=" "/>
  </r>
  <r>
    <x v="12"/>
    <d v="1986-06-18T00:00:00"/>
    <s v=" 16:00 "/>
    <x v="18"/>
    <s v="Estadio Corregidora"/>
    <s v="Queretaro "/>
    <x v="8"/>
    <x v="44"/>
    <n v="1"/>
    <n v="5"/>
    <x v="16"/>
    <s v=" "/>
  </r>
  <r>
    <x v="12"/>
    <d v="1986-06-21T00:00:00"/>
    <s v=" 12:00 "/>
    <x v="7"/>
    <s v="Jalisco"/>
    <s v="Guadalajara "/>
    <x v="8"/>
    <x v="7"/>
    <n v="1"/>
    <n v="1"/>
    <x v="4"/>
    <s v="France win on penalties (3 - 4) "/>
  </r>
  <r>
    <x v="12"/>
    <d v="1986-06-21T00:00:00"/>
    <s v=" 16:00 "/>
    <x v="7"/>
    <s v="Estadio Universitario"/>
    <s v="Monterrey "/>
    <x v="8"/>
    <x v="19"/>
    <n v="0"/>
    <n v="0"/>
    <x v="0"/>
    <s v="Germany FR win on penalties (4 - 1) "/>
  </r>
  <r>
    <x v="12"/>
    <d v="1986-06-22T00:00:00"/>
    <s v=" 16:00 "/>
    <x v="7"/>
    <s v="Cuauhtemoc"/>
    <s v="Puebla "/>
    <x v="8"/>
    <x v="14"/>
    <n v="1"/>
    <n v="1"/>
    <x v="1"/>
    <s v="Belgium win on penalties (4 - 5) "/>
  </r>
  <r>
    <x v="12"/>
    <d v="1986-06-22T00:00:00"/>
    <s v=" 12:00 "/>
    <x v="7"/>
    <s v="Estadio Azteca"/>
    <s v="Mexico City "/>
    <x v="8"/>
    <x v="4"/>
    <n v="2"/>
    <n v="1"/>
    <x v="26"/>
    <s v=" "/>
  </r>
  <r>
    <x v="12"/>
    <d v="1986-06-25T00:00:00"/>
    <s v=" 12:00 "/>
    <x v="4"/>
    <s v="Jalisco"/>
    <s v="Guadalajara "/>
    <x v="8"/>
    <x v="0"/>
    <n v="0"/>
    <n v="2"/>
    <x v="30"/>
    <s v=" "/>
  </r>
  <r>
    <x v="12"/>
    <d v="1986-06-25T00:00:00"/>
    <s v=" 16:00 "/>
    <x v="4"/>
    <s v="Estadio Azteca"/>
    <s v="Mexico City "/>
    <x v="8"/>
    <x v="4"/>
    <n v="2"/>
    <n v="0"/>
    <x v="1"/>
    <s v=" "/>
  </r>
  <r>
    <x v="12"/>
    <d v="1986-06-28T00:00:00"/>
    <s v=" 12:00 "/>
    <x v="8"/>
    <s v="Cuauhtemoc"/>
    <s v="Puebla "/>
    <x v="8"/>
    <x v="0"/>
    <n v="4"/>
    <n v="2"/>
    <x v="1"/>
    <s v="France win after extra time "/>
  </r>
  <r>
    <x v="12"/>
    <d v="1986-06-29T00:00:00"/>
    <s v=" 12:00 "/>
    <x v="5"/>
    <s v="Estadio Azteca"/>
    <s v="Mexico City "/>
    <x v="8"/>
    <x v="4"/>
    <n v="3"/>
    <n v="2"/>
    <x v="30"/>
    <s v=" "/>
  </r>
  <r>
    <x v="13"/>
    <d v="1990-06-08T00:00:00"/>
    <s v=" 18:00 "/>
    <x v="11"/>
    <s v="Giuseppe Meazza"/>
    <s v="Milan "/>
    <x v="1"/>
    <x v="4"/>
    <n v="0"/>
    <n v="1"/>
    <x v="49"/>
    <s v=" "/>
  </r>
  <r>
    <x v="13"/>
    <d v="1990-06-09T00:00:00"/>
    <s v=" 17:00 "/>
    <x v="11"/>
    <s v="Stadio San Nicola"/>
    <s v="Bari "/>
    <x v="1"/>
    <x v="21"/>
    <n v="0"/>
    <n v="2"/>
    <x v="7"/>
    <s v=" "/>
  </r>
  <r>
    <x v="13"/>
    <d v="1990-06-09T00:00:00"/>
    <s v=" 17:00 "/>
    <x v="15"/>
    <s v="Renato Dall Ara"/>
    <s v="Bologna "/>
    <x v="1"/>
    <x v="45"/>
    <n v="0"/>
    <n v="2"/>
    <x v="35"/>
    <s v=" "/>
  </r>
  <r>
    <x v="13"/>
    <d v="1990-06-09T00:00:00"/>
    <s v=" 21:00 "/>
    <x v="12"/>
    <s v="Stadio Olimpico"/>
    <s v="Rome "/>
    <x v="1"/>
    <x v="15"/>
    <n v="1"/>
    <n v="0"/>
    <x v="18"/>
    <s v=" "/>
  </r>
  <r>
    <x v="13"/>
    <d v="1990-06-10T00:00:00"/>
    <s v=" 17:00 "/>
    <x v="12"/>
    <s v="Comunale"/>
    <s v="Florence "/>
    <x v="1"/>
    <x v="1"/>
    <n v="1"/>
    <n v="5"/>
    <x v="20"/>
    <s v=" "/>
  </r>
  <r>
    <x v="13"/>
    <d v="1990-06-10T00:00:00"/>
    <s v=" 21:00 "/>
    <x v="14"/>
    <s v="Stadio delle Alpi"/>
    <s v="Turin "/>
    <x v="1"/>
    <x v="7"/>
    <n v="2"/>
    <n v="1"/>
    <x v="15"/>
    <s v=" "/>
  </r>
  <r>
    <x v="13"/>
    <d v="1990-06-10T00:00:00"/>
    <s v=" 21:00 "/>
    <x v="15"/>
    <s v="Giuseppe Meazza"/>
    <s v="Milan "/>
    <x v="1"/>
    <x v="19"/>
    <n v="4"/>
    <n v="1"/>
    <x v="10"/>
    <s v=" "/>
  </r>
  <r>
    <x v="13"/>
    <d v="1990-06-11T00:00:00"/>
    <s v=" 17:00 "/>
    <x v="14"/>
    <s v="Luigi Ferraris"/>
    <s v="Genoa "/>
    <x v="1"/>
    <x v="46"/>
    <n v="1"/>
    <n v="0"/>
    <x v="27"/>
    <s v=" "/>
  </r>
  <r>
    <x v="13"/>
    <d v="1990-06-11T00:00:00"/>
    <s v=" 21:00 "/>
    <x v="16"/>
    <s v="Sant Elia"/>
    <s v="Cagliari "/>
    <x v="1"/>
    <x v="18"/>
    <n v="1"/>
    <n v="1"/>
    <x v="57"/>
    <s v=" "/>
  </r>
  <r>
    <x v="13"/>
    <d v="1990-06-12T00:00:00"/>
    <s v=" 17:00 "/>
    <x v="17"/>
    <s v="Marc Antonio Bentegodi"/>
    <s v="Verona "/>
    <x v="1"/>
    <x v="28"/>
    <n v="2"/>
    <n v="0"/>
    <x v="29"/>
    <s v=" "/>
  </r>
  <r>
    <x v="13"/>
    <d v="1990-06-12T00:00:00"/>
    <s v=" 21:00 "/>
    <x v="16"/>
    <s v="Della Favorita"/>
    <s v="Palermo "/>
    <x v="1"/>
    <x v="35"/>
    <n v="1"/>
    <n v="1"/>
    <x v="12"/>
    <s v=" "/>
  </r>
  <r>
    <x v="13"/>
    <d v="1990-06-13T00:00:00"/>
    <s v=" 17:00 "/>
    <x v="17"/>
    <s v="Dacia Arena"/>
    <s v="Udine "/>
    <x v="1"/>
    <x v="6"/>
    <n v="0"/>
    <n v="0"/>
    <x v="16"/>
    <s v=" "/>
  </r>
  <r>
    <x v="13"/>
    <d v="1990-06-13T00:00:00"/>
    <s v=" 21:00 "/>
    <x v="11"/>
    <s v="San Paolo"/>
    <s v="Naples "/>
    <x v="1"/>
    <x v="4"/>
    <n v="2"/>
    <n v="0"/>
    <x v="34"/>
    <s v=" "/>
  </r>
  <r>
    <x v="13"/>
    <d v="1990-06-14T00:00:00"/>
    <s v=" 17:00 "/>
    <x v="11"/>
    <s v="Stadio San Nicola"/>
    <s v="Bari "/>
    <x v="1"/>
    <x v="47"/>
    <n v="2"/>
    <n v="1"/>
    <x v="7"/>
    <s v=" "/>
  </r>
  <r>
    <x v="13"/>
    <d v="1990-06-14T00:00:00"/>
    <s v=" 17:00 "/>
    <x v="15"/>
    <s v="Renato Dall Ara"/>
    <s v="Bologna "/>
    <x v="1"/>
    <x v="2"/>
    <n v="1"/>
    <n v="0"/>
    <x v="35"/>
    <s v=" "/>
  </r>
  <r>
    <x v="13"/>
    <d v="1990-06-14T00:00:00"/>
    <s v=" 21:00 "/>
    <x v="12"/>
    <s v="Stadio Olimpico"/>
    <s v="Rome "/>
    <x v="1"/>
    <x v="15"/>
    <n v="1"/>
    <n v="0"/>
    <x v="9"/>
    <s v=" "/>
  </r>
  <r>
    <x v="13"/>
    <d v="1990-06-15T00:00:00"/>
    <s v=" 17:00 "/>
    <x v="12"/>
    <s v="Comunale"/>
    <s v="Florence "/>
    <x v="1"/>
    <x v="9"/>
    <n v="0"/>
    <n v="1"/>
    <x v="20"/>
    <s v=" "/>
  </r>
  <r>
    <x v="13"/>
    <d v="1990-06-15T00:00:00"/>
    <s v=" 21:00 "/>
    <x v="15"/>
    <s v="Giuseppe Meazza"/>
    <s v="Milan "/>
    <x v="1"/>
    <x v="19"/>
    <n v="5"/>
    <n v="1"/>
    <x v="58"/>
    <s v=" "/>
  </r>
  <r>
    <x v="13"/>
    <d v="1990-06-16T00:00:00"/>
    <s v=" 17:00 "/>
    <x v="14"/>
    <s v="Stadio delle Alpi"/>
    <s v="Turin "/>
    <x v="1"/>
    <x v="7"/>
    <n v="1"/>
    <n v="0"/>
    <x v="59"/>
    <s v=" "/>
  </r>
  <r>
    <x v="13"/>
    <d v="1990-06-16T00:00:00"/>
    <s v=" 21:00 "/>
    <x v="14"/>
    <s v="Luigi Ferraris"/>
    <s v="Genoa "/>
    <x v="1"/>
    <x v="12"/>
    <n v="1"/>
    <n v="2"/>
    <x v="27"/>
    <s v=" "/>
  </r>
  <r>
    <x v="13"/>
    <d v="1990-06-16T00:00:00"/>
    <s v=" 21:00 "/>
    <x v="16"/>
    <s v="Sant Elia"/>
    <s v="Cagliari "/>
    <x v="1"/>
    <x v="18"/>
    <n v="0"/>
    <n v="0"/>
    <x v="13"/>
    <s v=" "/>
  </r>
  <r>
    <x v="13"/>
    <d v="1990-06-17T00:00:00"/>
    <s v=" 17:00 "/>
    <x v="16"/>
    <s v="Della Favorita"/>
    <s v="Palermo "/>
    <x v="1"/>
    <x v="48"/>
    <n v="0"/>
    <n v="0"/>
    <x v="12"/>
    <s v=" "/>
  </r>
  <r>
    <x v="13"/>
    <d v="1990-06-17T00:00:00"/>
    <s v=" 21:00 "/>
    <x v="17"/>
    <s v="Dacia Arena"/>
    <s v="Udine "/>
    <x v="1"/>
    <x v="42"/>
    <n v="1"/>
    <n v="3"/>
    <x v="16"/>
    <s v=" "/>
  </r>
  <r>
    <x v="13"/>
    <d v="1990-06-17T00:00:00"/>
    <s v=" 21:00 "/>
    <x v="17"/>
    <s v="Marc Antonio Bentegodi"/>
    <s v="Verona "/>
    <x v="1"/>
    <x v="28"/>
    <n v="3"/>
    <n v="1"/>
    <x v="31"/>
    <s v=" "/>
  </r>
  <r>
    <x v="13"/>
    <d v="1990-06-18T00:00:00"/>
    <s v=" 21:00 "/>
    <x v="11"/>
    <s v="San Paolo"/>
    <s v="Naples "/>
    <x v="1"/>
    <x v="4"/>
    <n v="1"/>
    <n v="1"/>
    <x v="7"/>
    <s v=" "/>
  </r>
  <r>
    <x v="13"/>
    <d v="1990-06-18T00:00:00"/>
    <s v=" 21:00 "/>
    <x v="11"/>
    <s v="Stadio San Nicola"/>
    <s v="Bari "/>
    <x v="1"/>
    <x v="47"/>
    <n v="0"/>
    <n v="4"/>
    <x v="34"/>
    <s v=" "/>
  </r>
  <r>
    <x v="13"/>
    <d v="1990-06-19T00:00:00"/>
    <s v=" 17:00 "/>
    <x v="15"/>
    <s v="Giuseppe Meazza"/>
    <s v="Milan "/>
    <x v="1"/>
    <x v="19"/>
    <n v="1"/>
    <n v="1"/>
    <x v="35"/>
    <s v=" "/>
  </r>
  <r>
    <x v="13"/>
    <d v="1990-06-19T00:00:00"/>
    <s v=" 17:00 "/>
    <x v="15"/>
    <s v="Renato Dall Ara"/>
    <s v="Bologna "/>
    <x v="1"/>
    <x v="2"/>
    <n v="4"/>
    <n v="1"/>
    <x v="58"/>
    <s v=" "/>
  </r>
  <r>
    <x v="13"/>
    <d v="1990-06-19T00:00:00"/>
    <s v=" 21:00 "/>
    <x v="12"/>
    <s v="Stadio Olimpico"/>
    <s v="Rome "/>
    <x v="1"/>
    <x v="15"/>
    <n v="2"/>
    <n v="0"/>
    <x v="20"/>
    <s v=" "/>
  </r>
  <r>
    <x v="13"/>
    <d v="1990-06-19T00:00:00"/>
    <s v=" 21:00 "/>
    <x v="12"/>
    <s v="Comunale"/>
    <s v="Florence "/>
    <x v="1"/>
    <x v="9"/>
    <n v="2"/>
    <n v="1"/>
    <x v="9"/>
    <s v=" "/>
  </r>
  <r>
    <x v="13"/>
    <d v="1990-06-20T00:00:00"/>
    <s v=" 21:00 "/>
    <x v="14"/>
    <s v="Stadio delle Alpi"/>
    <s v="Turin "/>
    <x v="1"/>
    <x v="7"/>
    <n v="1"/>
    <n v="0"/>
    <x v="27"/>
    <s v=" "/>
  </r>
  <r>
    <x v="13"/>
    <d v="1990-06-20T00:00:00"/>
    <s v=" 21:00 "/>
    <x v="14"/>
    <s v="Luigi Ferraris"/>
    <s v="Genoa "/>
    <x v="1"/>
    <x v="12"/>
    <n v="1"/>
    <n v="2"/>
    <x v="59"/>
    <s v=" "/>
  </r>
  <r>
    <x v="13"/>
    <d v="1990-06-21T00:00:00"/>
    <s v=" 17:00 "/>
    <x v="17"/>
    <s v="Friuli"/>
    <s v="Udine "/>
    <x v="1"/>
    <x v="42"/>
    <n v="0"/>
    <n v="1"/>
    <x v="31"/>
    <s v=" "/>
  </r>
  <r>
    <x v="13"/>
    <d v="1990-06-21T00:00:00"/>
    <s v=" 17:00 "/>
    <x v="17"/>
    <s v="Marc Antonio Bentegodi"/>
    <s v="Verona "/>
    <x v="1"/>
    <x v="28"/>
    <n v="1"/>
    <n v="2"/>
    <x v="16"/>
    <s v=" "/>
  </r>
  <r>
    <x v="13"/>
    <d v="1990-06-21T00:00:00"/>
    <s v=" 21:00 "/>
    <x v="16"/>
    <s v="Della Favorita"/>
    <s v="Palermo "/>
    <x v="1"/>
    <x v="48"/>
    <n v="1"/>
    <n v="1"/>
    <x v="13"/>
    <s v=" "/>
  </r>
  <r>
    <x v="13"/>
    <d v="1990-06-21T00:00:00"/>
    <s v=" 21:00 "/>
    <x v="16"/>
    <s v="Sant Elia"/>
    <s v="Cagliari "/>
    <x v="1"/>
    <x v="18"/>
    <n v="1"/>
    <n v="0"/>
    <x v="12"/>
    <s v=" "/>
  </r>
  <r>
    <x v="13"/>
    <d v="1990-06-23T00:00:00"/>
    <s v=" 17:00 "/>
    <x v="18"/>
    <s v="San Paolo"/>
    <s v="Naples "/>
    <x v="1"/>
    <x v="47"/>
    <n v="2"/>
    <n v="1"/>
    <x v="35"/>
    <s v="Cameroon win after extra time "/>
  </r>
  <r>
    <x v="13"/>
    <d v="1990-06-23T00:00:00"/>
    <s v=" 21:00 "/>
    <x v="18"/>
    <s v="Stadio San Nicola"/>
    <s v="Bari "/>
    <x v="1"/>
    <x v="16"/>
    <n v="4"/>
    <n v="1"/>
    <x v="59"/>
    <s v=" "/>
  </r>
  <r>
    <x v="13"/>
    <d v="1990-06-24T00:00:00"/>
    <s v=" 17:00 "/>
    <x v="18"/>
    <s v="Stadio delle Alpi"/>
    <s v="Turin "/>
    <x v="1"/>
    <x v="7"/>
    <n v="0"/>
    <n v="1"/>
    <x v="11"/>
    <s v=" "/>
  </r>
  <r>
    <x v="13"/>
    <d v="1990-06-24T00:00:00"/>
    <s v=" 21:00 "/>
    <x v="18"/>
    <s v="Giuseppe Meazza"/>
    <s v="Milan "/>
    <x v="1"/>
    <x v="19"/>
    <n v="2"/>
    <n v="1"/>
    <x v="13"/>
    <s v=" "/>
  </r>
  <r>
    <x v="13"/>
    <d v="1990-06-25T00:00:00"/>
    <s v=" 17:00 "/>
    <x v="18"/>
    <s v="Luigi Ferraris"/>
    <s v="Genoa "/>
    <x v="1"/>
    <x v="48"/>
    <n v="0"/>
    <n v="0"/>
    <x v="7"/>
    <s v="Republic of Ireland win on penalties (5 - 4) "/>
  </r>
  <r>
    <x v="13"/>
    <d v="1990-06-25T00:00:00"/>
    <s v=" 21:00 "/>
    <x v="18"/>
    <s v="Stadio Olimpico"/>
    <s v="Rome "/>
    <x v="1"/>
    <x v="15"/>
    <n v="2"/>
    <n v="0"/>
    <x v="31"/>
    <s v=" "/>
  </r>
  <r>
    <x v="13"/>
    <d v="1990-06-26T00:00:00"/>
    <s v=" 17:00 "/>
    <x v="18"/>
    <s v="Marc Antonio Bentegodi"/>
    <s v="Verona "/>
    <x v="1"/>
    <x v="14"/>
    <n v="1"/>
    <n v="2"/>
    <x v="10"/>
    <s v="Yugoslavia win after extra time "/>
  </r>
  <r>
    <x v="13"/>
    <d v="1990-06-26T00:00:00"/>
    <s v=" 21:00 "/>
    <x v="18"/>
    <s v="Renato Dall Ara"/>
    <s v="Bologna "/>
    <x v="1"/>
    <x v="18"/>
    <n v="1"/>
    <n v="0"/>
    <x v="1"/>
    <s v="England win after extra time "/>
  </r>
  <r>
    <x v="13"/>
    <d v="1990-06-30T00:00:00"/>
    <s v=" 17:00 "/>
    <x v="7"/>
    <s v="Comunale"/>
    <s v="Florence "/>
    <x v="1"/>
    <x v="2"/>
    <n v="0"/>
    <n v="0"/>
    <x v="11"/>
    <s v=" win on penalties (2 - 3) "/>
  </r>
  <r>
    <x v="13"/>
    <d v="1990-06-30T00:00:00"/>
    <s v=" 21:00 "/>
    <x v="7"/>
    <s v="Stadio Olimpico"/>
    <s v="Rome "/>
    <x v="1"/>
    <x v="15"/>
    <n v="1"/>
    <n v="0"/>
    <x v="57"/>
    <s v=" "/>
  </r>
  <r>
    <x v="13"/>
    <d v="1990-07-01T00:00:00"/>
    <s v=" 17:00 "/>
    <x v="7"/>
    <s v="Giuseppe Meazza"/>
    <s v="Milan "/>
    <x v="1"/>
    <x v="19"/>
    <n v="1"/>
    <n v="0"/>
    <x v="20"/>
    <s v=" "/>
  </r>
  <r>
    <x v="13"/>
    <d v="1990-07-01T00:00:00"/>
    <s v=" 21:00 "/>
    <x v="7"/>
    <s v="San Paolo"/>
    <s v="Naples "/>
    <x v="1"/>
    <x v="18"/>
    <n v="3"/>
    <n v="2"/>
    <x v="49"/>
    <s v="England win after extra time "/>
  </r>
  <r>
    <x v="13"/>
    <d v="1990-07-03T00:00:00"/>
    <s v=" 20:00 "/>
    <x v="4"/>
    <s v="San Paolo"/>
    <s v="Naples "/>
    <x v="1"/>
    <x v="15"/>
    <n v="1"/>
    <n v="1"/>
    <x v="11"/>
    <s v=" win on penalties (3 - 4) "/>
  </r>
  <r>
    <x v="13"/>
    <d v="1990-07-04T00:00:00"/>
    <s v=" 20:00 "/>
    <x v="4"/>
    <s v="Stadio delle Alpi"/>
    <s v="Turin "/>
    <x v="1"/>
    <x v="19"/>
    <n v="1"/>
    <n v="1"/>
    <x v="26"/>
    <s v=" win on penalties (4 - 3) "/>
  </r>
  <r>
    <x v="13"/>
    <d v="1990-07-07T00:00:00"/>
    <s v=" 20:00 "/>
    <x v="8"/>
    <s v="Stadio San Nicola"/>
    <s v="Bari "/>
    <x v="1"/>
    <x v="15"/>
    <n v="2"/>
    <n v="1"/>
    <x v="26"/>
    <s v=" "/>
  </r>
  <r>
    <x v="13"/>
    <d v="1990-07-08T00:00:00"/>
    <s v=" 20:00 "/>
    <x v="5"/>
    <s v="Stadio Olimpico"/>
    <s v="Rome "/>
    <x v="1"/>
    <x v="19"/>
    <n v="1"/>
    <n v="0"/>
    <x v="11"/>
    <s v=" "/>
  </r>
  <r>
    <x v="14"/>
    <d v="1994-06-17T00:00:00"/>
    <s v=" 19:30 "/>
    <x v="14"/>
    <s v="Cotton Bowl"/>
    <s v="Dallas "/>
    <x v="12"/>
    <x v="14"/>
    <n v="2"/>
    <n v="2"/>
    <x v="29"/>
    <s v=" "/>
  </r>
  <r>
    <x v="14"/>
    <d v="1994-06-17T00:00:00"/>
    <s v=" 15:00 "/>
    <x v="14"/>
    <s v="Soldier Field"/>
    <s v="Chicago "/>
    <x v="12"/>
    <x v="13"/>
    <n v="1"/>
    <n v="0"/>
    <x v="5"/>
    <s v=" "/>
  </r>
  <r>
    <x v="14"/>
    <d v="1994-06-18T00:00:00"/>
    <s v=" 11:30 "/>
    <x v="12"/>
    <s v="Pontiac Silverdome"/>
    <s v="Detroit "/>
    <x v="12"/>
    <x v="1"/>
    <n v="1"/>
    <n v="1"/>
    <x v="14"/>
    <s v=" "/>
  </r>
  <r>
    <x v="14"/>
    <d v="1994-06-18T00:00:00"/>
    <s v=" 16:00 "/>
    <x v="17"/>
    <s v="Giants Stadium"/>
    <s v="New York/New Jersey "/>
    <x v="12"/>
    <x v="15"/>
    <n v="0"/>
    <n v="1"/>
    <x v="57"/>
    <s v=" "/>
  </r>
  <r>
    <x v="14"/>
    <d v="1994-06-18T00:00:00"/>
    <s v=" 19:30 "/>
    <x v="12"/>
    <s v="Rose Bowl"/>
    <s v="Los Angeles "/>
    <x v="12"/>
    <x v="49"/>
    <n v="1"/>
    <n v="3"/>
    <x v="7"/>
    <s v=" "/>
  </r>
  <r>
    <x v="14"/>
    <d v="1994-06-19T00:00:00"/>
    <s v=" 12:30 "/>
    <x v="16"/>
    <s v="Citrus Bowl"/>
    <s v="Orlando "/>
    <x v="12"/>
    <x v="28"/>
    <n v="1"/>
    <n v="0"/>
    <x v="40"/>
    <s v=" "/>
  </r>
  <r>
    <x v="14"/>
    <d v="1994-06-19T00:00:00"/>
    <s v=" 16:00 "/>
    <x v="17"/>
    <s v="RFK Stadium"/>
    <s v="Washington Dc "/>
    <x v="12"/>
    <x v="50"/>
    <n v="1"/>
    <n v="0"/>
    <x v="0"/>
    <s v=" "/>
  </r>
  <r>
    <x v="14"/>
    <d v="1994-06-19T00:00:00"/>
    <s v=" 19:30 "/>
    <x v="11"/>
    <s v="Rose Bowl"/>
    <s v="Los Angeles "/>
    <x v="12"/>
    <x v="47"/>
    <n v="2"/>
    <n v="2"/>
    <x v="15"/>
    <s v=" "/>
  </r>
  <r>
    <x v="14"/>
    <d v="1994-06-20T00:00:00"/>
    <s v=" 19:30 "/>
    <x v="16"/>
    <s v="RFK Stadium"/>
    <s v="Washington Dc "/>
    <x v="12"/>
    <x v="35"/>
    <n v="2"/>
    <n v="1"/>
    <x v="60"/>
    <s v=" "/>
  </r>
  <r>
    <x v="14"/>
    <d v="1994-06-20T00:00:00"/>
    <s v=" 16:00 "/>
    <x v="11"/>
    <s v="Stanford Stadium"/>
    <s v="San Francisco "/>
    <x v="12"/>
    <x v="7"/>
    <n v="2"/>
    <n v="0"/>
    <x v="61"/>
    <s v=" "/>
  </r>
  <r>
    <x v="14"/>
    <d v="1994-06-21T00:00:00"/>
    <s v=" 12:30 "/>
    <x v="15"/>
    <s v="Foxboro Stadium"/>
    <s v="Boston "/>
    <x v="12"/>
    <x v="4"/>
    <n v="4"/>
    <n v="0"/>
    <x v="62"/>
    <s v=" "/>
  </r>
  <r>
    <x v="14"/>
    <d v="1994-06-21T00:00:00"/>
    <s v=" 19:30 "/>
    <x v="15"/>
    <s v="Cotton Bowl"/>
    <s v="Dallas "/>
    <x v="12"/>
    <x v="51"/>
    <n v="3"/>
    <n v="0"/>
    <x v="36"/>
    <s v=" "/>
  </r>
  <r>
    <x v="14"/>
    <d v="1994-06-21T00:00:00"/>
    <s v=" 16:00 "/>
    <x v="14"/>
    <s v="Soldier Field"/>
    <s v="Chicago "/>
    <x v="12"/>
    <x v="13"/>
    <n v="1"/>
    <n v="1"/>
    <x v="16"/>
    <s v=" "/>
  </r>
  <r>
    <x v="14"/>
    <d v="1994-06-22T00:00:00"/>
    <s v=" 16:00 "/>
    <x v="12"/>
    <s v="Pontiac Silverdome"/>
    <s v="Detroit "/>
    <x v="12"/>
    <x v="3"/>
    <n v="1"/>
    <n v="4"/>
    <x v="14"/>
    <s v=" "/>
  </r>
  <r>
    <x v="14"/>
    <d v="1994-06-22T00:00:00"/>
    <s v=" 19:30 "/>
    <x v="12"/>
    <s v="Rose Bowl"/>
    <s v="Los Angeles "/>
    <x v="12"/>
    <x v="1"/>
    <n v="2"/>
    <n v="1"/>
    <x v="35"/>
    <s v=" "/>
  </r>
  <r>
    <x v="14"/>
    <d v="1994-06-23T00:00:00"/>
    <s v=" 16:00 "/>
    <x v="17"/>
    <s v="Giants Stadium"/>
    <s v="New York/New Jersey "/>
    <x v="12"/>
    <x v="15"/>
    <n v="1"/>
    <n v="0"/>
    <x v="22"/>
    <s v=" "/>
  </r>
  <r>
    <x v="14"/>
    <d v="1994-06-23T00:00:00"/>
    <s v=" 19:30 "/>
    <x v="14"/>
    <s v="Foxboro Stadium"/>
    <s v="Boston "/>
    <x v="12"/>
    <x v="42"/>
    <n v="0"/>
    <n v="0"/>
    <x v="5"/>
    <s v=" "/>
  </r>
  <r>
    <x v="14"/>
    <d v="1994-06-24T00:00:00"/>
    <s v=" 12:30 "/>
    <x v="17"/>
    <s v="Citrus Bowl"/>
    <s v="Orlando "/>
    <x v="12"/>
    <x v="23"/>
    <n v="2"/>
    <n v="1"/>
    <x v="57"/>
    <s v=" "/>
  </r>
  <r>
    <x v="14"/>
    <d v="1994-06-24T00:00:00"/>
    <s v=" 19:30 "/>
    <x v="11"/>
    <s v="Pontiac Silverdome"/>
    <s v="Detroit "/>
    <x v="12"/>
    <x v="12"/>
    <n v="3"/>
    <n v="1"/>
    <x v="61"/>
    <s v=" "/>
  </r>
  <r>
    <x v="14"/>
    <d v="1994-06-24T00:00:00"/>
    <s v=" 16:00 "/>
    <x v="11"/>
    <s v="Stanford Stadium"/>
    <s v="San Francisco "/>
    <x v="12"/>
    <x v="7"/>
    <n v="3"/>
    <n v="0"/>
    <x v="49"/>
    <s v=" "/>
  </r>
  <r>
    <x v="14"/>
    <d v="1994-06-25T00:00:00"/>
    <s v=" 12:30 "/>
    <x v="16"/>
    <s v="Citrus Bowl"/>
    <s v="Orlando "/>
    <x v="12"/>
    <x v="28"/>
    <n v="1"/>
    <n v="0"/>
    <x v="13"/>
    <s v=" "/>
  </r>
  <r>
    <x v="14"/>
    <d v="1994-06-25T00:00:00"/>
    <s v=" 12:30 "/>
    <x v="16"/>
    <s v="Giants Stadium"/>
    <s v="New York/New Jersey "/>
    <x v="12"/>
    <x v="52"/>
    <n v="2"/>
    <n v="1"/>
    <x v="40"/>
    <s v=" "/>
  </r>
  <r>
    <x v="14"/>
    <d v="1994-06-25T00:00:00"/>
    <s v=" 16:00 "/>
    <x v="15"/>
    <s v="Foxboro Stadium"/>
    <s v="Boston "/>
    <x v="12"/>
    <x v="4"/>
    <n v="2"/>
    <n v="1"/>
    <x v="63"/>
    <s v=" "/>
  </r>
  <r>
    <x v="14"/>
    <d v="1994-06-26T00:00:00"/>
    <s v=" 12:30 "/>
    <x v="15"/>
    <s v="Soldier Field"/>
    <s v="Chicago "/>
    <x v="12"/>
    <x v="29"/>
    <n v="4"/>
    <n v="0"/>
    <x v="62"/>
    <s v=" "/>
  </r>
  <r>
    <x v="14"/>
    <d v="1994-06-26T00:00:00"/>
    <s v=" 16:00 "/>
    <x v="12"/>
    <s v="Rose Bowl"/>
    <s v="Los Angeles "/>
    <x v="12"/>
    <x v="1"/>
    <n v="0"/>
    <n v="1"/>
    <x v="7"/>
    <s v=" "/>
  </r>
  <r>
    <x v="14"/>
    <d v="1994-06-26T00:00:00"/>
    <s v=" 16:00 "/>
    <x v="12"/>
    <s v="Stanford Stadium"/>
    <s v="San Francisco "/>
    <x v="12"/>
    <x v="11"/>
    <n v="0"/>
    <n v="2"/>
    <x v="35"/>
    <s v=" "/>
  </r>
  <r>
    <x v="14"/>
    <d v="1994-06-27T00:00:00"/>
    <s v=" 16:00 "/>
    <x v="14"/>
    <s v="Cotton Bowl"/>
    <s v="Dallas "/>
    <x v="12"/>
    <x v="13"/>
    <n v="3"/>
    <n v="2"/>
    <x v="29"/>
    <s v=" "/>
  </r>
  <r>
    <x v="14"/>
    <d v="1994-06-27T00:00:00"/>
    <s v=" 16:00 "/>
    <x v="14"/>
    <s v="Soldier Field"/>
    <s v="Chicago "/>
    <x v="12"/>
    <x v="53"/>
    <n v="1"/>
    <n v="3"/>
    <x v="16"/>
    <s v=" "/>
  </r>
  <r>
    <x v="14"/>
    <d v="1994-06-28T00:00:00"/>
    <s v=" 12:30 "/>
    <x v="17"/>
    <s v="Giants Stadium"/>
    <s v="New York/New Jersey "/>
    <x v="12"/>
    <x v="48"/>
    <n v="0"/>
    <n v="0"/>
    <x v="22"/>
    <s v=" "/>
  </r>
  <r>
    <x v="14"/>
    <d v="1994-06-28T00:00:00"/>
    <s v=" 16:00 "/>
    <x v="11"/>
    <s v="Pontiac Silverdome"/>
    <s v="Detroit "/>
    <x v="12"/>
    <x v="7"/>
    <n v="1"/>
    <n v="1"/>
    <x v="15"/>
    <s v=" "/>
  </r>
  <r>
    <x v="14"/>
    <d v="1994-06-28T00:00:00"/>
    <s v=" 12:30 "/>
    <x v="17"/>
    <s v="RFK Stadium"/>
    <s v="Washington Dc "/>
    <x v="12"/>
    <x v="15"/>
    <n v="1"/>
    <n v="1"/>
    <x v="0"/>
    <s v=" "/>
  </r>
  <r>
    <x v="14"/>
    <d v="1994-06-28T00:00:00"/>
    <s v=" 16:00 "/>
    <x v="11"/>
    <s v="Stanford Stadium"/>
    <s v="San Francisco "/>
    <x v="12"/>
    <x v="54"/>
    <n v="6"/>
    <n v="1"/>
    <x v="49"/>
    <s v=" "/>
  </r>
  <r>
    <x v="14"/>
    <d v="1994-06-29T00:00:00"/>
    <s v=" 12:30 "/>
    <x v="16"/>
    <s v="Citrus Bowl"/>
    <s v="Orlando "/>
    <x v="12"/>
    <x v="41"/>
    <n v="1"/>
    <n v="2"/>
    <x v="13"/>
    <s v=" "/>
  </r>
  <r>
    <x v="14"/>
    <d v="1994-06-29T00:00:00"/>
    <s v=" 12:30 "/>
    <x v="16"/>
    <s v="RFK Stadium"/>
    <s v="Washington Dc "/>
    <x v="12"/>
    <x v="28"/>
    <n v="0"/>
    <n v="1"/>
    <x v="60"/>
    <s v=" "/>
  </r>
  <r>
    <x v="14"/>
    <d v="1994-06-30T00:00:00"/>
    <s v=" 19:30 "/>
    <x v="15"/>
    <s v="Foxboro Stadium"/>
    <s v="Boston "/>
    <x v="12"/>
    <x v="55"/>
    <n v="0"/>
    <n v="2"/>
    <x v="63"/>
    <s v=" "/>
  </r>
  <r>
    <x v="14"/>
    <d v="1994-06-30T00:00:00"/>
    <s v=" 19:30 "/>
    <x v="15"/>
    <s v="Cotton Bowl"/>
    <s v="Dallas "/>
    <x v="12"/>
    <x v="4"/>
    <n v="0"/>
    <n v="2"/>
    <x v="36"/>
    <s v=" "/>
  </r>
  <r>
    <x v="14"/>
    <d v="1994-07-02T00:00:00"/>
    <s v=" 12:00 "/>
    <x v="18"/>
    <s v="Soldier Field"/>
    <s v="Chicago "/>
    <x v="12"/>
    <x v="13"/>
    <n v="3"/>
    <n v="2"/>
    <x v="1"/>
    <s v=" "/>
  </r>
  <r>
    <x v="14"/>
    <d v="1994-07-02T00:00:00"/>
    <s v=" 16:30 "/>
    <x v="18"/>
    <s v="RFK Stadium"/>
    <s v="Washington Dc "/>
    <x v="12"/>
    <x v="14"/>
    <n v="3"/>
    <n v="0"/>
    <x v="14"/>
    <s v=" "/>
  </r>
  <r>
    <x v="14"/>
    <d v="1994-07-03T00:00:00"/>
    <s v=" 12:00 "/>
    <x v="18"/>
    <s v="Cotton Bowl"/>
    <s v="Dallas "/>
    <x v="12"/>
    <x v="52"/>
    <n v="1"/>
    <n v="3"/>
    <x v="15"/>
    <s v=" "/>
  </r>
  <r>
    <x v="14"/>
    <d v="1994-07-03T00:00:00"/>
    <s v=" 13:30 "/>
    <x v="18"/>
    <s v="Rose Bowl"/>
    <s v="Los Angeles "/>
    <x v="12"/>
    <x v="3"/>
    <n v="3"/>
    <n v="2"/>
    <x v="11"/>
    <s v=" "/>
  </r>
  <r>
    <x v="14"/>
    <d v="1994-07-04T00:00:00"/>
    <s v=" 12:00 "/>
    <x v="18"/>
    <s v="Citrus Bowl"/>
    <s v="Orlando "/>
    <x v="12"/>
    <x v="35"/>
    <n v="2"/>
    <n v="0"/>
    <x v="57"/>
    <s v=" "/>
  </r>
  <r>
    <x v="14"/>
    <d v="1994-07-04T00:00:00"/>
    <s v=" 12:30 "/>
    <x v="18"/>
    <s v="Stanford Stadium"/>
    <s v="San Francisco "/>
    <x v="12"/>
    <x v="7"/>
    <n v="1"/>
    <n v="0"/>
    <x v="9"/>
    <s v=" "/>
  </r>
  <r>
    <x v="14"/>
    <d v="1994-07-05T00:00:00"/>
    <s v=" 13:00 "/>
    <x v="18"/>
    <s v="Foxboro Stadium"/>
    <s v="Boston "/>
    <x v="12"/>
    <x v="51"/>
    <n v="1"/>
    <n v="2"/>
    <x v="25"/>
    <s v="Italy win after extra time "/>
  </r>
  <r>
    <x v="14"/>
    <d v="1994-07-05T00:00:00"/>
    <s v=" 16:30 "/>
    <x v="18"/>
    <s v="Giants Stadium"/>
    <s v="New York/New Jersey "/>
    <x v="12"/>
    <x v="23"/>
    <n v="1"/>
    <n v="1"/>
    <x v="36"/>
    <s v="Bulgaria win on penalties (1 - 3) "/>
  </r>
  <r>
    <x v="14"/>
    <d v="1994-07-09T00:00:00"/>
    <s v=" 12:00 "/>
    <x v="7"/>
    <s v="Foxboro Stadium"/>
    <s v="Boston "/>
    <x v="12"/>
    <x v="15"/>
    <n v="2"/>
    <n v="1"/>
    <x v="16"/>
    <s v=" "/>
  </r>
  <r>
    <x v="14"/>
    <d v="1994-07-09T00:00:00"/>
    <s v=" 14:30 "/>
    <x v="7"/>
    <s v="Cotton Bowl"/>
    <s v="Dallas "/>
    <x v="12"/>
    <x v="35"/>
    <n v="2"/>
    <n v="3"/>
    <x v="2"/>
    <s v=" "/>
  </r>
  <r>
    <x v="14"/>
    <d v="1994-07-10T00:00:00"/>
    <s v=" 12:00 "/>
    <x v="7"/>
    <s v="Giants Stadium"/>
    <s v="New York/New Jersey "/>
    <x v="12"/>
    <x v="29"/>
    <n v="2"/>
    <n v="1"/>
    <x v="19"/>
    <s v=" "/>
  </r>
  <r>
    <x v="14"/>
    <d v="1994-07-10T00:00:00"/>
    <s v=" 12:30 "/>
    <x v="7"/>
    <s v="Stanford Stadium"/>
    <s v="San Francisco "/>
    <x v="12"/>
    <x v="3"/>
    <n v="2"/>
    <n v="2"/>
    <x v="15"/>
    <s v="Sweden win on penalties (4 - 5) "/>
  </r>
  <r>
    <x v="14"/>
    <d v="1994-07-13T00:00:00"/>
    <s v=" 16:00 "/>
    <x v="4"/>
    <s v="Giants Stadium"/>
    <s v="New York/New Jersey "/>
    <x v="12"/>
    <x v="29"/>
    <n v="1"/>
    <n v="2"/>
    <x v="25"/>
    <s v=" "/>
  </r>
  <r>
    <x v="14"/>
    <d v="1994-07-13T00:00:00"/>
    <s v=" 16:30 "/>
    <x v="4"/>
    <s v="Rose Bowl"/>
    <s v="Los Angeles "/>
    <x v="12"/>
    <x v="12"/>
    <n v="0"/>
    <n v="1"/>
    <x v="2"/>
    <s v=" "/>
  </r>
  <r>
    <x v="14"/>
    <d v="1994-07-16T00:00:00"/>
    <s v=" 12:30 "/>
    <x v="8"/>
    <s v="Rose Bowl"/>
    <s v="Los Angeles "/>
    <x v="12"/>
    <x v="12"/>
    <n v="4"/>
    <n v="0"/>
    <x v="36"/>
    <s v=" "/>
  </r>
  <r>
    <x v="14"/>
    <d v="1994-07-17T00:00:00"/>
    <s v=" 12:30 "/>
    <x v="5"/>
    <s v="Rose Bowl"/>
    <s v="Los Angeles "/>
    <x v="12"/>
    <x v="7"/>
    <n v="0"/>
    <n v="0"/>
    <x v="25"/>
    <s v="Brazil win on penalties (3 - 2) "/>
  </r>
  <r>
    <x v="15"/>
    <d v="1998-06-10T00:00:00"/>
    <s v=" 17:30 "/>
    <x v="12"/>
    <s v="Stade de France"/>
    <s v="Saint-Denis "/>
    <x v="2"/>
    <x v="7"/>
    <n v="2"/>
    <n v="1"/>
    <x v="27"/>
    <s v=" "/>
  </r>
  <r>
    <x v="15"/>
    <d v="1998-06-10T00:00:00"/>
    <s v=" 21:00 "/>
    <x v="12"/>
    <s v="La Mosson"/>
    <s v="Montpellier "/>
    <x v="2"/>
    <x v="41"/>
    <n v="2"/>
    <n v="2"/>
    <x v="22"/>
    <s v=" "/>
  </r>
  <r>
    <x v="15"/>
    <d v="1998-06-11T00:00:00"/>
    <s v=" 17:30 "/>
    <x v="11"/>
    <s v="Stade du Parc Lescure"/>
    <s v="Bordeaux "/>
    <x v="2"/>
    <x v="15"/>
    <n v="2"/>
    <n v="2"/>
    <x v="8"/>
    <s v=" "/>
  </r>
  <r>
    <x v="15"/>
    <d v="1998-06-11T00:00:00"/>
    <s v=" 21:00 "/>
    <x v="11"/>
    <s v="Stade Municipal"/>
    <s v="Toulouse "/>
    <x v="2"/>
    <x v="47"/>
    <n v="1"/>
    <n v="1"/>
    <x v="18"/>
    <s v=" "/>
  </r>
  <r>
    <x v="15"/>
    <d v="1998-06-12T00:00:00"/>
    <s v=" 14:30 "/>
    <x v="15"/>
    <s v="La Mosson"/>
    <s v="Montpellier "/>
    <x v="2"/>
    <x v="8"/>
    <n v="0"/>
    <n v="0"/>
    <x v="36"/>
    <s v=" "/>
  </r>
  <r>
    <x v="15"/>
    <d v="1998-06-12T00:00:00"/>
    <s v=" 17:30 "/>
    <x v="14"/>
    <s v="Stade Felix Bollaert"/>
    <s v="Lens "/>
    <x v="2"/>
    <x v="52"/>
    <n v="0"/>
    <n v="1"/>
    <x v="55"/>
    <s v=" "/>
  </r>
  <r>
    <x v="15"/>
    <d v="1998-06-12T00:00:00"/>
    <s v=" 21:00 "/>
    <x v="14"/>
    <s v="Stade Vï¿½lodrome"/>
    <s v="Marseilles "/>
    <x v="2"/>
    <x v="0"/>
    <n v="3"/>
    <n v="0"/>
    <x v="64"/>
    <s v=" "/>
  </r>
  <r>
    <x v="15"/>
    <d v="1998-06-13T00:00:00"/>
    <s v=" 14:30 "/>
    <x v="15"/>
    <s v="La Beaujoire"/>
    <s v="Nantes "/>
    <x v="2"/>
    <x v="14"/>
    <n v="2"/>
    <n v="3"/>
    <x v="63"/>
    <s v=" "/>
  </r>
  <r>
    <x v="15"/>
    <d v="1998-06-13T00:00:00"/>
    <s v=" 17:30 "/>
    <x v="17"/>
    <s v="Stade de Gerland"/>
    <s v="Lyon "/>
    <x v="2"/>
    <x v="42"/>
    <n v="1"/>
    <n v="3"/>
    <x v="0"/>
    <s v=" "/>
  </r>
  <r>
    <x v="15"/>
    <d v="1998-06-13T00:00:00"/>
    <s v=" 21:00 "/>
    <x v="17"/>
    <s v="Stade de France"/>
    <s v="Saint-Denis "/>
    <x v="2"/>
    <x v="35"/>
    <n v="0"/>
    <n v="0"/>
    <x v="1"/>
    <s v=" "/>
  </r>
  <r>
    <x v="15"/>
    <d v="1998-06-14T00:00:00"/>
    <s v=" 14:30 "/>
    <x v="19"/>
    <s v="Stade Municipal"/>
    <s v="Toulouse "/>
    <x v="2"/>
    <x v="4"/>
    <n v="1"/>
    <n v="0"/>
    <x v="65"/>
    <s v=" "/>
  </r>
  <r>
    <x v="15"/>
    <d v="1998-06-14T00:00:00"/>
    <s v=" 17:30 "/>
    <x v="16"/>
    <s v="Stade Geoffroy Guichard"/>
    <s v="Saint-Etienne "/>
    <x v="2"/>
    <x v="2"/>
    <n v="1"/>
    <n v="0"/>
    <x v="48"/>
    <s v=" "/>
  </r>
  <r>
    <x v="15"/>
    <d v="1998-06-14T00:00:00"/>
    <s v=" 21:00 "/>
    <x v="19"/>
    <s v="Stade Felix Bollaert"/>
    <s v="Lens "/>
    <x v="2"/>
    <x v="56"/>
    <n v="1"/>
    <n v="3"/>
    <x v="66"/>
    <s v=" "/>
  </r>
  <r>
    <x v="15"/>
    <d v="1998-06-15T00:00:00"/>
    <s v=" 14:30 "/>
    <x v="20"/>
    <s v="Stade Vï¿½lodrome"/>
    <s v="Marseilles "/>
    <x v="2"/>
    <x v="18"/>
    <n v="2"/>
    <n v="0"/>
    <x v="47"/>
    <s v=" "/>
  </r>
  <r>
    <x v="15"/>
    <d v="1998-06-15T00:00:00"/>
    <s v=" 17:30 "/>
    <x v="20"/>
    <s v="Stade de Gerland"/>
    <s v="Lyon "/>
    <x v="2"/>
    <x v="3"/>
    <n v="1"/>
    <n v="0"/>
    <x v="35"/>
    <s v=" "/>
  </r>
  <r>
    <x v="15"/>
    <d v="1998-06-15T00:00:00"/>
    <s v=" 21:00 "/>
    <x v="16"/>
    <s v="Parc des Princes"/>
    <s v="Paris "/>
    <x v="2"/>
    <x v="13"/>
    <n v="2"/>
    <n v="0"/>
    <x v="9"/>
    <s v=" "/>
  </r>
  <r>
    <x v="15"/>
    <d v="1998-06-16T00:00:00"/>
    <s v=" 17:30 "/>
    <x v="12"/>
    <s v="Stade du Parc Lescure"/>
    <s v="Bordeaux "/>
    <x v="2"/>
    <x v="34"/>
    <n v="1"/>
    <n v="1"/>
    <x v="22"/>
    <s v=" "/>
  </r>
  <r>
    <x v="15"/>
    <d v="1998-06-16T00:00:00"/>
    <s v=" 21:00 "/>
    <x v="12"/>
    <s v="La Beaujoire"/>
    <s v="Nantes "/>
    <x v="2"/>
    <x v="7"/>
    <n v="3"/>
    <n v="0"/>
    <x v="40"/>
    <s v=" "/>
  </r>
  <r>
    <x v="15"/>
    <d v="1998-06-17T00:00:00"/>
    <s v=" 17:30 "/>
    <x v="11"/>
    <s v="Stade Geoffroy Guichard"/>
    <s v="Saint-Etienne "/>
    <x v="2"/>
    <x v="5"/>
    <n v="1"/>
    <n v="1"/>
    <x v="18"/>
    <s v=" "/>
  </r>
  <r>
    <x v="15"/>
    <d v="1998-06-17T00:00:00"/>
    <s v=" 21:00 "/>
    <x v="11"/>
    <s v="La Mosson"/>
    <s v="Montpellier "/>
    <x v="2"/>
    <x v="15"/>
    <n v="3"/>
    <n v="0"/>
    <x v="49"/>
    <s v=" "/>
  </r>
  <r>
    <x v="15"/>
    <d v="1998-06-18T00:00:00"/>
    <s v=" 17:30 "/>
    <x v="14"/>
    <s v="Stade Municipal"/>
    <s v="Toulouse "/>
    <x v="2"/>
    <x v="57"/>
    <n v="1"/>
    <n v="1"/>
    <x v="55"/>
    <s v=" "/>
  </r>
  <r>
    <x v="15"/>
    <d v="1998-06-18T00:00:00"/>
    <s v=" 21:00 "/>
    <x v="14"/>
    <s v="Stade de France"/>
    <s v="Saint-Denis "/>
    <x v="2"/>
    <x v="0"/>
    <n v="4"/>
    <n v="0"/>
    <x v="60"/>
    <s v=" "/>
  </r>
  <r>
    <x v="15"/>
    <d v="1998-06-19T00:00:00"/>
    <s v=" 17:30 "/>
    <x v="15"/>
    <s v="Parc des Princes"/>
    <s v="Paris "/>
    <x v="2"/>
    <x v="51"/>
    <n v="1"/>
    <n v="0"/>
    <x v="36"/>
    <s v=" "/>
  </r>
  <r>
    <x v="15"/>
    <d v="1998-06-19T00:00:00"/>
    <s v=" 21:00 "/>
    <x v="15"/>
    <s v="Stade Geoffroy Guichard"/>
    <s v="Saint-Etienne "/>
    <x v="2"/>
    <x v="14"/>
    <n v="0"/>
    <n v="0"/>
    <x v="6"/>
    <s v=" "/>
  </r>
  <r>
    <x v="15"/>
    <d v="1998-06-20T00:00:00"/>
    <s v=" 14:30 "/>
    <x v="19"/>
    <s v="La Beaujoire"/>
    <s v="Nantes "/>
    <x v="2"/>
    <x v="58"/>
    <n v="0"/>
    <n v="1"/>
    <x v="66"/>
    <s v=" "/>
  </r>
  <r>
    <x v="15"/>
    <d v="1998-06-20T00:00:00"/>
    <s v=" 17:30 "/>
    <x v="17"/>
    <s v="Stade du Parc Lescure"/>
    <s v="Bordeaux "/>
    <x v="2"/>
    <x v="28"/>
    <n v="2"/>
    <n v="2"/>
    <x v="0"/>
    <s v=" "/>
  </r>
  <r>
    <x v="15"/>
    <d v="1998-06-20T00:00:00"/>
    <s v=" 21:00 "/>
    <x v="17"/>
    <s v="Stade Vï¿½lodrome"/>
    <s v="Marseilles "/>
    <x v="2"/>
    <x v="35"/>
    <n v="5"/>
    <n v="0"/>
    <x v="29"/>
    <s v=" "/>
  </r>
  <r>
    <x v="15"/>
    <d v="1998-06-21T00:00:00"/>
    <s v=" 14:30 "/>
    <x v="16"/>
    <s v="Stade Felix Bollaert"/>
    <s v="Lens "/>
    <x v="2"/>
    <x v="13"/>
    <n v="2"/>
    <n v="2"/>
    <x v="10"/>
    <s v=" "/>
  </r>
  <r>
    <x v="15"/>
    <d v="1998-06-21T00:00:00"/>
    <s v=" 17:30 "/>
    <x v="19"/>
    <s v="Parc des Princes"/>
    <s v="Paris "/>
    <x v="2"/>
    <x v="4"/>
    <n v="5"/>
    <n v="0"/>
    <x v="67"/>
    <s v=" "/>
  </r>
  <r>
    <x v="15"/>
    <d v="1998-06-21T00:00:00"/>
    <s v=" 21:00 "/>
    <x v="16"/>
    <s v="Stade de Gerland"/>
    <s v="Lyon "/>
    <x v="2"/>
    <x v="1"/>
    <n v="1"/>
    <n v="2"/>
    <x v="48"/>
    <s v=" "/>
  </r>
  <r>
    <x v="15"/>
    <d v="1998-06-22T00:00:00"/>
    <s v=" 17:30 "/>
    <x v="20"/>
    <s v="La Mosson"/>
    <s v="Montpellier "/>
    <x v="2"/>
    <x v="49"/>
    <n v="1"/>
    <n v="0"/>
    <x v="47"/>
    <s v=" "/>
  </r>
  <r>
    <x v="15"/>
    <d v="1998-06-22T00:00:00"/>
    <s v=" 21:00 "/>
    <x v="20"/>
    <s v="Stade Municipal"/>
    <s v="Toulouse "/>
    <x v="2"/>
    <x v="3"/>
    <n v="2"/>
    <n v="1"/>
    <x v="26"/>
    <s v=" "/>
  </r>
  <r>
    <x v="15"/>
    <d v="1998-06-23T00:00:00"/>
    <s v=" 16:00 "/>
    <x v="11"/>
    <s v="Stade de France"/>
    <s v="Saint-Denis "/>
    <x v="2"/>
    <x v="15"/>
    <n v="2"/>
    <n v="1"/>
    <x v="18"/>
    <s v=" "/>
  </r>
  <r>
    <x v="15"/>
    <d v="1998-06-23T00:00:00"/>
    <s v=" 16:00 "/>
    <x v="11"/>
    <s v="La Beaujoire"/>
    <s v="Nantes "/>
    <x v="2"/>
    <x v="5"/>
    <n v="1"/>
    <n v="1"/>
    <x v="49"/>
    <s v=" "/>
  </r>
  <r>
    <x v="15"/>
    <d v="1998-06-23T00:00:00"/>
    <s v=" 21:00 "/>
    <x v="12"/>
    <s v="Stade Geoffroy Guichard"/>
    <s v="Saint-Etienne "/>
    <x v="2"/>
    <x v="34"/>
    <n v="0"/>
    <n v="3"/>
    <x v="40"/>
    <s v=" "/>
  </r>
  <r>
    <x v="15"/>
    <d v="1998-06-23T00:00:00"/>
    <s v=" 21:00 "/>
    <x v="12"/>
    <s v="Stade Vï¿½lodrome"/>
    <s v="Marseilles "/>
    <x v="2"/>
    <x v="7"/>
    <n v="1"/>
    <n v="2"/>
    <x v="22"/>
    <s v=" "/>
  </r>
  <r>
    <x v="15"/>
    <d v="1998-06-24T00:00:00"/>
    <s v=" 16:00 "/>
    <x v="14"/>
    <s v="Stade de Gerland"/>
    <s v="Lyon "/>
    <x v="2"/>
    <x v="0"/>
    <n v="2"/>
    <n v="1"/>
    <x v="55"/>
    <s v=" "/>
  </r>
  <r>
    <x v="15"/>
    <d v="1998-06-24T00:00:00"/>
    <s v=" 16:00 "/>
    <x v="14"/>
    <s v="Stade du Parc Lescure"/>
    <s v="Bordeaux "/>
    <x v="2"/>
    <x v="57"/>
    <n v="2"/>
    <n v="2"/>
    <x v="60"/>
    <s v=" "/>
  </r>
  <r>
    <x v="15"/>
    <d v="1998-06-24T00:00:00"/>
    <s v=" 21:00 "/>
    <x v="15"/>
    <s v="Stade Felix Bollaert"/>
    <s v="Lens "/>
    <x v="2"/>
    <x v="14"/>
    <n v="6"/>
    <n v="1"/>
    <x v="36"/>
    <s v=" "/>
  </r>
  <r>
    <x v="15"/>
    <d v="1998-06-24T00:00:00"/>
    <s v=" 21:00 "/>
    <x v="15"/>
    <s v="Stade Municipal"/>
    <s v="Toulouse "/>
    <x v="2"/>
    <x v="51"/>
    <n v="1"/>
    <n v="3"/>
    <x v="6"/>
    <s v=" "/>
  </r>
  <r>
    <x v="15"/>
    <d v="1998-06-25T00:00:00"/>
    <s v=" 16:00 "/>
    <x v="17"/>
    <s v="Parc des Princes"/>
    <s v="Paris "/>
    <x v="2"/>
    <x v="28"/>
    <n v="1"/>
    <n v="1"/>
    <x v="29"/>
    <s v=" "/>
  </r>
  <r>
    <x v="15"/>
    <d v="1998-06-25T00:00:00"/>
    <s v=" 16:00 "/>
    <x v="17"/>
    <s v="Stade Geoffroy Guichard"/>
    <s v="Saint-Etienne "/>
    <x v="2"/>
    <x v="35"/>
    <n v="2"/>
    <n v="2"/>
    <x v="0"/>
    <s v=" "/>
  </r>
  <r>
    <x v="15"/>
    <d v="1998-06-25T00:00:00"/>
    <s v=" 21:00 "/>
    <x v="16"/>
    <s v="La Mosson"/>
    <s v="Montpellier "/>
    <x v="2"/>
    <x v="13"/>
    <n v="2"/>
    <n v="0"/>
    <x v="48"/>
    <s v=" "/>
  </r>
  <r>
    <x v="15"/>
    <d v="1998-06-25T00:00:00"/>
    <s v=" 21:00 "/>
    <x v="16"/>
    <s v="La Beaujoire"/>
    <s v="Nantes "/>
    <x v="2"/>
    <x v="1"/>
    <n v="0"/>
    <n v="1"/>
    <x v="10"/>
    <s v=" "/>
  </r>
  <r>
    <x v="15"/>
    <d v="1998-06-26T00:00:00"/>
    <s v=" 16:00 "/>
    <x v="19"/>
    <s v="Stade de Gerland"/>
    <s v="Lyon "/>
    <x v="2"/>
    <x v="58"/>
    <n v="1"/>
    <n v="2"/>
    <x v="67"/>
    <s v=" "/>
  </r>
  <r>
    <x v="15"/>
    <d v="1998-06-26T00:00:00"/>
    <s v=" 16:00 "/>
    <x v="19"/>
    <s v="Stade du Parc Lescure"/>
    <s v="Bordeaux "/>
    <x v="2"/>
    <x v="4"/>
    <n v="1"/>
    <n v="0"/>
    <x v="66"/>
    <s v=" "/>
  </r>
  <r>
    <x v="15"/>
    <d v="1998-06-26T00:00:00"/>
    <s v=" 21:00 "/>
    <x v="20"/>
    <s v="Stade de France"/>
    <s v="Saint-Denis "/>
    <x v="2"/>
    <x v="3"/>
    <n v="1"/>
    <n v="1"/>
    <x v="47"/>
    <s v=" "/>
  </r>
  <r>
    <x v="15"/>
    <d v="1998-06-26T00:00:00"/>
    <s v=" 21:00 "/>
    <x v="20"/>
    <s v="Stade Felix Bollaert"/>
    <s v="Lens "/>
    <x v="2"/>
    <x v="49"/>
    <n v="0"/>
    <n v="2"/>
    <x v="26"/>
    <s v=" "/>
  </r>
  <r>
    <x v="15"/>
    <d v="1998-06-27T00:00:00"/>
    <s v=" 16:30 "/>
    <x v="18"/>
    <s v="Stade Vï¿½lodrome"/>
    <s v="Marseilles "/>
    <x v="2"/>
    <x v="15"/>
    <n v="1"/>
    <n v="0"/>
    <x v="22"/>
    <s v=" "/>
  </r>
  <r>
    <x v="15"/>
    <d v="1998-06-27T00:00:00"/>
    <s v=" 21:00 "/>
    <x v="18"/>
    <s v="Parc des Princes"/>
    <s v="Paris "/>
    <x v="2"/>
    <x v="7"/>
    <n v="4"/>
    <n v="1"/>
    <x v="8"/>
    <s v=" "/>
  </r>
  <r>
    <x v="15"/>
    <d v="1998-06-28T00:00:00"/>
    <s v=" 16:30 "/>
    <x v="18"/>
    <s v="Stade Felix Bollaert"/>
    <s v="Lens "/>
    <x v="2"/>
    <x v="0"/>
    <n v="1"/>
    <n v="0"/>
    <x v="6"/>
    <s v="France win after extra time "/>
  </r>
  <r>
    <x v="15"/>
    <d v="1998-06-28T00:00:00"/>
    <s v=" 21:00 "/>
    <x v="18"/>
    <s v="Stade de France"/>
    <s v="Saint-Denis "/>
    <x v="2"/>
    <x v="51"/>
    <n v="1"/>
    <n v="4"/>
    <x v="55"/>
    <s v=" "/>
  </r>
  <r>
    <x v="15"/>
    <d v="1998-06-29T00:00:00"/>
    <s v=" 16:30 "/>
    <x v="18"/>
    <s v="La Mosson"/>
    <s v="Montpellier "/>
    <x v="2"/>
    <x v="13"/>
    <n v="2"/>
    <n v="1"/>
    <x v="0"/>
    <s v=" "/>
  </r>
  <r>
    <x v="15"/>
    <d v="1998-06-29T00:00:00"/>
    <s v=" 21:00 "/>
    <x v="18"/>
    <s v="Stade Municipal"/>
    <s v="Toulouse "/>
    <x v="2"/>
    <x v="35"/>
    <n v="2"/>
    <n v="1"/>
    <x v="10"/>
    <s v=" "/>
  </r>
  <r>
    <x v="15"/>
    <d v="1998-06-30T00:00:00"/>
    <s v=" 16:30 "/>
    <x v="18"/>
    <s v="Stade du Parc Lescure"/>
    <s v="Bordeaux "/>
    <x v="2"/>
    <x v="3"/>
    <n v="0"/>
    <n v="1"/>
    <x v="66"/>
    <s v=" "/>
  </r>
  <r>
    <x v="15"/>
    <d v="1998-06-30T00:00:00"/>
    <s v=" 21:00 "/>
    <x v="18"/>
    <s v="Stade Geoffroy Guichard"/>
    <s v="Saint-Etienne "/>
    <x v="2"/>
    <x v="4"/>
    <n v="2"/>
    <n v="2"/>
    <x v="26"/>
    <s v="Argentina win on penalties (4 - 3) "/>
  </r>
  <r>
    <x v="15"/>
    <d v="1998-07-03T00:00:00"/>
    <s v=" 16:30 "/>
    <x v="7"/>
    <s v="Stade de France"/>
    <s v="Saint-Denis "/>
    <x v="2"/>
    <x v="15"/>
    <n v="0"/>
    <n v="0"/>
    <x v="4"/>
    <s v="France win on penalties (3 - 4) "/>
  </r>
  <r>
    <x v="15"/>
    <d v="1998-07-03T00:00:00"/>
    <s v=" 21:00 "/>
    <x v="7"/>
    <s v="La Beaujoire"/>
    <s v="Nantes "/>
    <x v="2"/>
    <x v="7"/>
    <n v="3"/>
    <n v="2"/>
    <x v="55"/>
    <s v=" "/>
  </r>
  <r>
    <x v="15"/>
    <d v="1998-07-04T00:00:00"/>
    <s v=" 16:30 "/>
    <x v="7"/>
    <s v="Stade Vï¿½lodrome"/>
    <s v="Marseilles "/>
    <x v="2"/>
    <x v="35"/>
    <n v="2"/>
    <n v="1"/>
    <x v="11"/>
    <s v=" "/>
  </r>
  <r>
    <x v="15"/>
    <d v="1998-07-04T00:00:00"/>
    <s v=" 21:00 "/>
    <x v="7"/>
    <s v="Stade de Gerland"/>
    <s v="Lyon "/>
    <x v="2"/>
    <x v="13"/>
    <n v="0"/>
    <n v="3"/>
    <x v="66"/>
    <s v=" "/>
  </r>
  <r>
    <x v="15"/>
    <d v="1998-07-07T00:00:00"/>
    <s v=" 21:00 "/>
    <x v="4"/>
    <s v="Stade Vï¿½lodrome"/>
    <s v="Marseilles "/>
    <x v="2"/>
    <x v="7"/>
    <n v="1"/>
    <n v="1"/>
    <x v="13"/>
    <s v="Brazil win on penalties (4 - 2) "/>
  </r>
  <r>
    <x v="15"/>
    <d v="1998-07-08T00:00:00"/>
    <s v=" 21:00 "/>
    <x v="4"/>
    <s v="Stade de France"/>
    <s v="Saint-Denis "/>
    <x v="2"/>
    <x v="0"/>
    <n v="2"/>
    <n v="1"/>
    <x v="66"/>
    <s v=" "/>
  </r>
  <r>
    <x v="15"/>
    <d v="1998-07-11T00:00:00"/>
    <s v=" 21:00 "/>
    <x v="8"/>
    <s v="Parc des Princes"/>
    <s v="Paris "/>
    <x v="2"/>
    <x v="35"/>
    <n v="1"/>
    <n v="2"/>
    <x v="66"/>
    <s v=" "/>
  </r>
  <r>
    <x v="15"/>
    <d v="1998-07-12T00:00:00"/>
    <s v=" 21:00 "/>
    <x v="5"/>
    <s v="Stade de France"/>
    <s v="Saint-Denis "/>
    <x v="2"/>
    <x v="7"/>
    <n v="0"/>
    <n v="3"/>
    <x v="4"/>
    <s v=" "/>
  </r>
  <r>
    <x v="16"/>
    <d v="2002-05-31T00:00:00"/>
    <s v=" 20:30 "/>
    <x v="12"/>
    <s v="Seoul World Cup Stadium"/>
    <s v="Seoul "/>
    <x v="13"/>
    <x v="0"/>
    <n v="0"/>
    <n v="1"/>
    <x v="68"/>
    <s v=" "/>
  </r>
  <r>
    <x v="16"/>
    <d v="2002-06-01T00:00:00"/>
    <s v=" 18:00 "/>
    <x v="12"/>
    <s v="Munsu Football Stadium"/>
    <s v="Ulsan "/>
    <x v="13"/>
    <x v="6"/>
    <n v="1"/>
    <n v="2"/>
    <x v="55"/>
    <s v=" "/>
  </r>
  <r>
    <x v="16"/>
    <d v="2002-06-01T00:00:00"/>
    <s v=" 15:30 "/>
    <x v="17"/>
    <s v="Niigata Stadium Big Swan"/>
    <s v="Niigata "/>
    <x v="13"/>
    <x v="48"/>
    <n v="1"/>
    <n v="1"/>
    <x v="49"/>
    <s v=" "/>
  </r>
  <r>
    <x v="16"/>
    <d v="2002-06-01T00:00:00"/>
    <s v=" 20:30 "/>
    <x v="17"/>
    <s v="Sapporo Dome"/>
    <s v="Sapporo "/>
    <x v="13"/>
    <x v="13"/>
    <n v="8"/>
    <n v="0"/>
    <x v="60"/>
    <s v=" "/>
  </r>
  <r>
    <x v="16"/>
    <d v="2002-06-02T00:00:00"/>
    <s v=" 14:30 "/>
    <x v="16"/>
    <s v="Kashima Stadium"/>
    <s v="Ibaraki "/>
    <x v="13"/>
    <x v="4"/>
    <n v="1"/>
    <n v="0"/>
    <x v="63"/>
    <s v=" "/>
  </r>
  <r>
    <x v="16"/>
    <d v="2002-06-02T00:00:00"/>
    <s v=" 16:30 "/>
    <x v="11"/>
    <s v="Busan Asiad Main Stadium"/>
    <s v="Busan "/>
    <x v="13"/>
    <x v="8"/>
    <n v="2"/>
    <n v="2"/>
    <x v="64"/>
    <s v=" "/>
  </r>
  <r>
    <x v="16"/>
    <d v="2002-06-02T00:00:00"/>
    <s v=" 18:30 "/>
    <x v="16"/>
    <s v="Saitama Stadium 2002"/>
    <s v="Saitama "/>
    <x v="13"/>
    <x v="18"/>
    <n v="1"/>
    <n v="1"/>
    <x v="15"/>
    <s v=" "/>
  </r>
  <r>
    <x v="16"/>
    <d v="2002-06-02T00:00:00"/>
    <s v=" 20:30 "/>
    <x v="11"/>
    <s v="Gwangju World Cup Stadium"/>
    <s v="Gwangju "/>
    <x v="13"/>
    <x v="14"/>
    <n v="3"/>
    <n v="1"/>
    <x v="69"/>
    <s v=" "/>
  </r>
  <r>
    <x v="16"/>
    <d v="2002-06-03T00:00:00"/>
    <s v=" 18:00 "/>
    <x v="14"/>
    <s v="Munsu Football Stadium"/>
    <s v="Ulsan "/>
    <x v="13"/>
    <x v="7"/>
    <n v="2"/>
    <n v="1"/>
    <x v="28"/>
    <s v=" "/>
  </r>
  <r>
    <x v="16"/>
    <d v="2002-06-03T00:00:00"/>
    <s v=" 20:30 "/>
    <x v="20"/>
    <s v="Sapporo Dome"/>
    <s v="Sapporo "/>
    <x v="13"/>
    <x v="15"/>
    <n v="2"/>
    <n v="0"/>
    <x v="70"/>
    <s v=" "/>
  </r>
  <r>
    <x v="16"/>
    <d v="2002-06-03T00:00:00"/>
    <s v=" 15:30 "/>
    <x v="20"/>
    <s v="Niigata Stadium Big Swan"/>
    <s v="Niigata "/>
    <x v="13"/>
    <x v="59"/>
    <n v="0"/>
    <n v="1"/>
    <x v="0"/>
    <s v=" "/>
  </r>
  <r>
    <x v="16"/>
    <d v="2002-06-04T00:00:00"/>
    <s v=" 15:30 "/>
    <x v="14"/>
    <s v="Gwangju World Cup Stadium"/>
    <s v="Gwangju "/>
    <x v="13"/>
    <x v="60"/>
    <n v="0"/>
    <n v="2"/>
    <x v="59"/>
    <s v=" "/>
  </r>
  <r>
    <x v="16"/>
    <d v="2002-06-04T00:00:00"/>
    <s v=" 18:00 "/>
    <x v="19"/>
    <s v="Saitama Stadium 2002"/>
    <s v="Saitama "/>
    <x v="13"/>
    <x v="58"/>
    <n v="2"/>
    <n v="2"/>
    <x v="1"/>
    <s v=" "/>
  </r>
  <r>
    <x v="16"/>
    <d v="2002-06-04T00:00:00"/>
    <s v=" 20:30 "/>
    <x v="15"/>
    <s v="Busan Asiad Main Stadium"/>
    <s v="Busan "/>
    <x v="13"/>
    <x v="42"/>
    <n v="2"/>
    <n v="0"/>
    <x v="23"/>
    <s v=" "/>
  </r>
  <r>
    <x v="16"/>
    <d v="2002-06-05T00:00:00"/>
    <s v=" 15:30 "/>
    <x v="19"/>
    <s v="Kobe Wing Stadium"/>
    <s v="Kobe "/>
    <x v="13"/>
    <x v="54"/>
    <n v="2"/>
    <n v="0"/>
    <x v="47"/>
    <s v=" "/>
  </r>
  <r>
    <x v="16"/>
    <d v="2002-06-05T00:00:00"/>
    <s v=" 18:00 "/>
    <x v="15"/>
    <s v="Suwon World Cup Stadium"/>
    <s v="Suwon "/>
    <x v="13"/>
    <x v="1"/>
    <n v="3"/>
    <n v="2"/>
    <x v="38"/>
    <s v=" "/>
  </r>
  <r>
    <x v="16"/>
    <d v="2002-06-05T00:00:00"/>
    <s v=" 20:30 "/>
    <x v="17"/>
    <s v="Kashima Stadium"/>
    <s v="Ibaraki "/>
    <x v="13"/>
    <x v="13"/>
    <n v="1"/>
    <n v="1"/>
    <x v="57"/>
    <s v=" "/>
  </r>
  <r>
    <x v="16"/>
    <d v="2002-06-06T00:00:00"/>
    <s v=" 15:30 "/>
    <x v="12"/>
    <s v="Daegu World Cup Stadium"/>
    <s v="Daegu "/>
    <x v="13"/>
    <x v="44"/>
    <n v="1"/>
    <n v="1"/>
    <x v="68"/>
    <s v=" "/>
  </r>
  <r>
    <x v="16"/>
    <d v="2002-06-06T00:00:00"/>
    <s v=" 18:00 "/>
    <x v="17"/>
    <s v="Saitama Stadium 2002"/>
    <s v="Saitama "/>
    <x v="13"/>
    <x v="47"/>
    <n v="1"/>
    <n v="0"/>
    <x v="60"/>
    <s v=" "/>
  </r>
  <r>
    <x v="16"/>
    <d v="2002-06-06T00:00:00"/>
    <s v=" 20:30 "/>
    <x v="12"/>
    <s v="Busan Asiad Main Stadium"/>
    <s v="Busan "/>
    <x v="13"/>
    <x v="0"/>
    <n v="0"/>
    <n v="0"/>
    <x v="31"/>
    <s v=" "/>
  </r>
  <r>
    <x v="16"/>
    <d v="2002-06-07T00:00:00"/>
    <s v=" 15:30 "/>
    <x v="16"/>
    <s v="Kobe Wing Stadium"/>
    <s v="Kobe "/>
    <x v="13"/>
    <x v="12"/>
    <n v="2"/>
    <n v="1"/>
    <x v="63"/>
    <s v=" "/>
  </r>
  <r>
    <x v="16"/>
    <d v="2002-06-07T00:00:00"/>
    <s v=" 20:30 "/>
    <x v="16"/>
    <s v="Sapporo Dome"/>
    <s v="Sapporo "/>
    <x v="13"/>
    <x v="4"/>
    <n v="0"/>
    <n v="1"/>
    <x v="26"/>
    <s v=" "/>
  </r>
  <r>
    <x v="16"/>
    <d v="2002-06-07T00:00:00"/>
    <s v=" 18:00 "/>
    <x v="11"/>
    <s v="Jeonju World Cup Stadium"/>
    <s v="Jeonju "/>
    <x v="13"/>
    <x v="14"/>
    <n v="3"/>
    <n v="1"/>
    <x v="6"/>
    <s v=" "/>
  </r>
  <r>
    <x v="16"/>
    <d v="2002-06-08T00:00:00"/>
    <s v=" 15:30 "/>
    <x v="11"/>
    <s v="Daegu World Cup Stadium"/>
    <s v="Daegu "/>
    <x v="13"/>
    <x v="57"/>
    <n v="1"/>
    <n v="0"/>
    <x v="69"/>
    <s v=" "/>
  </r>
  <r>
    <x v="16"/>
    <d v="2002-06-08T00:00:00"/>
    <s v=" 20:30 "/>
    <x v="14"/>
    <s v="Jeju World Cup Stadium"/>
    <s v="Jeju "/>
    <x v="13"/>
    <x v="7"/>
    <n v="4"/>
    <n v="0"/>
    <x v="71"/>
    <s v=" "/>
  </r>
  <r>
    <x v="16"/>
    <d v="2002-06-08T00:00:00"/>
    <s v=" 18:00 "/>
    <x v="20"/>
    <s v="Kashima Stadium"/>
    <s v="Ibaraki "/>
    <x v="13"/>
    <x v="15"/>
    <n v="1"/>
    <n v="2"/>
    <x v="66"/>
    <s v=" "/>
  </r>
  <r>
    <x v="16"/>
    <d v="2002-06-09T00:00:00"/>
    <s v=" 18:00 "/>
    <x v="14"/>
    <s v="Incheon Football Stadium"/>
    <s v="Incheon "/>
    <x v="13"/>
    <x v="46"/>
    <n v="1"/>
    <n v="1"/>
    <x v="28"/>
    <s v=" "/>
  </r>
  <r>
    <x v="16"/>
    <d v="2002-06-09T00:00:00"/>
    <s v=" 20:30 "/>
    <x v="19"/>
    <s v="International Stadium Yokohama"/>
    <s v="Yokohama "/>
    <x v="13"/>
    <x v="58"/>
    <n v="1"/>
    <n v="0"/>
    <x v="61"/>
    <s v=" "/>
  </r>
  <r>
    <x v="16"/>
    <d v="2002-06-09T00:00:00"/>
    <s v=" 15:30 "/>
    <x v="20"/>
    <s v="Miyagi Stadium"/>
    <s v="Rifu "/>
    <x v="13"/>
    <x v="23"/>
    <n v="2"/>
    <n v="1"/>
    <x v="70"/>
    <s v=" "/>
  </r>
  <r>
    <x v="16"/>
    <d v="2002-06-10T00:00:00"/>
    <s v=" 15:30 "/>
    <x v="15"/>
    <s v="Daegu World Cup Stadium"/>
    <s v="Daegu "/>
    <x v="13"/>
    <x v="42"/>
    <n v="1"/>
    <n v="1"/>
    <x v="9"/>
    <s v=" "/>
  </r>
  <r>
    <x v="16"/>
    <d v="2002-06-10T00:00:00"/>
    <s v=" 20:30 "/>
    <x v="15"/>
    <s v="Jeonju World Cup Stadium"/>
    <s v="Jeonju "/>
    <x v="13"/>
    <x v="25"/>
    <n v="4"/>
    <n v="0"/>
    <x v="23"/>
    <s v=" "/>
  </r>
  <r>
    <x v="16"/>
    <d v="2002-06-10T00:00:00"/>
    <s v=" 18:00 "/>
    <x v="19"/>
    <s v="Oita Stadium Big Eye"/>
    <s v="Oita "/>
    <x v="13"/>
    <x v="37"/>
    <n v="1"/>
    <n v="1"/>
    <x v="1"/>
    <s v=" "/>
  </r>
  <r>
    <x v="16"/>
    <d v="2002-06-11T00:00:00"/>
    <s v=" 15:30 "/>
    <x v="12"/>
    <s v="Incheon Football Stadium"/>
    <s v="Incheon "/>
    <x v="13"/>
    <x v="44"/>
    <n v="2"/>
    <n v="0"/>
    <x v="4"/>
    <s v=" "/>
  </r>
  <r>
    <x v="16"/>
    <d v="2002-06-11T00:00:00"/>
    <s v=" 15:30 "/>
    <x v="12"/>
    <s v="Suwon World Cup Stadium"/>
    <s v="Suwon "/>
    <x v="13"/>
    <x v="61"/>
    <n v="3"/>
    <n v="3"/>
    <x v="31"/>
    <s v=" "/>
  </r>
  <r>
    <x v="16"/>
    <d v="2002-06-11T00:00:00"/>
    <s v=" 20:30 "/>
    <x v="17"/>
    <s v="International Stadium Yokohama"/>
    <s v="Yokohama "/>
    <x v="13"/>
    <x v="52"/>
    <n v="0"/>
    <n v="3"/>
    <x v="57"/>
    <s v=" "/>
  </r>
  <r>
    <x v="16"/>
    <d v="2002-06-11T00:00:00"/>
    <s v=" 20:30 "/>
    <x v="17"/>
    <s v="Shizuoka Stadium Ecopa"/>
    <s v="Shizuoka "/>
    <x v="13"/>
    <x v="47"/>
    <n v="0"/>
    <n v="2"/>
    <x v="19"/>
    <s v=" "/>
  </r>
  <r>
    <x v="16"/>
    <d v="2002-06-12T00:00:00"/>
    <s v=" 15:30 "/>
    <x v="16"/>
    <s v="Miyagi Stadium"/>
    <s v="Rifu "/>
    <x v="13"/>
    <x v="12"/>
    <n v="1"/>
    <n v="1"/>
    <x v="11"/>
    <s v=" "/>
  </r>
  <r>
    <x v="16"/>
    <d v="2002-06-12T00:00:00"/>
    <s v=" 15:30 "/>
    <x v="16"/>
    <s v="Osaka Nagai Stadium"/>
    <s v="Osaka "/>
    <x v="13"/>
    <x v="51"/>
    <n v="0"/>
    <n v="0"/>
    <x v="26"/>
    <s v=" "/>
  </r>
  <r>
    <x v="16"/>
    <d v="2002-06-12T00:00:00"/>
    <s v=" 20:30 "/>
    <x v="11"/>
    <s v="Jeju World Cup Stadium"/>
    <s v="Jeju "/>
    <x v="13"/>
    <x v="62"/>
    <n v="1"/>
    <n v="3"/>
    <x v="6"/>
    <s v=" "/>
  </r>
  <r>
    <x v="16"/>
    <d v="2002-06-12T00:00:00"/>
    <s v=" 20:30 "/>
    <x v="11"/>
    <s v="Daejeon World Cup Stadium"/>
    <s v="Daejeon "/>
    <x v="13"/>
    <x v="57"/>
    <n v="2"/>
    <n v="3"/>
    <x v="16"/>
    <s v=" "/>
  </r>
  <r>
    <x v="16"/>
    <d v="2002-06-13T00:00:00"/>
    <s v=" 15:30 "/>
    <x v="14"/>
    <s v="Suwon World Cup Stadium"/>
    <s v="Suwon "/>
    <x v="13"/>
    <x v="46"/>
    <n v="2"/>
    <n v="5"/>
    <x v="2"/>
    <s v=" "/>
  </r>
  <r>
    <x v="16"/>
    <d v="2002-06-13T00:00:00"/>
    <s v=" 15:30 "/>
    <x v="14"/>
    <s v="Seoul World Cup Stadium"/>
    <s v="Seoul "/>
    <x v="13"/>
    <x v="20"/>
    <n v="3"/>
    <n v="0"/>
    <x v="71"/>
    <s v=" "/>
  </r>
  <r>
    <x v="16"/>
    <d v="2002-06-13T00:00:00"/>
    <s v=" 20:30 "/>
    <x v="20"/>
    <s v="International Stadium Yokohama"/>
    <s v="Yokohama "/>
    <x v="13"/>
    <x v="63"/>
    <n v="1"/>
    <n v="0"/>
    <x v="66"/>
    <s v=" "/>
  </r>
  <r>
    <x v="16"/>
    <d v="2002-06-13T00:00:00"/>
    <s v=" 20:30 "/>
    <x v="20"/>
    <s v="Oita Stadium Big Eye"/>
    <s v="Oita "/>
    <x v="13"/>
    <x v="23"/>
    <n v="1"/>
    <n v="1"/>
    <x v="25"/>
    <s v=" "/>
  </r>
  <r>
    <x v="16"/>
    <d v="2002-06-14T00:00:00"/>
    <s v=" 15:30 "/>
    <x v="19"/>
    <s v="Osaka Nagai Stadium"/>
    <s v="Osaka "/>
    <x v="13"/>
    <x v="37"/>
    <n v="0"/>
    <n v="2"/>
    <x v="65"/>
    <s v=" "/>
  </r>
  <r>
    <x v="16"/>
    <d v="2002-06-14T00:00:00"/>
    <s v=" 20:30 "/>
    <x v="15"/>
    <s v="Incheon Football Stadium"/>
    <s v="Incheon "/>
    <x v="13"/>
    <x v="25"/>
    <n v="0"/>
    <n v="1"/>
    <x v="29"/>
    <s v=" "/>
  </r>
  <r>
    <x v="16"/>
    <d v="2002-06-14T00:00:00"/>
    <s v=" 20:30 "/>
    <x v="15"/>
    <s v="Daejeon World Cup Stadium"/>
    <s v="Daejeon "/>
    <x v="13"/>
    <x v="32"/>
    <n v="3"/>
    <n v="1"/>
    <x v="9"/>
    <s v=" "/>
  </r>
  <r>
    <x v="16"/>
    <d v="2002-06-14T00:00:00"/>
    <s v=" 15:30 "/>
    <x v="19"/>
    <s v="Shizuoka Stadium Ecopa"/>
    <s v="Shizuoka "/>
    <x v="13"/>
    <x v="28"/>
    <n v="3"/>
    <n v="2"/>
    <x v="61"/>
    <s v=" "/>
  </r>
  <r>
    <x v="16"/>
    <d v="2002-06-15T00:00:00"/>
    <s v=" 20:30 "/>
    <x v="18"/>
    <s v="Niigata Stadium Big Swan"/>
    <s v="Niigata "/>
    <x v="13"/>
    <x v="44"/>
    <n v="0"/>
    <n v="3"/>
    <x v="26"/>
    <s v=" "/>
  </r>
  <r>
    <x v="16"/>
    <d v="2002-06-15T00:00:00"/>
    <s v=" 15:30 "/>
    <x v="18"/>
    <s v="Jeju World Cup Stadium"/>
    <s v="Jeju "/>
    <x v="13"/>
    <x v="13"/>
    <n v="1"/>
    <n v="0"/>
    <x v="6"/>
    <s v=" "/>
  </r>
  <r>
    <x v="16"/>
    <d v="2002-06-16T00:00:00"/>
    <s v=" 20:30 "/>
    <x v="18"/>
    <s v="Suwon World Cup Stadium"/>
    <s v="Suwon "/>
    <x v="13"/>
    <x v="14"/>
    <n v="1"/>
    <n v="1"/>
    <x v="57"/>
    <s v="Spain win on penalties (3 - 2) "/>
  </r>
  <r>
    <x v="16"/>
    <d v="2002-06-16T00:00:00"/>
    <s v=" 15:30 "/>
    <x v="18"/>
    <s v="Oita Stadium Big Eye"/>
    <s v="Oita "/>
    <x v="13"/>
    <x v="12"/>
    <n v="1"/>
    <n v="2"/>
    <x v="68"/>
    <s v="Win on Golden Goal "/>
  </r>
  <r>
    <x v="16"/>
    <d v="2002-06-17T00:00:00"/>
    <s v=" 20:30 "/>
    <x v="18"/>
    <s v="Kobe Wing Stadium"/>
    <s v="Kobe "/>
    <x v="13"/>
    <x v="7"/>
    <n v="2"/>
    <n v="0"/>
    <x v="1"/>
    <s v=" "/>
  </r>
  <r>
    <x v="16"/>
    <d v="2002-06-17T00:00:00"/>
    <s v=" 15:30 "/>
    <x v="18"/>
    <s v="Jeonju World Cup Stadium"/>
    <s v="Jeonju "/>
    <x v="13"/>
    <x v="23"/>
    <n v="0"/>
    <n v="2"/>
    <x v="9"/>
    <s v=" "/>
  </r>
  <r>
    <x v="16"/>
    <d v="2002-06-18T00:00:00"/>
    <s v=" 15:30 "/>
    <x v="18"/>
    <s v="Miyagi Stadium"/>
    <s v="Rifu "/>
    <x v="13"/>
    <x v="58"/>
    <n v="0"/>
    <n v="1"/>
    <x v="28"/>
    <s v=" "/>
  </r>
  <r>
    <x v="16"/>
    <d v="2002-06-18T00:00:00"/>
    <s v=" 20:30 "/>
    <x v="18"/>
    <s v="Daejeon World Cup Stadium"/>
    <s v="Daejeon "/>
    <x v="13"/>
    <x v="42"/>
    <n v="2"/>
    <n v="1"/>
    <x v="25"/>
    <s v="Win on Golden Goal "/>
  </r>
  <r>
    <x v="16"/>
    <d v="2002-06-21T00:00:00"/>
    <s v=" 15:30 "/>
    <x v="7"/>
    <s v="Shizuoka Stadium Ecopa"/>
    <s v="Shizuoka "/>
    <x v="13"/>
    <x v="18"/>
    <n v="1"/>
    <n v="2"/>
    <x v="2"/>
    <s v=" "/>
  </r>
  <r>
    <x v="16"/>
    <d v="2002-06-21T00:00:00"/>
    <s v=" 20:30 "/>
    <x v="7"/>
    <s v="Munsu Football Stadium"/>
    <s v="Ulsan "/>
    <x v="13"/>
    <x v="13"/>
    <n v="1"/>
    <n v="0"/>
    <x v="9"/>
    <s v=" "/>
  </r>
  <r>
    <x v="16"/>
    <d v="2002-06-22T00:00:00"/>
    <s v=" 20:30 "/>
    <x v="7"/>
    <s v="Osaka Nagai Stadium"/>
    <s v="Osaka "/>
    <x v="13"/>
    <x v="61"/>
    <n v="0"/>
    <n v="1"/>
    <x v="28"/>
    <s v="Win on Golden Goal "/>
  </r>
  <r>
    <x v="16"/>
    <d v="2002-06-22T00:00:00"/>
    <s v=" 15:30 "/>
    <x v="7"/>
    <s v="Gwangju World Cup Stadium"/>
    <s v="Gwangju "/>
    <x v="13"/>
    <x v="14"/>
    <n v="0"/>
    <n v="0"/>
    <x v="29"/>
    <s v="Korea Republic win on penalties (3 - 5) "/>
  </r>
  <r>
    <x v="16"/>
    <d v="2002-06-25T00:00:00"/>
    <s v=" 20:30 "/>
    <x v="4"/>
    <s v="Seoul World Cup Stadium"/>
    <s v="Seoul "/>
    <x v="13"/>
    <x v="13"/>
    <n v="1"/>
    <n v="0"/>
    <x v="29"/>
    <s v=" "/>
  </r>
  <r>
    <x v="16"/>
    <d v="2002-06-26T00:00:00"/>
    <s v=" 20:30 "/>
    <x v="4"/>
    <s v="Saitama Stadium 2002"/>
    <s v="Saitama "/>
    <x v="13"/>
    <x v="7"/>
    <n v="1"/>
    <n v="0"/>
    <x v="28"/>
    <s v=" "/>
  </r>
  <r>
    <x v="16"/>
    <d v="2002-06-29T00:00:00"/>
    <s v=" 20:00 "/>
    <x v="21"/>
    <s v="Daegu World Cup Stadium"/>
    <s v="Daegu "/>
    <x v="13"/>
    <x v="42"/>
    <n v="2"/>
    <n v="3"/>
    <x v="28"/>
    <s v=" "/>
  </r>
  <r>
    <x v="16"/>
    <d v="2002-06-30T00:00:00"/>
    <s v=" 20:00 "/>
    <x v="5"/>
    <s v="International Stadium Yokohama"/>
    <s v="Yokohama "/>
    <x v="13"/>
    <x v="13"/>
    <n v="0"/>
    <n v="2"/>
    <x v="2"/>
    <s v=" "/>
  </r>
  <r>
    <x v="17"/>
    <d v="2006-06-09T00:00:00"/>
    <s v=" 18:00 "/>
    <x v="12"/>
    <s v="FIFA World Cup Stadium, Munich"/>
    <s v="Munich "/>
    <x v="9"/>
    <x v="13"/>
    <n v="4"/>
    <n v="2"/>
    <x v="59"/>
    <s v=" "/>
  </r>
  <r>
    <x v="17"/>
    <d v="2006-06-09T00:00:00"/>
    <s v=" 21:00 "/>
    <x v="12"/>
    <s v="FIFA World Cup Stadium, Gelsenkirchen"/>
    <s v="Gelsenkirchen "/>
    <x v="9"/>
    <x v="32"/>
    <n v="0"/>
    <n v="2"/>
    <x v="70"/>
    <s v=" "/>
  </r>
  <r>
    <x v="17"/>
    <d v="2006-06-10T00:00:00"/>
    <s v=" 15:00 "/>
    <x v="11"/>
    <s v="FIFA World Cup Stadium, Frankfurt"/>
    <s v="Frankfurt/Main "/>
    <x v="9"/>
    <x v="18"/>
    <n v="1"/>
    <n v="0"/>
    <x v="6"/>
    <s v=" "/>
  </r>
  <r>
    <x v="17"/>
    <d v="2006-06-10T00:00:00"/>
    <s v=" 18:00 "/>
    <x v="11"/>
    <s v="FIFA World Cup Stadium, Dortmund"/>
    <s v="Dortmund "/>
    <x v="9"/>
    <x v="64"/>
    <n v="0"/>
    <n v="0"/>
    <x v="15"/>
    <s v=" "/>
  </r>
  <r>
    <x v="17"/>
    <d v="2006-06-10T00:00:00"/>
    <s v=" 21:00 "/>
    <x v="14"/>
    <s v="FIFA World Cup Stadium, Hamburg"/>
    <s v="Hamburg "/>
    <x v="9"/>
    <x v="4"/>
    <n v="2"/>
    <n v="1"/>
    <x v="72"/>
    <s v=" "/>
  </r>
  <r>
    <x v="17"/>
    <d v="2006-06-11T00:00:00"/>
    <s v=" 15:00 "/>
    <x v="14"/>
    <s v="Zentralstadion"/>
    <s v="Leipzig "/>
    <x v="9"/>
    <x v="65"/>
    <n v="0"/>
    <n v="1"/>
    <x v="13"/>
    <s v=" "/>
  </r>
  <r>
    <x v="17"/>
    <d v="2006-06-11T00:00:00"/>
    <s v=" 18:00 "/>
    <x v="15"/>
    <s v="Franken-Stadion"/>
    <s v="Nuremberg "/>
    <x v="9"/>
    <x v="23"/>
    <n v="3"/>
    <n v="1"/>
    <x v="48"/>
    <s v=" "/>
  </r>
  <r>
    <x v="17"/>
    <d v="2006-06-11T00:00:00"/>
    <s v=" 21:00 "/>
    <x v="15"/>
    <s v="FIFA World Cup Stadium, Cologne"/>
    <s v="Cologne "/>
    <x v="9"/>
    <x v="66"/>
    <n v="0"/>
    <n v="1"/>
    <x v="38"/>
    <s v=" "/>
  </r>
  <r>
    <x v="17"/>
    <d v="2006-06-12T00:00:00"/>
    <s v=" 15:00 "/>
    <x v="16"/>
    <s v="Fritz-Walter-Stadion"/>
    <s v="Kaiserslautern "/>
    <x v="9"/>
    <x v="33"/>
    <n v="3"/>
    <n v="1"/>
    <x v="65"/>
    <s v=" "/>
  </r>
  <r>
    <x v="17"/>
    <d v="2006-06-12T00:00:00"/>
    <s v=" 18:00 "/>
    <x v="17"/>
    <s v="FIFA World Cup Stadium, Gelsenkirchen"/>
    <s v="Gelsenkirchen "/>
    <x v="9"/>
    <x v="1"/>
    <n v="0"/>
    <n v="3"/>
    <x v="73"/>
    <s v=" "/>
  </r>
  <r>
    <x v="17"/>
    <d v="2006-06-12T00:00:00"/>
    <s v=" 21:00 "/>
    <x v="17"/>
    <s v="FIFA World Cup Stadium, Hanover"/>
    <s v="Hanover "/>
    <x v="9"/>
    <x v="15"/>
    <n v="2"/>
    <n v="0"/>
    <x v="74"/>
    <s v=" "/>
  </r>
  <r>
    <x v="17"/>
    <d v="2006-06-13T00:00:00"/>
    <s v=" 15:00 "/>
    <x v="20"/>
    <s v="FIFA World Cup Stadium, Frankfurt"/>
    <s v="Frankfurt/Main "/>
    <x v="9"/>
    <x v="42"/>
    <n v="2"/>
    <n v="1"/>
    <x v="75"/>
    <s v=" "/>
  </r>
  <r>
    <x v="17"/>
    <d v="2006-06-13T00:00:00"/>
    <s v=" 18:00 "/>
    <x v="20"/>
    <s v="Gottlieb-Daimler-Stadion"/>
    <s v="Stuttgart "/>
    <x v="9"/>
    <x v="0"/>
    <n v="0"/>
    <n v="0"/>
    <x v="14"/>
    <s v=" "/>
  </r>
  <r>
    <x v="17"/>
    <d v="2006-06-13T00:00:00"/>
    <s v=" 21:00 "/>
    <x v="16"/>
    <s v="Olympiastadion"/>
    <s v="Berlin "/>
    <x v="9"/>
    <x v="7"/>
    <n v="1"/>
    <n v="0"/>
    <x v="66"/>
    <s v=" "/>
  </r>
  <r>
    <x v="17"/>
    <d v="2006-06-14T00:00:00"/>
    <s v=" 15:00 "/>
    <x v="19"/>
    <s v="Zentralstadion"/>
    <s v="Leipzig "/>
    <x v="9"/>
    <x v="14"/>
    <n v="4"/>
    <n v="0"/>
    <x v="76"/>
    <s v=" "/>
  </r>
  <r>
    <x v="17"/>
    <d v="2006-06-14T00:00:00"/>
    <s v=" 18:00 "/>
    <x v="19"/>
    <s v="FIFA World Cup Stadium, Munich"/>
    <s v="Munich "/>
    <x v="9"/>
    <x v="37"/>
    <n v="2"/>
    <n v="2"/>
    <x v="60"/>
    <s v=" "/>
  </r>
  <r>
    <x v="17"/>
    <d v="2006-06-14T00:00:00"/>
    <s v=" 21:00 "/>
    <x v="12"/>
    <s v="FIFA World Cup Stadium, Dortmund"/>
    <s v="Dortmund "/>
    <x v="9"/>
    <x v="13"/>
    <n v="1"/>
    <n v="0"/>
    <x v="23"/>
    <s v=" "/>
  </r>
  <r>
    <x v="17"/>
    <d v="2006-06-15T00:00:00"/>
    <s v=" 15:00 "/>
    <x v="12"/>
    <s v="FIFA World Cup Stadium, Hamburg"/>
    <s v="Hamburg "/>
    <x v="9"/>
    <x v="63"/>
    <n v="3"/>
    <n v="0"/>
    <x v="59"/>
    <s v=" "/>
  </r>
  <r>
    <x v="17"/>
    <d v="2006-06-15T00:00:00"/>
    <s v=" 18:00 "/>
    <x v="11"/>
    <s v="Franken-Stadion"/>
    <s v="Nuremberg "/>
    <x v="9"/>
    <x v="18"/>
    <n v="2"/>
    <n v="0"/>
    <x v="77"/>
    <s v=" "/>
  </r>
  <r>
    <x v="17"/>
    <d v="2006-06-15T00:00:00"/>
    <s v=" 21:00 "/>
    <x v="11"/>
    <s v="Olympiastadion"/>
    <s v="Berlin "/>
    <x v="9"/>
    <x v="12"/>
    <n v="1"/>
    <n v="0"/>
    <x v="6"/>
    <s v=" "/>
  </r>
  <r>
    <x v="17"/>
    <d v="2006-06-16T00:00:00"/>
    <s v=" 15:00 "/>
    <x v="14"/>
    <s v="FIFA World Cup Stadium, Gelsenkirchen"/>
    <s v="Gelsenkirchen "/>
    <x v="9"/>
    <x v="4"/>
    <n v="6"/>
    <n v="0"/>
    <x v="78"/>
    <s v=" "/>
  </r>
  <r>
    <x v="17"/>
    <d v="2006-06-16T00:00:00"/>
    <s v=" 18:00 "/>
    <x v="14"/>
    <s v="Gottlieb-Daimler-Stadion"/>
    <s v="Stuttgart "/>
    <x v="9"/>
    <x v="35"/>
    <n v="2"/>
    <n v="1"/>
    <x v="72"/>
    <s v=" "/>
  </r>
  <r>
    <x v="17"/>
    <d v="2006-06-16T00:00:00"/>
    <s v=" 21:00 "/>
    <x v="15"/>
    <s v="FIFA World Cup Stadium, Hanover"/>
    <s v="Hanover "/>
    <x v="9"/>
    <x v="23"/>
    <n v="0"/>
    <n v="0"/>
    <x v="79"/>
    <s v=" "/>
  </r>
  <r>
    <x v="17"/>
    <d v="2006-06-17T00:00:00"/>
    <s v=" 15:00 "/>
    <x v="15"/>
    <s v="FIFA World Cup Stadium, Frankfurt"/>
    <s v="Frankfurt/Main "/>
    <x v="9"/>
    <x v="25"/>
    <n v="2"/>
    <n v="0"/>
    <x v="46"/>
    <s v=" "/>
  </r>
  <r>
    <x v="17"/>
    <d v="2006-06-17T00:00:00"/>
    <s v=" 18:00 "/>
    <x v="17"/>
    <s v="FIFA World Cup Stadium, Cologne"/>
    <s v="Cologne "/>
    <x v="9"/>
    <x v="67"/>
    <n v="0"/>
    <n v="2"/>
    <x v="74"/>
    <s v=" "/>
  </r>
  <r>
    <x v="17"/>
    <d v="2006-06-17T00:00:00"/>
    <s v=" 21:00 "/>
    <x v="17"/>
    <s v="Fritz-Walter-Stadion"/>
    <s v="Kaiserslautern "/>
    <x v="9"/>
    <x v="15"/>
    <n v="1"/>
    <n v="1"/>
    <x v="9"/>
    <s v=" "/>
  </r>
  <r>
    <x v="17"/>
    <d v="2006-06-18T00:00:00"/>
    <s v=" 15:00 "/>
    <x v="16"/>
    <s v="Franken-Stadion"/>
    <s v="Nuremberg "/>
    <x v="9"/>
    <x v="58"/>
    <n v="0"/>
    <n v="0"/>
    <x v="66"/>
    <s v=" "/>
  </r>
  <r>
    <x v="17"/>
    <d v="2006-06-18T00:00:00"/>
    <s v=" 18:00 "/>
    <x v="16"/>
    <s v="FIFA World Cup Stadium, Munich"/>
    <s v="Munich "/>
    <x v="9"/>
    <x v="7"/>
    <n v="2"/>
    <n v="0"/>
    <x v="42"/>
    <s v=" "/>
  </r>
  <r>
    <x v="17"/>
    <d v="2006-06-18T00:00:00"/>
    <s v=" 21:00 "/>
    <x v="20"/>
    <s v="Zentralstadion"/>
    <s v="Leipzig "/>
    <x v="9"/>
    <x v="0"/>
    <n v="1"/>
    <n v="1"/>
    <x v="29"/>
    <s v=" "/>
  </r>
  <r>
    <x v="17"/>
    <d v="2006-06-19T00:00:00"/>
    <s v=" 15:00 "/>
    <x v="20"/>
    <s v="FIFA World Cup Stadium, Dortmund"/>
    <s v="Dortmund "/>
    <x v="9"/>
    <x v="68"/>
    <n v="0"/>
    <n v="2"/>
    <x v="14"/>
    <s v=" "/>
  </r>
  <r>
    <x v="17"/>
    <d v="2006-06-19T00:00:00"/>
    <s v=" 18:00 "/>
    <x v="19"/>
    <s v="FIFA World Cup Stadium, Hamburg"/>
    <s v="Hamburg "/>
    <x v="9"/>
    <x v="52"/>
    <n v="0"/>
    <n v="4"/>
    <x v="76"/>
    <s v=" "/>
  </r>
  <r>
    <x v="17"/>
    <d v="2006-06-19T00:00:00"/>
    <s v=" 21:00 "/>
    <x v="19"/>
    <s v="Gottlieb-Daimler-Stadion"/>
    <s v="Stuttgart "/>
    <x v="9"/>
    <x v="14"/>
    <n v="3"/>
    <n v="1"/>
    <x v="47"/>
    <s v=" "/>
  </r>
  <r>
    <x v="17"/>
    <d v="2006-06-20T00:00:00"/>
    <s v=" 16:00 "/>
    <x v="12"/>
    <s v="Olympiastadion"/>
    <s v="Berlin "/>
    <x v="9"/>
    <x v="63"/>
    <n v="0"/>
    <n v="3"/>
    <x v="19"/>
    <s v=" "/>
  </r>
  <r>
    <x v="17"/>
    <d v="2006-06-20T00:00:00"/>
    <s v=" 16:00 "/>
    <x v="12"/>
    <s v="FIFA World Cup Stadium, Hanover"/>
    <s v="Hanover "/>
    <x v="9"/>
    <x v="46"/>
    <n v="1"/>
    <n v="2"/>
    <x v="23"/>
    <s v=" "/>
  </r>
  <r>
    <x v="17"/>
    <d v="2006-06-20T00:00:00"/>
    <s v=" 21:00 "/>
    <x v="11"/>
    <s v="FIFA World Cup Stadium, Cologne"/>
    <s v="Cologne "/>
    <x v="9"/>
    <x v="12"/>
    <n v="2"/>
    <n v="2"/>
    <x v="26"/>
    <s v=" "/>
  </r>
  <r>
    <x v="17"/>
    <d v="2006-06-20T00:00:00"/>
    <s v=" 21:00 "/>
    <x v="11"/>
    <s v="Fritz-Walter-Stadion"/>
    <s v="Kaiserslautern "/>
    <x v="9"/>
    <x v="8"/>
    <n v="2"/>
    <n v="0"/>
    <x v="77"/>
    <s v=" "/>
  </r>
  <r>
    <x v="17"/>
    <d v="2006-06-21T00:00:00"/>
    <s v=" 16:00 "/>
    <x v="15"/>
    <s v="Zentralstadion"/>
    <s v="Leipzig "/>
    <x v="9"/>
    <x v="69"/>
    <n v="1"/>
    <n v="1"/>
    <x v="79"/>
    <s v=" "/>
  </r>
  <r>
    <x v="17"/>
    <d v="2006-06-21T00:00:00"/>
    <s v=" 16:00 "/>
    <x v="15"/>
    <s v="FIFA World Cup Stadium, Gelsenkirchen"/>
    <s v="Gelsenkirchen "/>
    <x v="9"/>
    <x v="25"/>
    <n v="2"/>
    <n v="1"/>
    <x v="0"/>
    <s v=" "/>
  </r>
  <r>
    <x v="17"/>
    <d v="2006-06-21T00:00:00"/>
    <s v=" 21:00 "/>
    <x v="14"/>
    <s v="FIFA World Cup Stadium, Frankfurt"/>
    <s v="Frankfurt/Main "/>
    <x v="9"/>
    <x v="35"/>
    <n v="0"/>
    <n v="0"/>
    <x v="11"/>
    <s v=" "/>
  </r>
  <r>
    <x v="17"/>
    <d v="2006-06-21T00:00:00"/>
    <s v=" 21:00 "/>
    <x v="14"/>
    <s v="FIFA World Cup Stadium, Munich"/>
    <s v="Munich "/>
    <x v="9"/>
    <x v="70"/>
    <n v="3"/>
    <n v="2"/>
    <x v="78"/>
    <s v=" "/>
  </r>
  <r>
    <x v="17"/>
    <d v="2006-06-22T00:00:00"/>
    <s v=" 16:00 "/>
    <x v="17"/>
    <s v="FIFA World Cup Stadium, Hamburg"/>
    <s v="Hamburg "/>
    <x v="9"/>
    <x v="67"/>
    <n v="0"/>
    <n v="2"/>
    <x v="25"/>
    <s v=" "/>
  </r>
  <r>
    <x v="17"/>
    <d v="2006-06-22T00:00:00"/>
    <s v=" 16:00 "/>
    <x v="17"/>
    <s v="Franken-Stadion"/>
    <s v="Nuremberg "/>
    <x v="9"/>
    <x v="71"/>
    <n v="2"/>
    <n v="1"/>
    <x v="9"/>
    <s v=" "/>
  </r>
  <r>
    <x v="17"/>
    <d v="2006-06-22T00:00:00"/>
    <s v=" 21:00 "/>
    <x v="16"/>
    <s v="FIFA World Cup Stadium, Dortmund"/>
    <s v="Dortmund "/>
    <x v="9"/>
    <x v="58"/>
    <n v="1"/>
    <n v="4"/>
    <x v="2"/>
    <s v=" "/>
  </r>
  <r>
    <x v="17"/>
    <d v="2006-06-22T00:00:00"/>
    <s v=" 21:00 "/>
    <x v="16"/>
    <s v="Gottlieb-Daimler-Stadion"/>
    <s v="Stuttgart "/>
    <x v="9"/>
    <x v="59"/>
    <n v="2"/>
    <n v="2"/>
    <x v="42"/>
    <s v=" "/>
  </r>
  <r>
    <x v="17"/>
    <d v="2006-06-23T00:00:00"/>
    <s v=" 16:00 "/>
    <x v="19"/>
    <s v="Olympiastadion"/>
    <s v="Berlin "/>
    <x v="9"/>
    <x v="72"/>
    <n v="1"/>
    <n v="0"/>
    <x v="47"/>
    <s v=" "/>
  </r>
  <r>
    <x v="17"/>
    <d v="2006-06-23T00:00:00"/>
    <s v=" 16:00 "/>
    <x v="19"/>
    <s v="Fritz-Walter-Stadion"/>
    <s v="Kaiserslautern "/>
    <x v="9"/>
    <x v="52"/>
    <n v="0"/>
    <n v="1"/>
    <x v="16"/>
    <s v=" "/>
  </r>
  <r>
    <x v="17"/>
    <d v="2006-06-23T00:00:00"/>
    <s v=" 21:00 "/>
    <x v="20"/>
    <s v="FIFA World Cup Stadium, Cologne"/>
    <s v="Cologne "/>
    <x v="9"/>
    <x v="68"/>
    <n v="0"/>
    <n v="2"/>
    <x v="4"/>
    <s v=" "/>
  </r>
  <r>
    <x v="17"/>
    <d v="2006-06-23T00:00:00"/>
    <s v=" 21:00 "/>
    <x v="20"/>
    <s v="FIFA World Cup Stadium, Hanover"/>
    <s v="Hanover "/>
    <x v="9"/>
    <x v="11"/>
    <n v="2"/>
    <n v="0"/>
    <x v="29"/>
    <s v=" "/>
  </r>
  <r>
    <x v="17"/>
    <d v="2006-06-24T00:00:00"/>
    <s v=" 17:00 "/>
    <x v="18"/>
    <s v="FIFA World Cup Stadium, Munich"/>
    <s v="Munich "/>
    <x v="9"/>
    <x v="13"/>
    <n v="2"/>
    <n v="0"/>
    <x v="15"/>
    <s v=" "/>
  </r>
  <r>
    <x v="17"/>
    <d v="2006-06-24T00:00:00"/>
    <s v=" 21:00 "/>
    <x v="18"/>
    <s v="Zentralstadion"/>
    <s v="Leipzig "/>
    <x v="9"/>
    <x v="4"/>
    <n v="2"/>
    <n v="1"/>
    <x v="0"/>
    <s v="Argentina win after extra time "/>
  </r>
  <r>
    <x v="17"/>
    <d v="2006-06-25T00:00:00"/>
    <s v=" 17:00 "/>
    <x v="18"/>
    <s v="Gottlieb-Daimler-Stadion"/>
    <s v="Stuttgart "/>
    <x v="9"/>
    <x v="18"/>
    <n v="1"/>
    <n v="0"/>
    <x v="70"/>
    <s v=" "/>
  </r>
  <r>
    <x v="17"/>
    <d v="2006-06-25T00:00:00"/>
    <s v=" 21:00 "/>
    <x v="18"/>
    <s v="Franken-Stadion"/>
    <s v="Nuremberg "/>
    <x v="9"/>
    <x v="25"/>
    <n v="1"/>
    <n v="0"/>
    <x v="13"/>
    <s v=" "/>
  </r>
  <r>
    <x v="17"/>
    <d v="2006-06-26T00:00:00"/>
    <s v=" 17:00 "/>
    <x v="18"/>
    <s v="Fritz-Walter-Stadion"/>
    <s v="Kaiserslautern "/>
    <x v="9"/>
    <x v="15"/>
    <n v="1"/>
    <n v="0"/>
    <x v="42"/>
    <s v=" "/>
  </r>
  <r>
    <x v="17"/>
    <d v="2006-06-26T00:00:00"/>
    <s v=" 21:00 "/>
    <x v="18"/>
    <s v="FIFA World Cup Stadium, Cologne"/>
    <s v="Cologne "/>
    <x v="9"/>
    <x v="11"/>
    <n v="0"/>
    <n v="0"/>
    <x v="76"/>
    <s v="Ukraine win on penalties (0 - 3) "/>
  </r>
  <r>
    <x v="17"/>
    <d v="2006-06-27T00:00:00"/>
    <s v=" 17:00 "/>
    <x v="18"/>
    <s v="FIFA World Cup Stadium, Dortmund"/>
    <s v="Dortmund "/>
    <x v="9"/>
    <x v="7"/>
    <n v="3"/>
    <n v="0"/>
    <x v="74"/>
    <s v=" "/>
  </r>
  <r>
    <x v="17"/>
    <d v="2006-06-27T00:00:00"/>
    <s v=" 21:00 "/>
    <x v="18"/>
    <s v="FIFA World Cup Stadium, Hanover"/>
    <s v="Hanover "/>
    <x v="9"/>
    <x v="14"/>
    <n v="1"/>
    <n v="3"/>
    <x v="4"/>
    <s v=" "/>
  </r>
  <r>
    <x v="17"/>
    <d v="2006-06-30T00:00:00"/>
    <s v=" 17:00 "/>
    <x v="7"/>
    <s v="Olympiastadion"/>
    <s v="Berlin "/>
    <x v="9"/>
    <x v="13"/>
    <n v="1"/>
    <n v="1"/>
    <x v="11"/>
    <s v="Germany win on penalties (4 - 2) "/>
  </r>
  <r>
    <x v="17"/>
    <d v="2006-06-30T00:00:00"/>
    <s v=" 21:00 "/>
    <x v="7"/>
    <s v="FIFA World Cup Stadium, Hamburg"/>
    <s v="Hamburg "/>
    <x v="9"/>
    <x v="15"/>
    <n v="3"/>
    <n v="0"/>
    <x v="76"/>
    <s v=" "/>
  </r>
  <r>
    <x v="17"/>
    <d v="2006-07-01T00:00:00"/>
    <s v=" 17:00 "/>
    <x v="7"/>
    <s v="FIFA World Cup Stadium, Gelsenkirchen"/>
    <s v="Gelsenkirchen "/>
    <x v="9"/>
    <x v="18"/>
    <n v="0"/>
    <n v="0"/>
    <x v="38"/>
    <s v="Portugal win on penalties (1 - 3) "/>
  </r>
  <r>
    <x v="17"/>
    <d v="2006-07-01T00:00:00"/>
    <s v=" 21:00 "/>
    <x v="7"/>
    <s v="FIFA World Cup Stadium, Frankfurt"/>
    <s v="Frankfurt/Main "/>
    <x v="9"/>
    <x v="7"/>
    <n v="0"/>
    <n v="1"/>
    <x v="4"/>
    <s v=" "/>
  </r>
  <r>
    <x v="17"/>
    <d v="2006-07-04T00:00:00"/>
    <s v=" 21:00 "/>
    <x v="4"/>
    <s v="FIFA World Cup Stadium, Dortmund"/>
    <s v="Dortmund "/>
    <x v="9"/>
    <x v="13"/>
    <n v="0"/>
    <n v="2"/>
    <x v="25"/>
    <s v="Italy win after extra time "/>
  </r>
  <r>
    <x v="17"/>
    <d v="2006-07-05T00:00:00"/>
    <s v=" 21:00 "/>
    <x v="4"/>
    <s v="FIFA World Cup Stadium, Munich"/>
    <s v="Munich "/>
    <x v="9"/>
    <x v="25"/>
    <n v="0"/>
    <n v="1"/>
    <x v="4"/>
    <s v=" "/>
  </r>
  <r>
    <x v="17"/>
    <d v="2006-07-08T00:00:00"/>
    <s v=" 21:00 "/>
    <x v="21"/>
    <s v="Gottlieb-Daimler-Stadion"/>
    <s v="Stuttgart "/>
    <x v="9"/>
    <x v="13"/>
    <n v="3"/>
    <n v="1"/>
    <x v="38"/>
    <s v=" "/>
  </r>
  <r>
    <x v="17"/>
    <d v="2006-07-09T00:00:00"/>
    <s v=" 20:00 "/>
    <x v="5"/>
    <s v="Olympiastadion"/>
    <s v="Berlin "/>
    <x v="9"/>
    <x v="15"/>
    <n v="1"/>
    <n v="1"/>
    <x v="4"/>
    <s v="Italy win on penalties (5 - 3) "/>
  </r>
  <r>
    <x v="18"/>
    <d v="2010-06-11T00:00:00"/>
    <s v=" 16:00 "/>
    <x v="12"/>
    <s v="Soccer City Stadium"/>
    <s v="Johannesburg "/>
    <x v="14"/>
    <x v="57"/>
    <n v="1"/>
    <n v="1"/>
    <x v="0"/>
    <s v=" "/>
  </r>
  <r>
    <x v="18"/>
    <d v="2010-06-11T00:00:00"/>
    <s v=" 20:30 "/>
    <x v="12"/>
    <s v="Cape Town Stadium"/>
    <s v="Cape Town "/>
    <x v="14"/>
    <x v="6"/>
    <n v="0"/>
    <n v="0"/>
    <x v="4"/>
    <s v=" "/>
  </r>
  <r>
    <x v="18"/>
    <d v="2010-06-12T00:00:00"/>
    <s v=" 13:30 "/>
    <x v="11"/>
    <s v="Port Elizabeth Stadium"/>
    <s v="Nelson Mandela Bay/Port Elizabeth "/>
    <x v="14"/>
    <x v="42"/>
    <n v="2"/>
    <n v="0"/>
    <x v="62"/>
    <s v=" "/>
  </r>
  <r>
    <x v="18"/>
    <d v="2010-06-12T00:00:00"/>
    <s v=" 16:00 "/>
    <x v="11"/>
    <s v="Ellis Park Stadium"/>
    <s v="Johannesburg "/>
    <x v="14"/>
    <x v="4"/>
    <n v="1"/>
    <n v="0"/>
    <x v="63"/>
    <s v=" "/>
  </r>
  <r>
    <x v="18"/>
    <d v="2010-06-12T00:00:00"/>
    <s v=" 20:30 "/>
    <x v="14"/>
    <s v="Royal Bafokeng Sports Palace"/>
    <s v="Phokeng "/>
    <x v="14"/>
    <x v="18"/>
    <n v="1"/>
    <n v="1"/>
    <x v="9"/>
    <s v=" "/>
  </r>
  <r>
    <x v="18"/>
    <d v="2010-06-13T00:00:00"/>
    <s v=" 13:30 "/>
    <x v="14"/>
    <s v="Peter Mokaba Stadium"/>
    <s v="Polokwane "/>
    <x v="14"/>
    <x v="38"/>
    <n v="0"/>
    <n v="1"/>
    <x v="69"/>
    <s v=" "/>
  </r>
  <r>
    <x v="18"/>
    <d v="2010-06-13T00:00:00"/>
    <s v=" 16:00 "/>
    <x v="15"/>
    <s v="Loftus Versfeld Stadium"/>
    <s v="Tshwane/Pretoria "/>
    <x v="14"/>
    <x v="73"/>
    <n v="0"/>
    <n v="1"/>
    <x v="74"/>
    <s v=" "/>
  </r>
  <r>
    <x v="18"/>
    <d v="2010-06-13T00:00:00"/>
    <s v=" 20:30 "/>
    <x v="15"/>
    <s v="Durban Stadium"/>
    <s v="Durban "/>
    <x v="14"/>
    <x v="13"/>
    <n v="4"/>
    <n v="0"/>
    <x v="42"/>
    <s v=" "/>
  </r>
  <r>
    <x v="18"/>
    <d v="2010-06-14T00:00:00"/>
    <s v=" 13:30 "/>
    <x v="17"/>
    <s v="Soccer City Stadium"/>
    <s v="Johannesburg "/>
    <x v="14"/>
    <x v="35"/>
    <n v="2"/>
    <n v="0"/>
    <x v="55"/>
    <s v=" "/>
  </r>
  <r>
    <x v="18"/>
    <d v="2010-06-14T00:00:00"/>
    <s v=" 16:00 "/>
    <x v="17"/>
    <s v="Free State Stadium"/>
    <s v="Mangaung/Bloemfontein "/>
    <x v="14"/>
    <x v="58"/>
    <n v="1"/>
    <n v="0"/>
    <x v="49"/>
    <s v=" "/>
  </r>
  <r>
    <x v="18"/>
    <d v="2010-06-14T00:00:00"/>
    <s v=" 20:30 "/>
    <x v="16"/>
    <s v="Cape Town Stadium"/>
    <s v="Cape Town "/>
    <x v="14"/>
    <x v="15"/>
    <n v="1"/>
    <n v="1"/>
    <x v="6"/>
    <s v=" "/>
  </r>
  <r>
    <x v="18"/>
    <d v="2010-06-15T00:00:00"/>
    <s v=" 13:30 "/>
    <x v="16"/>
    <s v="Royal Bafokeng Sports Palace"/>
    <s v="Phokeng "/>
    <x v="14"/>
    <x v="74"/>
    <n v="1"/>
    <n v="1"/>
    <x v="80"/>
    <s v=" "/>
  </r>
  <r>
    <x v="18"/>
    <d v="2010-06-15T00:00:00"/>
    <s v=" 16:00 "/>
    <x v="20"/>
    <s v="Port Elizabeth Stadium"/>
    <s v="Nelson Mandela Bay/Port Elizabeth "/>
    <x v="14"/>
    <x v="70"/>
    <n v="0"/>
    <n v="0"/>
    <x v="38"/>
    <s v=" "/>
  </r>
  <r>
    <x v="18"/>
    <d v="2010-06-15T00:00:00"/>
    <s v=" 20:30 "/>
    <x v="20"/>
    <s v="Ellis Park Stadium"/>
    <s v="Johannesburg "/>
    <x v="14"/>
    <x v="7"/>
    <n v="2"/>
    <n v="1"/>
    <x v="37"/>
    <s v=" "/>
  </r>
  <r>
    <x v="18"/>
    <d v="2010-06-16T00:00:00"/>
    <s v=" 13:30 "/>
    <x v="19"/>
    <s v="Mbombela Stadium"/>
    <s v="Nelspruit "/>
    <x v="14"/>
    <x v="39"/>
    <n v="0"/>
    <n v="1"/>
    <x v="8"/>
    <s v=" "/>
  </r>
  <r>
    <x v="18"/>
    <d v="2010-06-16T00:00:00"/>
    <s v=" 16:00 "/>
    <x v="19"/>
    <s v="Durban Stadium"/>
    <s v="Durban "/>
    <x v="14"/>
    <x v="14"/>
    <n v="0"/>
    <n v="1"/>
    <x v="14"/>
    <s v=" "/>
  </r>
  <r>
    <x v="18"/>
    <d v="2010-06-16T00:00:00"/>
    <s v=" 20:30 "/>
    <x v="12"/>
    <s v="Loftus Versfeld Stadium"/>
    <s v="Tshwane/Pretoria "/>
    <x v="14"/>
    <x v="57"/>
    <n v="0"/>
    <n v="3"/>
    <x v="31"/>
    <s v=" "/>
  </r>
  <r>
    <x v="18"/>
    <d v="2010-06-17T00:00:00"/>
    <s v=" 13:30 "/>
    <x v="11"/>
    <s v="Soccer City Stadium"/>
    <s v="Johannesburg "/>
    <x v="14"/>
    <x v="4"/>
    <n v="4"/>
    <n v="1"/>
    <x v="29"/>
    <s v=" "/>
  </r>
  <r>
    <x v="18"/>
    <d v="2010-06-17T00:00:00"/>
    <s v=" 16:00 "/>
    <x v="11"/>
    <s v="Free State Stadium"/>
    <s v="Mangaung/Bloemfontein "/>
    <x v="14"/>
    <x v="55"/>
    <n v="2"/>
    <n v="1"/>
    <x v="63"/>
    <s v=" "/>
  </r>
  <r>
    <x v="18"/>
    <d v="2010-06-17T00:00:00"/>
    <s v=" 20:30 "/>
    <x v="12"/>
    <s v="Peter Mokaba Stadium"/>
    <s v="Polokwane "/>
    <x v="14"/>
    <x v="0"/>
    <n v="0"/>
    <n v="2"/>
    <x v="0"/>
    <s v=" "/>
  </r>
  <r>
    <x v="18"/>
    <d v="2010-06-18T00:00:00"/>
    <s v=" 13:30 "/>
    <x v="15"/>
    <s v="Port Elizabeth Stadium"/>
    <s v="Nelson Mandela Bay/Port Elizabeth "/>
    <x v="14"/>
    <x v="13"/>
    <n v="0"/>
    <n v="1"/>
    <x v="81"/>
    <s v=" "/>
  </r>
  <r>
    <x v="18"/>
    <d v="2010-06-18T00:00:00"/>
    <s v=" 16:00 "/>
    <x v="14"/>
    <s v="Ellis Park Stadium"/>
    <s v="Johannesburg "/>
    <x v="14"/>
    <x v="62"/>
    <n v="2"/>
    <n v="2"/>
    <x v="9"/>
    <s v=" "/>
  </r>
  <r>
    <x v="18"/>
    <d v="2010-06-18T00:00:00"/>
    <s v=" 20:30 "/>
    <x v="14"/>
    <s v="Cape Town Stadium"/>
    <s v="Cape Town "/>
    <x v="14"/>
    <x v="18"/>
    <n v="0"/>
    <n v="0"/>
    <x v="51"/>
    <s v=" "/>
  </r>
  <r>
    <x v="18"/>
    <d v="2010-06-19T00:00:00"/>
    <s v=" 13:30 "/>
    <x v="17"/>
    <s v="Durban Stadium"/>
    <s v="Durban "/>
    <x v="14"/>
    <x v="35"/>
    <n v="1"/>
    <n v="0"/>
    <x v="65"/>
    <s v=" "/>
  </r>
  <r>
    <x v="18"/>
    <d v="2010-06-19T00:00:00"/>
    <s v=" 16:00 "/>
    <x v="15"/>
    <s v="Royal Bafokeng Sports Palace"/>
    <s v="Phokeng "/>
    <x v="14"/>
    <x v="71"/>
    <n v="1"/>
    <n v="1"/>
    <x v="42"/>
    <s v=" "/>
  </r>
  <r>
    <x v="18"/>
    <d v="2010-06-19T00:00:00"/>
    <s v=" 20:30 "/>
    <x v="17"/>
    <s v="Loftus Versfeld Stadium"/>
    <s v="Tshwane/Pretoria "/>
    <x v="14"/>
    <x v="47"/>
    <n v="1"/>
    <n v="2"/>
    <x v="55"/>
    <s v=" "/>
  </r>
  <r>
    <x v="18"/>
    <d v="2010-06-20T00:00:00"/>
    <s v=" 13:30 "/>
    <x v="16"/>
    <s v="Free State Stadium"/>
    <s v="Mangaung/Bloemfontein "/>
    <x v="14"/>
    <x v="75"/>
    <n v="0"/>
    <n v="2"/>
    <x v="6"/>
    <s v=" "/>
  </r>
  <r>
    <x v="18"/>
    <d v="2010-06-20T00:00:00"/>
    <s v=" 16:00 "/>
    <x v="16"/>
    <s v="Mbombela Stadium"/>
    <s v="Nelspruit "/>
    <x v="14"/>
    <x v="15"/>
    <n v="1"/>
    <n v="1"/>
    <x v="50"/>
    <s v=" "/>
  </r>
  <r>
    <x v="18"/>
    <d v="2010-06-20T00:00:00"/>
    <s v=" 20:30 "/>
    <x v="20"/>
    <s v="Soccer City Stadium"/>
    <s v="Johannesburg "/>
    <x v="14"/>
    <x v="7"/>
    <n v="3"/>
    <n v="1"/>
    <x v="72"/>
    <s v=" "/>
  </r>
  <r>
    <x v="18"/>
    <d v="2010-06-21T00:00:00"/>
    <s v=" 13:30 "/>
    <x v="20"/>
    <s v="Cape Town Stadium"/>
    <s v="Cape Town "/>
    <x v="14"/>
    <x v="25"/>
    <n v="7"/>
    <n v="0"/>
    <x v="37"/>
    <s v=" "/>
  </r>
  <r>
    <x v="18"/>
    <d v="2010-06-21T00:00:00"/>
    <s v=" 16:00 "/>
    <x v="19"/>
    <s v="Port Elizabeth Stadium"/>
    <s v="Nelson Mandela Bay/Port Elizabeth "/>
    <x v="14"/>
    <x v="5"/>
    <n v="1"/>
    <n v="0"/>
    <x v="14"/>
    <s v=" "/>
  </r>
  <r>
    <x v="18"/>
    <d v="2010-06-21T00:00:00"/>
    <s v=" 20:30 "/>
    <x v="19"/>
    <s v="Ellis Park Stadium"/>
    <s v="Johannesburg "/>
    <x v="14"/>
    <x v="14"/>
    <n v="2"/>
    <n v="0"/>
    <x v="52"/>
    <s v=" "/>
  </r>
  <r>
    <x v="18"/>
    <d v="2010-06-22T00:00:00"/>
    <s v=" 16:00 "/>
    <x v="12"/>
    <s v="Royal Bafokeng Sports Palace"/>
    <s v="Phokeng "/>
    <x v="14"/>
    <x v="23"/>
    <n v="0"/>
    <n v="1"/>
    <x v="31"/>
    <s v=" "/>
  </r>
  <r>
    <x v="18"/>
    <d v="2010-06-22T00:00:00"/>
    <s v=" 16:00 "/>
    <x v="12"/>
    <s v="Free State Stadium"/>
    <s v="Mangaung/Bloemfontein "/>
    <x v="14"/>
    <x v="0"/>
    <n v="1"/>
    <n v="2"/>
    <x v="64"/>
    <s v=" "/>
  </r>
  <r>
    <x v="18"/>
    <d v="2010-06-22T00:00:00"/>
    <s v=" 20:30 "/>
    <x v="11"/>
    <s v="Durban Stadium"/>
    <s v="Durban "/>
    <x v="14"/>
    <x v="51"/>
    <n v="2"/>
    <n v="2"/>
    <x v="29"/>
    <s v=" "/>
  </r>
  <r>
    <x v="18"/>
    <d v="2010-06-22T00:00:00"/>
    <s v=" 20:30 "/>
    <x v="11"/>
    <s v="Peter Mokaba Stadium"/>
    <s v="Polokwane "/>
    <x v="14"/>
    <x v="55"/>
    <n v="0"/>
    <n v="2"/>
    <x v="11"/>
    <s v=" "/>
  </r>
  <r>
    <x v="18"/>
    <d v="2010-06-23T00:00:00"/>
    <s v=" 16:00 "/>
    <x v="14"/>
    <s v="Port Elizabeth Stadium"/>
    <s v="Nelson Mandela Bay/Port Elizabeth "/>
    <x v="14"/>
    <x v="62"/>
    <n v="0"/>
    <n v="1"/>
    <x v="26"/>
    <s v=" "/>
  </r>
  <r>
    <x v="18"/>
    <d v="2010-06-23T00:00:00"/>
    <s v=" 16:00 "/>
    <x v="14"/>
    <s v="Loftus Versfeld Stadium"/>
    <s v="Tshwane/Pretoria "/>
    <x v="14"/>
    <x v="1"/>
    <n v="1"/>
    <n v="0"/>
    <x v="51"/>
    <s v=" "/>
  </r>
  <r>
    <x v="18"/>
    <d v="2010-06-23T00:00:00"/>
    <s v=" 20:30 "/>
    <x v="15"/>
    <s v="Soccer City Stadium"/>
    <s v="Johannesburg "/>
    <x v="14"/>
    <x v="71"/>
    <n v="0"/>
    <n v="1"/>
    <x v="19"/>
    <s v=" "/>
  </r>
  <r>
    <x v="18"/>
    <d v="2010-06-23T00:00:00"/>
    <s v=" 20:30 "/>
    <x v="15"/>
    <s v="Mbombela Stadium"/>
    <s v="Nelspruit "/>
    <x v="14"/>
    <x v="33"/>
    <n v="2"/>
    <n v="1"/>
    <x v="81"/>
    <s v=" "/>
  </r>
  <r>
    <x v="18"/>
    <d v="2010-06-24T00:00:00"/>
    <s v=" 16:00 "/>
    <x v="16"/>
    <s v="Ellis Park Stadium"/>
    <s v="Johannesburg "/>
    <x v="14"/>
    <x v="75"/>
    <n v="3"/>
    <n v="2"/>
    <x v="25"/>
    <s v=" "/>
  </r>
  <r>
    <x v="18"/>
    <d v="2010-06-24T00:00:00"/>
    <s v=" 16:00 "/>
    <x v="16"/>
    <s v="Peter Mokaba Stadium"/>
    <s v="Polokwane "/>
    <x v="14"/>
    <x v="8"/>
    <n v="0"/>
    <n v="0"/>
    <x v="50"/>
    <s v=" "/>
  </r>
  <r>
    <x v="18"/>
    <d v="2010-06-24T00:00:00"/>
    <s v=" 20:30 "/>
    <x v="17"/>
    <s v="Royal Bafokeng Sports Palace"/>
    <s v="Phokeng "/>
    <x v="14"/>
    <x v="44"/>
    <n v="1"/>
    <n v="3"/>
    <x v="65"/>
    <s v=" "/>
  </r>
  <r>
    <x v="18"/>
    <d v="2010-06-24T00:00:00"/>
    <s v=" 20:30 "/>
    <x v="17"/>
    <s v="Cape Town Stadium"/>
    <s v="Cape Town "/>
    <x v="14"/>
    <x v="47"/>
    <n v="1"/>
    <n v="2"/>
    <x v="13"/>
    <s v=" "/>
  </r>
  <r>
    <x v="18"/>
    <d v="2010-06-25T00:00:00"/>
    <s v=" 16:00 "/>
    <x v="20"/>
    <s v="Durban Stadium"/>
    <s v="Durban "/>
    <x v="14"/>
    <x v="25"/>
    <n v="0"/>
    <n v="0"/>
    <x v="2"/>
    <s v=" "/>
  </r>
  <r>
    <x v="18"/>
    <d v="2010-06-25T00:00:00"/>
    <s v=" 16:00 "/>
    <x v="20"/>
    <s v="Mbombela Stadium"/>
    <s v="Nelspruit "/>
    <x v="14"/>
    <x v="26"/>
    <n v="0"/>
    <n v="3"/>
    <x v="72"/>
    <s v=" "/>
  </r>
  <r>
    <x v="18"/>
    <d v="2010-06-25T00:00:00"/>
    <s v=" 20:30 "/>
    <x v="19"/>
    <s v="Loftus Versfeld Stadium"/>
    <s v="Tshwane/Pretoria "/>
    <x v="14"/>
    <x v="5"/>
    <n v="1"/>
    <n v="2"/>
    <x v="16"/>
    <s v=" "/>
  </r>
  <r>
    <x v="18"/>
    <d v="2010-06-25T00:00:00"/>
    <s v=" 20:30 "/>
    <x v="19"/>
    <s v="Free State Stadium"/>
    <s v="Mangaung/Bloemfontein "/>
    <x v="14"/>
    <x v="11"/>
    <n v="0"/>
    <n v="0"/>
    <x v="52"/>
    <s v=" "/>
  </r>
  <r>
    <x v="18"/>
    <d v="2010-06-26T00:00:00"/>
    <s v=" 16:00 "/>
    <x v="18"/>
    <s v="Port Elizabeth Stadium"/>
    <s v="Nelson Mandela Bay/Port Elizabeth "/>
    <x v="14"/>
    <x v="6"/>
    <n v="2"/>
    <n v="1"/>
    <x v="29"/>
    <s v=" "/>
  </r>
  <r>
    <x v="18"/>
    <d v="2010-06-26T00:00:00"/>
    <s v=" 20:30 "/>
    <x v="18"/>
    <s v="Royal Bafokeng Sports Palace"/>
    <s v="Phokeng "/>
    <x v="14"/>
    <x v="1"/>
    <n v="1"/>
    <n v="2"/>
    <x v="74"/>
    <s v="Ghana win after extra time "/>
  </r>
  <r>
    <x v="18"/>
    <d v="2010-06-27T00:00:00"/>
    <s v=" 16:00 "/>
    <x v="18"/>
    <s v="Free State Stadium"/>
    <s v="Mangaung/Bloemfontein "/>
    <x v="14"/>
    <x v="13"/>
    <n v="4"/>
    <n v="1"/>
    <x v="26"/>
    <s v=" "/>
  </r>
  <r>
    <x v="18"/>
    <d v="2010-06-27T00:00:00"/>
    <s v=" 20:30 "/>
    <x v="18"/>
    <s v="Soccer City Stadium"/>
    <s v="Johannesburg "/>
    <x v="14"/>
    <x v="4"/>
    <n v="3"/>
    <n v="1"/>
    <x v="0"/>
    <s v=" "/>
  </r>
  <r>
    <x v="18"/>
    <d v="2010-06-28T00:00:00"/>
    <s v=" 16:00 "/>
    <x v="18"/>
    <s v="Durban Stadium"/>
    <s v="Durban "/>
    <x v="14"/>
    <x v="35"/>
    <n v="2"/>
    <n v="1"/>
    <x v="80"/>
    <s v=" "/>
  </r>
  <r>
    <x v="18"/>
    <d v="2010-06-28T00:00:00"/>
    <s v=" 20:30 "/>
    <x v="18"/>
    <s v="Ellis Park Stadium"/>
    <s v="Johannesburg "/>
    <x v="14"/>
    <x v="7"/>
    <n v="3"/>
    <n v="0"/>
    <x v="8"/>
    <s v=" "/>
  </r>
  <r>
    <x v="18"/>
    <d v="2010-06-29T00:00:00"/>
    <s v=" 16:00 "/>
    <x v="18"/>
    <s v="Loftus Versfeld Stadium"/>
    <s v="Tshwane/Pretoria "/>
    <x v="14"/>
    <x v="8"/>
    <n v="0"/>
    <n v="0"/>
    <x v="65"/>
    <s v="Paraguay win on penalties (5 - 3) "/>
  </r>
  <r>
    <x v="18"/>
    <d v="2010-06-29T00:00:00"/>
    <s v=" 20:30 "/>
    <x v="18"/>
    <s v="Cape Town Stadium"/>
    <s v="Cape Town "/>
    <x v="14"/>
    <x v="14"/>
    <n v="1"/>
    <n v="0"/>
    <x v="38"/>
    <s v=" "/>
  </r>
  <r>
    <x v="18"/>
    <d v="2010-07-02T00:00:00"/>
    <s v=" 16:00 "/>
    <x v="7"/>
    <s v="Port Elizabeth Stadium"/>
    <s v="Nelson Mandela Bay/Port Elizabeth "/>
    <x v="14"/>
    <x v="35"/>
    <n v="2"/>
    <n v="1"/>
    <x v="2"/>
    <s v=" "/>
  </r>
  <r>
    <x v="18"/>
    <d v="2010-07-02T00:00:00"/>
    <s v=" 20:30 "/>
    <x v="7"/>
    <s v="Soccer City Stadium"/>
    <s v="Johannesburg "/>
    <x v="14"/>
    <x v="6"/>
    <n v="1"/>
    <n v="1"/>
    <x v="74"/>
    <s v="Uruguay win on penalties (4 - 2) "/>
  </r>
  <r>
    <x v="18"/>
    <d v="2010-07-03T00:00:00"/>
    <s v=" 16:00 "/>
    <x v="7"/>
    <s v="Cape Town Stadium"/>
    <s v="Cape Town "/>
    <x v="14"/>
    <x v="4"/>
    <n v="0"/>
    <n v="4"/>
    <x v="19"/>
    <s v=" "/>
  </r>
  <r>
    <x v="18"/>
    <d v="2010-07-03T00:00:00"/>
    <s v=" 20:30 "/>
    <x v="7"/>
    <s v="Ellis Park Stadium"/>
    <s v="Johannesburg "/>
    <x v="14"/>
    <x v="8"/>
    <n v="0"/>
    <n v="1"/>
    <x v="16"/>
    <s v=" "/>
  </r>
  <r>
    <x v="18"/>
    <d v="2010-07-06T00:00:00"/>
    <s v=" 20:30 "/>
    <x v="4"/>
    <s v="Cape Town Stadium"/>
    <s v="Cape Town "/>
    <x v="14"/>
    <x v="6"/>
    <n v="2"/>
    <n v="3"/>
    <x v="13"/>
    <s v=" "/>
  </r>
  <r>
    <x v="18"/>
    <d v="2010-07-07T00:00:00"/>
    <s v=" 20:30 "/>
    <x v="4"/>
    <s v="Durban Stadium"/>
    <s v="Durban "/>
    <x v="14"/>
    <x v="13"/>
    <n v="0"/>
    <n v="1"/>
    <x v="16"/>
    <s v=" "/>
  </r>
  <r>
    <x v="18"/>
    <d v="2010-07-10T00:00:00"/>
    <s v=" 20:30 "/>
    <x v="8"/>
    <s v="Port Elizabeth Stadium"/>
    <s v="Nelson Mandela Bay/Port Elizabeth "/>
    <x v="14"/>
    <x v="6"/>
    <n v="2"/>
    <n v="3"/>
    <x v="19"/>
    <s v=" "/>
  </r>
  <r>
    <x v="18"/>
    <d v="2010-07-11T00:00:00"/>
    <s v=" 20:30 "/>
    <x v="5"/>
    <s v="Soccer City Stadium"/>
    <s v="Johannesburg "/>
    <x v="14"/>
    <x v="35"/>
    <n v="0"/>
    <n v="1"/>
    <x v="16"/>
    <s v="Spain win after extra time "/>
  </r>
  <r>
    <x v="19"/>
    <d v="2014-06-12T00:00:00"/>
    <s v=" 17:00 "/>
    <x v="12"/>
    <s v="Arena de Sao Paulo"/>
    <s v="Sao Paulo "/>
    <x v="3"/>
    <x v="7"/>
    <n v="3"/>
    <n v="1"/>
    <x v="66"/>
    <s v=" "/>
  </r>
  <r>
    <x v="19"/>
    <d v="2014-06-13T00:00:00"/>
    <s v=" 13:00 "/>
    <x v="12"/>
    <s v="Estadio das Dunas"/>
    <s v="Natal "/>
    <x v="3"/>
    <x v="23"/>
    <n v="1"/>
    <n v="0"/>
    <x v="49"/>
    <s v=" "/>
  </r>
  <r>
    <x v="19"/>
    <d v="2014-06-13T00:00:00"/>
    <s v=" 16:00 "/>
    <x v="11"/>
    <s v="Arena Fonte Nova"/>
    <s v="Salvador "/>
    <x v="3"/>
    <x v="14"/>
    <n v="1"/>
    <n v="5"/>
    <x v="13"/>
    <s v=" "/>
  </r>
  <r>
    <x v="19"/>
    <d v="2014-06-13T00:00:00"/>
    <s v=" 18:00 "/>
    <x v="11"/>
    <s v="Arena Pantanal"/>
    <s v="Cuiaba "/>
    <x v="3"/>
    <x v="5"/>
    <n v="3"/>
    <n v="1"/>
    <x v="42"/>
    <s v=" "/>
  </r>
  <r>
    <x v="19"/>
    <d v="2014-06-14T00:00:00"/>
    <s v=" 13:00 "/>
    <x v="14"/>
    <s v="Estadio Mineirao"/>
    <s v="Belo Horizonte "/>
    <x v="3"/>
    <x v="49"/>
    <n v="3"/>
    <n v="0"/>
    <x v="62"/>
    <s v=" "/>
  </r>
  <r>
    <x v="19"/>
    <d v="2014-06-14T00:00:00"/>
    <s v=" 16:00 "/>
    <x v="15"/>
    <s v="Estadio Castelao"/>
    <s v="Fortaleza "/>
    <x v="3"/>
    <x v="6"/>
    <n v="1"/>
    <n v="3"/>
    <x v="59"/>
    <s v=" "/>
  </r>
  <r>
    <x v="19"/>
    <d v="2014-06-14T00:00:00"/>
    <s v=" 18:00 "/>
    <x v="15"/>
    <s v="Arena Amazonia"/>
    <s v="Manaus "/>
    <x v="3"/>
    <x v="18"/>
    <n v="1"/>
    <n v="2"/>
    <x v="25"/>
    <s v=" "/>
  </r>
  <r>
    <x v="19"/>
    <d v="2014-06-14T00:00:00"/>
    <s v=" 22:00 "/>
    <x v="14"/>
    <s v="Arena Pernambuco"/>
    <s v="Recife "/>
    <x v="3"/>
    <x v="70"/>
    <n v="2"/>
    <n v="1"/>
    <x v="65"/>
    <s v=" "/>
  </r>
  <r>
    <x v="19"/>
    <d v="2014-06-15T00:00:00"/>
    <s v=" 13:00 "/>
    <x v="17"/>
    <s v="Estadio Nacional"/>
    <s v="Brasilia "/>
    <x v="3"/>
    <x v="11"/>
    <n v="2"/>
    <n v="1"/>
    <x v="70"/>
    <s v=" "/>
  </r>
  <r>
    <x v="19"/>
    <d v="2014-06-15T00:00:00"/>
    <s v=" 16:00 "/>
    <x v="17"/>
    <s v="Estadio Beira-Rio"/>
    <s v="Porto Alegre "/>
    <x v="3"/>
    <x v="0"/>
    <n v="3"/>
    <n v="0"/>
    <x v="52"/>
    <s v=" "/>
  </r>
  <r>
    <x v="19"/>
    <d v="2014-06-15T00:00:00"/>
    <s v=" 19:00 "/>
    <x v="16"/>
    <s v="Estadio do Maracana"/>
    <s v="Rio De Janeiro "/>
    <x v="3"/>
    <x v="4"/>
    <n v="2"/>
    <n v="1"/>
    <x v="82"/>
    <s v=" "/>
  </r>
  <r>
    <x v="19"/>
    <d v="2014-06-16T00:00:00"/>
    <s v=" 13:00 "/>
    <x v="20"/>
    <s v="Arena Fonte Nova"/>
    <s v="Salvador "/>
    <x v="3"/>
    <x v="13"/>
    <n v="4"/>
    <n v="0"/>
    <x v="38"/>
    <s v=" "/>
  </r>
  <r>
    <x v="19"/>
    <d v="2014-06-16T00:00:00"/>
    <s v=" 16:00 "/>
    <x v="16"/>
    <s v="Arena da Baixada"/>
    <s v="Curitiba "/>
    <x v="3"/>
    <x v="76"/>
    <n v="0"/>
    <n v="0"/>
    <x v="63"/>
    <s v=" "/>
  </r>
  <r>
    <x v="19"/>
    <d v="2014-06-16T00:00:00"/>
    <s v=" 19:00 "/>
    <x v="20"/>
    <s v="Estadio das Dunas"/>
    <s v="Natal "/>
    <x v="3"/>
    <x v="71"/>
    <n v="1"/>
    <n v="2"/>
    <x v="9"/>
    <s v=" "/>
  </r>
  <r>
    <x v="19"/>
    <d v="2014-06-17T00:00:00"/>
    <s v=" 13:00 "/>
    <x v="19"/>
    <s v="Estadio Mineirao"/>
    <s v="Belo Horizonte "/>
    <x v="3"/>
    <x v="28"/>
    <n v="2"/>
    <n v="1"/>
    <x v="51"/>
    <s v=" "/>
  </r>
  <r>
    <x v="19"/>
    <d v="2014-06-17T00:00:00"/>
    <s v=" 16:00 "/>
    <x v="12"/>
    <s v="Estadio Castelao"/>
    <s v="Fortaleza "/>
    <x v="3"/>
    <x v="7"/>
    <n v="0"/>
    <n v="0"/>
    <x v="0"/>
    <s v=" "/>
  </r>
  <r>
    <x v="19"/>
    <d v="2014-06-17T00:00:00"/>
    <s v=" 18:00 "/>
    <x v="19"/>
    <s v="Arena Pantanal"/>
    <s v="Cuiaba "/>
    <x v="3"/>
    <x v="54"/>
    <n v="1"/>
    <n v="1"/>
    <x v="29"/>
    <s v=" "/>
  </r>
  <r>
    <x v="19"/>
    <d v="2014-06-18T00:00:00"/>
    <s v=" 13:00 "/>
    <x v="11"/>
    <s v="Estadio Beira-Rio"/>
    <s v="Porto Alegre "/>
    <x v="3"/>
    <x v="33"/>
    <n v="2"/>
    <n v="3"/>
    <x v="13"/>
    <s v=" "/>
  </r>
  <r>
    <x v="19"/>
    <d v="2014-06-18T00:00:00"/>
    <s v=" 16:00 "/>
    <x v="11"/>
    <s v="Estadio do Maracana"/>
    <s v="Rio De Janeiro "/>
    <x v="3"/>
    <x v="14"/>
    <n v="0"/>
    <n v="2"/>
    <x v="8"/>
    <s v=" "/>
  </r>
  <r>
    <x v="19"/>
    <d v="2014-06-18T00:00:00"/>
    <s v=" 18:00 "/>
    <x v="12"/>
    <s v="Arena Amazonia"/>
    <s v="Manaus "/>
    <x v="3"/>
    <x v="47"/>
    <n v="0"/>
    <n v="4"/>
    <x v="66"/>
    <s v=" "/>
  </r>
  <r>
    <x v="19"/>
    <d v="2014-06-19T00:00:00"/>
    <s v=" 13:00 "/>
    <x v="14"/>
    <s v="Estadio Nacional"/>
    <s v="Brasilia "/>
    <x v="3"/>
    <x v="49"/>
    <n v="2"/>
    <n v="1"/>
    <x v="72"/>
    <s v=" "/>
  </r>
  <r>
    <x v="19"/>
    <d v="2014-06-19T00:00:00"/>
    <s v=" 16:00 "/>
    <x v="15"/>
    <s v="Arena de Sao Paulo"/>
    <s v="Sao Paulo "/>
    <x v="3"/>
    <x v="6"/>
    <n v="2"/>
    <n v="1"/>
    <x v="26"/>
    <s v=" "/>
  </r>
  <r>
    <x v="19"/>
    <d v="2014-06-19T00:00:00"/>
    <s v=" 19:00 "/>
    <x v="14"/>
    <s v="Estadio das Dunas"/>
    <s v="Natal "/>
    <x v="3"/>
    <x v="58"/>
    <n v="0"/>
    <n v="0"/>
    <x v="62"/>
    <s v=" "/>
  </r>
  <r>
    <x v="19"/>
    <d v="2014-06-20T00:00:00"/>
    <s v=" 13:00 "/>
    <x v="15"/>
    <s v="Arena Pernambuco"/>
    <s v="Recife "/>
    <x v="3"/>
    <x v="15"/>
    <n v="0"/>
    <n v="1"/>
    <x v="59"/>
    <s v=" "/>
  </r>
  <r>
    <x v="19"/>
    <d v="2014-06-20T00:00:00"/>
    <s v=" 16:00 "/>
    <x v="17"/>
    <s v="Arena Fonte Nova"/>
    <s v="Salvador "/>
    <x v="3"/>
    <x v="11"/>
    <n v="2"/>
    <n v="5"/>
    <x v="4"/>
    <s v=" "/>
  </r>
  <r>
    <x v="19"/>
    <d v="2014-06-20T00:00:00"/>
    <s v=" 19:00 "/>
    <x v="17"/>
    <s v="Arena da Baixada"/>
    <s v="Curitiba "/>
    <x v="3"/>
    <x v="39"/>
    <n v="1"/>
    <n v="2"/>
    <x v="70"/>
    <s v=" "/>
  </r>
  <r>
    <x v="19"/>
    <d v="2014-06-21T00:00:00"/>
    <s v=" 13:00 "/>
    <x v="16"/>
    <s v="Estadio Mineirao"/>
    <s v="Belo Horizonte "/>
    <x v="3"/>
    <x v="4"/>
    <n v="1"/>
    <n v="0"/>
    <x v="46"/>
    <s v=" "/>
  </r>
  <r>
    <x v="19"/>
    <d v="2014-06-21T00:00:00"/>
    <s v=" 16:00 "/>
    <x v="20"/>
    <s v="Estadio Castelao"/>
    <s v="Fortaleza "/>
    <x v="3"/>
    <x v="13"/>
    <n v="2"/>
    <n v="2"/>
    <x v="74"/>
    <s v=" "/>
  </r>
  <r>
    <x v="19"/>
    <d v="2014-06-21T00:00:00"/>
    <s v=" 18:00 "/>
    <x v="16"/>
    <s v="Arena Pantanal"/>
    <s v="Cuiaba "/>
    <x v="3"/>
    <x v="51"/>
    <n v="1"/>
    <n v="0"/>
    <x v="82"/>
    <s v=" "/>
  </r>
  <r>
    <x v="19"/>
    <d v="2014-06-22T00:00:00"/>
    <s v=" 13:00 "/>
    <x v="19"/>
    <s v="Estadio do Maracana"/>
    <s v="Rio De Janeiro "/>
    <x v="3"/>
    <x v="28"/>
    <n v="1"/>
    <n v="0"/>
    <x v="61"/>
    <s v=" "/>
  </r>
  <r>
    <x v="19"/>
    <d v="2014-06-22T00:00:00"/>
    <s v=" 16:00 "/>
    <x v="19"/>
    <s v="Estadio Beira-Rio"/>
    <s v="Porto Alegre "/>
    <x v="3"/>
    <x v="42"/>
    <n v="2"/>
    <n v="4"/>
    <x v="51"/>
    <s v=" "/>
  </r>
  <r>
    <x v="19"/>
    <d v="2014-06-22T00:00:00"/>
    <s v=" 18:00 "/>
    <x v="20"/>
    <s v="Arena Amazonia"/>
    <s v="Manaus "/>
    <x v="3"/>
    <x v="1"/>
    <n v="2"/>
    <n v="2"/>
    <x v="38"/>
    <s v=" "/>
  </r>
  <r>
    <x v="19"/>
    <d v="2014-06-23T00:00:00"/>
    <s v=" 13:00 "/>
    <x v="11"/>
    <s v="Arena da Baixada"/>
    <s v="Curitiba "/>
    <x v="3"/>
    <x v="33"/>
    <n v="0"/>
    <n v="3"/>
    <x v="16"/>
    <s v=" "/>
  </r>
  <r>
    <x v="19"/>
    <d v="2014-06-23T00:00:00"/>
    <s v=" 13:00 "/>
    <x v="11"/>
    <s v="Arena de Sao Paulo"/>
    <s v="Sao Paulo "/>
    <x v="3"/>
    <x v="35"/>
    <n v="2"/>
    <n v="0"/>
    <x v="8"/>
    <s v=" "/>
  </r>
  <r>
    <x v="19"/>
    <d v="2014-06-23T00:00:00"/>
    <s v=" 17:00 "/>
    <x v="12"/>
    <s v="Estadio Nacional"/>
    <s v="Brasilia "/>
    <x v="3"/>
    <x v="47"/>
    <n v="1"/>
    <n v="4"/>
    <x v="2"/>
    <s v=" "/>
  </r>
  <r>
    <x v="19"/>
    <d v="2014-06-23T00:00:00"/>
    <s v=" 17:00 "/>
    <x v="12"/>
    <s v="Arena Pernambuco"/>
    <s v="Recife "/>
    <x v="3"/>
    <x v="59"/>
    <n v="1"/>
    <n v="3"/>
    <x v="0"/>
    <s v=" "/>
  </r>
  <r>
    <x v="19"/>
    <d v="2014-06-24T00:00:00"/>
    <s v=" 13:00 "/>
    <x v="15"/>
    <s v="Estadio das Dunas"/>
    <s v="Natal "/>
    <x v="3"/>
    <x v="15"/>
    <n v="0"/>
    <n v="1"/>
    <x v="31"/>
    <s v=" "/>
  </r>
  <r>
    <x v="19"/>
    <d v="2014-06-24T00:00:00"/>
    <s v=" 13:00 "/>
    <x v="15"/>
    <s v="Estadio Mineirao"/>
    <s v="Belo Horizonte "/>
    <x v="3"/>
    <x v="46"/>
    <n v="0"/>
    <n v="0"/>
    <x v="26"/>
    <s v=" "/>
  </r>
  <r>
    <x v="19"/>
    <d v="2014-06-24T00:00:00"/>
    <s v=" 16:00 "/>
    <x v="14"/>
    <s v="Arena Pantanal"/>
    <s v="Cuiaba "/>
    <x v="3"/>
    <x v="58"/>
    <n v="1"/>
    <n v="4"/>
    <x v="35"/>
    <s v=" "/>
  </r>
  <r>
    <x v="19"/>
    <d v="2014-06-24T00:00:00"/>
    <s v=" 17:00 "/>
    <x v="14"/>
    <s v="Estadio Castelao"/>
    <s v="Fortaleza "/>
    <x v="3"/>
    <x v="55"/>
    <n v="2"/>
    <n v="1"/>
    <x v="72"/>
    <s v=" "/>
  </r>
  <r>
    <x v="19"/>
    <d v="2014-06-25T00:00:00"/>
    <s v=" 13:00 "/>
    <x v="16"/>
    <s v="Estadio Beira-Rio"/>
    <s v="Porto Alegre "/>
    <x v="3"/>
    <x v="51"/>
    <n v="2"/>
    <n v="3"/>
    <x v="11"/>
    <s v=" "/>
  </r>
  <r>
    <x v="19"/>
    <d v="2014-06-25T00:00:00"/>
    <s v=" 13:00 "/>
    <x v="16"/>
    <s v="Arena Fonte Nova"/>
    <s v="Salvador "/>
    <x v="3"/>
    <x v="77"/>
    <n v="3"/>
    <n v="1"/>
    <x v="46"/>
    <s v=" "/>
  </r>
  <r>
    <x v="19"/>
    <d v="2014-06-25T00:00:00"/>
    <s v=" 16:00 "/>
    <x v="17"/>
    <s v="Arena Amazonia"/>
    <s v="Manaus "/>
    <x v="3"/>
    <x v="39"/>
    <n v="0"/>
    <n v="3"/>
    <x v="14"/>
    <s v=" "/>
  </r>
  <r>
    <x v="19"/>
    <d v="2014-06-25T00:00:00"/>
    <s v=" 17:00 "/>
    <x v="17"/>
    <s v="Estadio do Maracana"/>
    <s v="Rio De Janeiro "/>
    <x v="3"/>
    <x v="63"/>
    <n v="0"/>
    <n v="0"/>
    <x v="4"/>
    <s v=" "/>
  </r>
  <r>
    <x v="19"/>
    <d v="2014-06-26T00:00:00"/>
    <s v=" 13:00 "/>
    <x v="20"/>
    <s v="Arena Pernambuco"/>
    <s v="Recife "/>
    <x v="3"/>
    <x v="1"/>
    <n v="0"/>
    <n v="1"/>
    <x v="19"/>
    <s v=" "/>
  </r>
  <r>
    <x v="19"/>
    <d v="2014-06-26T00:00:00"/>
    <s v=" 13:00 "/>
    <x v="20"/>
    <s v="Estadio Nacional"/>
    <s v="Brasilia "/>
    <x v="3"/>
    <x v="25"/>
    <n v="2"/>
    <n v="1"/>
    <x v="74"/>
    <s v=" "/>
  </r>
  <r>
    <x v="19"/>
    <d v="2014-06-26T00:00:00"/>
    <s v=" 17:00 "/>
    <x v="19"/>
    <s v="Arena de Sao Paulo"/>
    <s v="Sao Paulo "/>
    <x v="3"/>
    <x v="42"/>
    <n v="0"/>
    <n v="1"/>
    <x v="1"/>
    <s v=" "/>
  </r>
  <r>
    <x v="19"/>
    <d v="2014-06-26T00:00:00"/>
    <s v=" 17:00 "/>
    <x v="19"/>
    <s v="Arena da Baixada"/>
    <s v="Curitiba "/>
    <x v="3"/>
    <x v="38"/>
    <n v="1"/>
    <n v="1"/>
    <x v="61"/>
    <s v=" "/>
  </r>
  <r>
    <x v="19"/>
    <d v="2014-06-28T00:00:00"/>
    <s v=" 13:00 "/>
    <x v="18"/>
    <s v="Estadio Mineirao"/>
    <s v="Belo Horizonte "/>
    <x v="3"/>
    <x v="7"/>
    <n v="1"/>
    <n v="1"/>
    <x v="8"/>
    <s v="Brazil win on penalties (3 - 2) "/>
  </r>
  <r>
    <x v="19"/>
    <d v="2014-06-28T00:00:00"/>
    <s v=" 17:00 "/>
    <x v="18"/>
    <s v="Estadio do Maracana"/>
    <s v="Rio De Janeiro "/>
    <x v="3"/>
    <x v="49"/>
    <n v="2"/>
    <n v="0"/>
    <x v="31"/>
    <s v=" "/>
  </r>
  <r>
    <x v="19"/>
    <d v="2014-06-30T00:00:00"/>
    <s v=" 13:00 "/>
    <x v="18"/>
    <s v="Estadio Nacional"/>
    <s v="Brasilia "/>
    <x v="3"/>
    <x v="0"/>
    <n v="2"/>
    <n v="0"/>
    <x v="63"/>
    <s v=" "/>
  </r>
  <r>
    <x v="19"/>
    <d v="2014-06-30T00:00:00"/>
    <s v=" 17:00 "/>
    <x v="18"/>
    <s v="Estadio Beira-Rio"/>
    <s v="Porto Alegre "/>
    <x v="3"/>
    <x v="13"/>
    <n v="2"/>
    <n v="1"/>
    <x v="51"/>
    <s v="Germany win after extra time "/>
  </r>
  <r>
    <x v="19"/>
    <d v="2014-07-04T00:00:00"/>
    <s v=" 17:00 "/>
    <x v="7"/>
    <s v="Estadio Castelao"/>
    <s v="Fortaleza "/>
    <x v="3"/>
    <x v="7"/>
    <n v="2"/>
    <n v="1"/>
    <x v="35"/>
    <s v=" "/>
  </r>
  <r>
    <x v="19"/>
    <d v="2014-07-04T00:00:00"/>
    <s v=" 13:00 "/>
    <x v="7"/>
    <s v="Estadio do Maracana"/>
    <s v="Rio De Janeiro "/>
    <x v="3"/>
    <x v="0"/>
    <n v="0"/>
    <n v="1"/>
    <x v="19"/>
    <s v=" "/>
  </r>
  <r>
    <x v="19"/>
    <d v="2014-07-08T00:00:00"/>
    <s v=" 17:00 "/>
    <x v="4"/>
    <s v="Estadio Mineirao"/>
    <s v="Belo Horizonte "/>
    <x v="3"/>
    <x v="7"/>
    <n v="1"/>
    <n v="7"/>
    <x v="19"/>
    <s v=" "/>
  </r>
  <r>
    <x v="19"/>
    <d v="2014-07-12T00:00:00"/>
    <s v=" 17:00 "/>
    <x v="22"/>
    <s v="Estadio Nacional"/>
    <s v="Brasilia "/>
    <x v="3"/>
    <x v="7"/>
    <n v="0"/>
    <n v="3"/>
    <x v="13"/>
    <s v=" "/>
  </r>
  <r>
    <x v="19"/>
    <d v="2014-07-13T00:00:00"/>
    <s v=" 16:00 "/>
    <x v="5"/>
    <s v="Estadio do Maracana"/>
    <s v="Rio De Janeiro "/>
    <x v="3"/>
    <x v="13"/>
    <n v="1"/>
    <n v="0"/>
    <x v="11"/>
    <s v="Germany win after extra time "/>
  </r>
  <r>
    <x v="19"/>
    <d v="2014-07-09T00:00:00"/>
    <s v=" 17:00 "/>
    <x v="4"/>
    <s v="Arena de Sao Paulo"/>
    <s v="Sao Paulo "/>
    <x v="3"/>
    <x v="35"/>
    <n v="0"/>
    <n v="0"/>
    <x v="11"/>
    <s v="Argentina win on penalties (2 - 4) "/>
  </r>
  <r>
    <x v="19"/>
    <d v="2014-07-05T00:00:00"/>
    <s v=" 17:00 "/>
    <x v="7"/>
    <s v="Arena Fonte Nova"/>
    <s v="Salvador "/>
    <x v="3"/>
    <x v="35"/>
    <n v="0"/>
    <n v="0"/>
    <x v="59"/>
    <s v="Netherlands win on penalties (4 - 3) "/>
  </r>
  <r>
    <x v="19"/>
    <d v="2014-07-05T00:00:00"/>
    <s v=" 13:00 "/>
    <x v="7"/>
    <s v="Estadio Nacional"/>
    <s v="Brasilia "/>
    <x v="3"/>
    <x v="4"/>
    <n v="1"/>
    <n v="0"/>
    <x v="1"/>
    <s v=" "/>
  </r>
  <r>
    <x v="19"/>
    <d v="2014-06-29T00:00:00"/>
    <s v=" 13:00 "/>
    <x v="18"/>
    <s v="Estadio Castelao"/>
    <s v="Fortaleza "/>
    <x v="3"/>
    <x v="35"/>
    <n v="2"/>
    <n v="1"/>
    <x v="0"/>
    <s v=" "/>
  </r>
  <r>
    <x v="19"/>
    <d v="2014-06-29T00:00:00"/>
    <s v=" 17:00 "/>
    <x v="18"/>
    <s v="Arena Pernambuco"/>
    <s v="Recife "/>
    <x v="3"/>
    <x v="46"/>
    <n v="1"/>
    <n v="1"/>
    <x v="62"/>
    <s v="Costa Rica win on penalties (5 - 3) "/>
  </r>
  <r>
    <x v="19"/>
    <d v="2014-07-01T00:00:00"/>
    <s v=" 13:00 "/>
    <x v="18"/>
    <s v="Arena de Sao Paulo"/>
    <s v="Sao Paulo "/>
    <x v="3"/>
    <x v="4"/>
    <n v="1"/>
    <n v="0"/>
    <x v="14"/>
    <s v="Argentina win after extra time "/>
  </r>
  <r>
    <x v="19"/>
    <d v="2014-07-01T00:00:00"/>
    <s v=" 17:00 "/>
    <x v="18"/>
    <s v="Arena Fonte Nova"/>
    <s v="Salvador "/>
    <x v="3"/>
    <x v="28"/>
    <n v="2"/>
    <n v="1"/>
    <x v="9"/>
    <s v="Belgium win after extra time "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61">
  <r>
    <s v="Home Team"/>
    <x v="0"/>
    <n v="5"/>
  </r>
  <r>
    <s v="Home Team"/>
    <x v="1"/>
    <n v="0"/>
  </r>
  <r>
    <s v="Home Team"/>
    <x v="2"/>
    <n v="109"/>
  </r>
  <r>
    <s v="Home Team"/>
    <x v="3"/>
    <n v="7"/>
  </r>
  <r>
    <s v="Home Team"/>
    <x v="4"/>
    <n v="31"/>
  </r>
  <r>
    <s v="Home Team"/>
    <x v="5"/>
    <n v="25"/>
  </r>
  <r>
    <s v="Home Team"/>
    <x v="6"/>
    <n v="1"/>
  </r>
  <r>
    <s v="Home Team"/>
    <x v="7"/>
    <n v="3"/>
  </r>
  <r>
    <s v="Home Team"/>
    <x v="8"/>
    <n v="176"/>
  </r>
  <r>
    <s v="Home Team"/>
    <x v="9"/>
    <n v="11"/>
  </r>
  <r>
    <s v="Home Team"/>
    <x v="10"/>
    <n v="11"/>
  </r>
  <r>
    <s v="Home Team"/>
    <x v="11"/>
    <n v="0"/>
  </r>
  <r>
    <s v="Home Team"/>
    <x v="12"/>
    <n v="25"/>
  </r>
  <r>
    <s v="Home Team"/>
    <x v="13"/>
    <n v="0"/>
  </r>
  <r>
    <s v="Home Team"/>
    <x v="14"/>
    <n v="5"/>
  </r>
  <r>
    <s v="Home Team"/>
    <x v="15"/>
    <n v="9"/>
  </r>
  <r>
    <s v="Home Team"/>
    <x v="16"/>
    <n v="6"/>
  </r>
  <r>
    <s v="Home Team"/>
    <x v="17"/>
    <n v="3"/>
  </r>
  <r>
    <s v="Home Team"/>
    <x v="18"/>
    <n v="5"/>
  </r>
  <r>
    <s v="Home Team"/>
    <x v="19"/>
    <n v="0"/>
  </r>
  <r>
    <s v="Home Team"/>
    <x v="20"/>
    <n v="27"/>
  </r>
  <r>
    <s v="Home Team"/>
    <x v="21"/>
    <n v="13"/>
  </r>
  <r>
    <s v="Home Team"/>
    <x v="22"/>
    <n v="4"/>
  </r>
  <r>
    <s v="Home Team"/>
    <x v="23"/>
    <n v="54"/>
  </r>
  <r>
    <s v="Home Team"/>
    <x v="24"/>
    <n v="66"/>
  </r>
  <r>
    <s v="Home Team"/>
    <x v="25"/>
    <n v="3"/>
  </r>
  <r>
    <s v="Home Team"/>
    <x v="26"/>
    <n v="66"/>
  </r>
  <r>
    <s v="Home Team"/>
    <x v="27"/>
    <n v="99"/>
  </r>
  <r>
    <s v="Home Team"/>
    <x v="28"/>
    <n v="4"/>
  </r>
  <r>
    <s v="Home Team"/>
    <x v="29"/>
    <n v="4"/>
  </r>
  <r>
    <s v="Home Team"/>
    <x v="30"/>
    <n v="0"/>
  </r>
  <r>
    <s v="Home Team"/>
    <x v="31"/>
    <n v="2"/>
  </r>
  <r>
    <s v="Home Team"/>
    <x v="32"/>
    <n v="73"/>
  </r>
  <r>
    <s v="Home Team"/>
    <x v="33"/>
    <n v="0"/>
  </r>
  <r>
    <s v="Home Team"/>
    <x v="34"/>
    <n v="1"/>
  </r>
  <r>
    <s v="Home Team"/>
    <x v="35"/>
    <n v="1"/>
  </r>
  <r>
    <s v="Home Team"/>
    <x v="36"/>
    <n v="99"/>
  </r>
  <r>
    <s v="Home Team"/>
    <x v="37"/>
    <n v="1"/>
  </r>
  <r>
    <s v="Home Team"/>
    <x v="38"/>
    <n v="7"/>
  </r>
  <r>
    <s v="Home Team"/>
    <x v="39"/>
    <n v="2"/>
  </r>
  <r>
    <s v="Home Team"/>
    <x v="40"/>
    <n v="18"/>
  </r>
  <r>
    <s v="Home Team"/>
    <x v="41"/>
    <n v="22"/>
  </r>
  <r>
    <s v="Home Team"/>
    <x v="42"/>
    <n v="3"/>
  </r>
  <r>
    <s v="Home Team"/>
    <x v="43"/>
    <n v="49"/>
  </r>
  <r>
    <s v="Home Team"/>
    <x v="44"/>
    <n v="1"/>
  </r>
  <r>
    <s v="Home Team"/>
    <x v="45"/>
    <n v="12"/>
  </r>
  <r>
    <s v="Home Team"/>
    <x v="46"/>
    <n v="5"/>
  </r>
  <r>
    <s v="Home Team"/>
    <x v="47"/>
    <n v="1"/>
  </r>
  <r>
    <s v="Home Team"/>
    <x v="48"/>
    <n v="14"/>
  </r>
  <r>
    <s v="Home Team"/>
    <x v="49"/>
    <n v="13"/>
  </r>
  <r>
    <s v="Home Team"/>
    <x v="50"/>
    <n v="27"/>
  </r>
  <r>
    <s v="Home Team"/>
    <x v="51"/>
    <n v="36"/>
  </r>
  <r>
    <s v="Home Team"/>
    <x v="52"/>
    <n v="2"/>
  </r>
  <r>
    <s v="Home Team"/>
    <x v="53"/>
    <n v="15"/>
  </r>
  <r>
    <s v="Home Team"/>
    <x v="54"/>
    <n v="9"/>
  </r>
  <r>
    <s v="Home Team"/>
    <x v="55"/>
    <n v="3"/>
  </r>
  <r>
    <s v="Home Team"/>
    <x v="56"/>
    <n v="11"/>
  </r>
  <r>
    <s v="Home Team"/>
    <x v="57"/>
    <n v="3"/>
  </r>
  <r>
    <s v="Home Team"/>
    <x v="58"/>
    <n v="0"/>
  </r>
  <r>
    <s v="Home Team"/>
    <x v="59"/>
    <n v="0"/>
  </r>
  <r>
    <s v="Home Team"/>
    <x v="60"/>
    <n v="3"/>
  </r>
  <r>
    <s v="Home Team"/>
    <x v="61"/>
    <n v="3"/>
  </r>
  <r>
    <s v="Home Team"/>
    <x v="62"/>
    <n v="7"/>
  </r>
  <r>
    <s v="Home Team"/>
    <x v="63"/>
    <n v="43"/>
  </r>
  <r>
    <s v="Home Team"/>
    <x v="64"/>
    <n v="50"/>
  </r>
  <r>
    <s v="Home Team"/>
    <x v="65"/>
    <n v="53"/>
  </r>
  <r>
    <s v="Home Team"/>
    <x v="66"/>
    <n v="22"/>
  </r>
  <r>
    <s v="Home Team"/>
    <x v="67"/>
    <n v="0"/>
  </r>
  <r>
    <s v="Home Team"/>
    <x v="68"/>
    <n v="0"/>
  </r>
  <r>
    <s v="Home Team"/>
    <x v="69"/>
    <n v="6"/>
  </r>
  <r>
    <s v="Home Team"/>
    <x v="70"/>
    <n v="10"/>
  </r>
  <r>
    <s v="Home Team"/>
    <x v="71"/>
    <n v="1"/>
  </r>
  <r>
    <s v="Home Team"/>
    <x v="72"/>
    <n v="0"/>
  </r>
  <r>
    <s v="Home Team"/>
    <x v="73"/>
    <n v="62"/>
  </r>
  <r>
    <s v="Home Team"/>
    <x v="74"/>
    <n v="19"/>
  </r>
  <r>
    <s v="Home Team"/>
    <x v="75"/>
    <n v="2"/>
  </r>
  <r>
    <s v="Home Team"/>
    <x v="76"/>
    <n v="42"/>
  </r>
  <r>
    <s v="Home Team"/>
    <x v="77"/>
    <n v="0"/>
  </r>
  <r>
    <s v="Away Team"/>
    <x v="0"/>
    <n v="8"/>
  </r>
  <r>
    <s v="Away Team"/>
    <x v="1"/>
    <n v="1"/>
  </r>
  <r>
    <s v="Away Team"/>
    <x v="2"/>
    <n v="22"/>
  </r>
  <r>
    <s v="Away Team"/>
    <x v="3"/>
    <n v="4"/>
  </r>
  <r>
    <s v="Away Team"/>
    <x v="4"/>
    <n v="12"/>
  </r>
  <r>
    <s v="Away Team"/>
    <x v="5"/>
    <n v="27"/>
  </r>
  <r>
    <s v="Away Team"/>
    <x v="6"/>
    <n v="0"/>
  </r>
  <r>
    <s v="Away Team"/>
    <x v="7"/>
    <n v="1"/>
  </r>
  <r>
    <s v="Away Team"/>
    <x v="8"/>
    <n v="45"/>
  </r>
  <r>
    <s v="Away Team"/>
    <x v="9"/>
    <n v="11"/>
  </r>
  <r>
    <s v="Away Team"/>
    <x v="10"/>
    <n v="7"/>
  </r>
  <r>
    <s v="Away Team"/>
    <x v="11"/>
    <n v="0"/>
  </r>
  <r>
    <s v="Away Team"/>
    <x v="12"/>
    <n v="15"/>
  </r>
  <r>
    <s v="Away Team"/>
    <x v="13"/>
    <n v="0"/>
  </r>
  <r>
    <s v="Away Team"/>
    <x v="14"/>
    <n v="8"/>
  </r>
  <r>
    <s v="Away Team"/>
    <x v="15"/>
    <n v="17"/>
  </r>
  <r>
    <s v="Away Team"/>
    <x v="16"/>
    <n v="11"/>
  </r>
  <r>
    <s v="Away Team"/>
    <x v="17"/>
    <n v="18"/>
  </r>
  <r>
    <s v="Away Team"/>
    <x v="18"/>
    <n v="0"/>
  </r>
  <r>
    <s v="Away Team"/>
    <x v="19"/>
    <n v="3"/>
  </r>
  <r>
    <s v="Away Team"/>
    <x v="20"/>
    <n v="17"/>
  </r>
  <r>
    <s v="Away Team"/>
    <x v="21"/>
    <n v="14"/>
  </r>
  <r>
    <s v="Away Team"/>
    <x v="78"/>
    <n v="0"/>
  </r>
  <r>
    <s v="Away Team"/>
    <x v="22"/>
    <n v="6"/>
  </r>
  <r>
    <s v="Away Team"/>
    <x v="79"/>
    <n v="3"/>
  </r>
  <r>
    <s v="Away Team"/>
    <x v="80"/>
    <n v="1"/>
  </r>
  <r>
    <s v="Away Team"/>
    <x v="23"/>
    <n v="25"/>
  </r>
  <r>
    <s v="Away Team"/>
    <x v="24"/>
    <n v="40"/>
  </r>
  <r>
    <s v="Away Team"/>
    <x v="25"/>
    <n v="2"/>
  </r>
  <r>
    <s v="Away Team"/>
    <x v="26"/>
    <n v="27"/>
  </r>
  <r>
    <s v="Away Team"/>
    <x v="27"/>
    <n v="32"/>
  </r>
  <r>
    <s v="Away Team"/>
    <x v="28"/>
    <n v="9"/>
  </r>
  <r>
    <s v="Away Team"/>
    <x v="29"/>
    <n v="1"/>
  </r>
  <r>
    <s v="Away Team"/>
    <x v="30"/>
    <n v="2"/>
  </r>
  <r>
    <s v="Away Team"/>
    <x v="31"/>
    <n v="1"/>
  </r>
  <r>
    <s v="Away Team"/>
    <x v="32"/>
    <n v="14"/>
  </r>
  <r>
    <s v="Away Team"/>
    <x v="33"/>
    <n v="2"/>
  </r>
  <r>
    <s v="Away Team"/>
    <x v="34"/>
    <n v="4"/>
  </r>
  <r>
    <s v="Away Team"/>
    <x v="35"/>
    <n v="0"/>
  </r>
  <r>
    <s v="Away Team"/>
    <x v="81"/>
    <n v="1"/>
  </r>
  <r>
    <s v="Away Team"/>
    <x v="36"/>
    <n v="29"/>
  </r>
  <r>
    <s v="Away Team"/>
    <x v="37"/>
    <n v="2"/>
  </r>
  <r>
    <s v="Away Team"/>
    <x v="38"/>
    <n v="7"/>
  </r>
  <r>
    <s v="Away Team"/>
    <x v="39"/>
    <n v="4"/>
  </r>
  <r>
    <s v="Away Team"/>
    <x v="40"/>
    <n v="13"/>
  </r>
  <r>
    <s v="Away Team"/>
    <x v="82"/>
    <n v="2"/>
  </r>
  <r>
    <s v="Away Team"/>
    <x v="41"/>
    <n v="35"/>
  </r>
  <r>
    <s v="Away Team"/>
    <x v="42"/>
    <n v="9"/>
  </r>
  <r>
    <s v="Away Team"/>
    <x v="43"/>
    <n v="37"/>
  </r>
  <r>
    <s v="Away Team"/>
    <x v="44"/>
    <n v="3"/>
  </r>
  <r>
    <s v="Away Team"/>
    <x v="45"/>
    <n v="8"/>
  </r>
  <r>
    <s v="Away Team"/>
    <x v="46"/>
    <n v="8"/>
  </r>
  <r>
    <s v="Away Team"/>
    <x v="47"/>
    <n v="6"/>
  </r>
  <r>
    <s v="Away Team"/>
    <x v="48"/>
    <n v="16"/>
  </r>
  <r>
    <s v="Away Team"/>
    <x v="49"/>
    <n v="6"/>
  </r>
  <r>
    <s v="Away Team"/>
    <x v="50"/>
    <n v="17"/>
  </r>
  <r>
    <s v="Away Team"/>
    <x v="51"/>
    <n v="7"/>
  </r>
  <r>
    <s v="Away Team"/>
    <x v="52"/>
    <n v="8"/>
  </r>
  <r>
    <s v="Away Team"/>
    <x v="53"/>
    <n v="15"/>
  </r>
  <r>
    <s v="Away Team"/>
    <x v="54"/>
    <n v="4"/>
  </r>
  <r>
    <s v="Away Team"/>
    <x v="55"/>
    <n v="6"/>
  </r>
  <r>
    <s v="Away Team"/>
    <x v="56"/>
    <n v="14"/>
  </r>
  <r>
    <s v="Away Team"/>
    <x v="57"/>
    <n v="4"/>
  </r>
  <r>
    <s v="Away Team"/>
    <x v="58"/>
    <n v="2"/>
  </r>
  <r>
    <s v="Away Team"/>
    <x v="59"/>
    <n v="2"/>
  </r>
  <r>
    <s v="Away Team"/>
    <x v="60"/>
    <n v="2"/>
  </r>
  <r>
    <s v="Away Team"/>
    <x v="61"/>
    <n v="2"/>
  </r>
  <r>
    <s v="Away Team"/>
    <x v="62"/>
    <n v="4"/>
  </r>
  <r>
    <s v="Away Team"/>
    <x v="63"/>
    <n v="10"/>
  </r>
  <r>
    <s v="Away Team"/>
    <x v="64"/>
    <n v="42"/>
  </r>
  <r>
    <s v="Away Team"/>
    <x v="65"/>
    <n v="21"/>
  </r>
  <r>
    <s v="Away Team"/>
    <x v="66"/>
    <n v="23"/>
  </r>
  <r>
    <s v="Away Team"/>
    <x v="67"/>
    <n v="1"/>
  </r>
  <r>
    <s v="Away Team"/>
    <x v="68"/>
    <n v="0"/>
  </r>
  <r>
    <s v="Away Team"/>
    <x v="69"/>
    <n v="2"/>
  </r>
  <r>
    <s v="Away Team"/>
    <x v="70"/>
    <n v="10"/>
  </r>
  <r>
    <s v="Away Team"/>
    <x v="71"/>
    <n v="4"/>
  </r>
  <r>
    <s v="Away Team"/>
    <x v="72"/>
    <n v="2"/>
  </r>
  <r>
    <s v="Away Team"/>
    <x v="73"/>
    <n v="18"/>
  </r>
  <r>
    <s v="Away Team"/>
    <x v="74"/>
    <n v="18"/>
  </r>
  <r>
    <s v="Away Team"/>
    <x v="75"/>
    <n v="2"/>
  </r>
  <r>
    <s v="Away Team"/>
    <x v="76"/>
    <n v="18"/>
  </r>
  <r>
    <s v="Away Team"/>
    <x v="77"/>
    <n v="0"/>
  </r>
</pivotCacheRecords>
</file>

<file path=xl/pivotCache/pivotCacheRecords3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3">
  <r>
    <x v="0"/>
    <n v="13"/>
  </r>
  <r>
    <x v="1"/>
    <n v="1"/>
  </r>
  <r>
    <x v="2"/>
    <n v="131"/>
  </r>
  <r>
    <x v="3"/>
    <n v="11"/>
  </r>
  <r>
    <x v="4"/>
    <n v="43"/>
  </r>
  <r>
    <x v="5"/>
    <n v="52"/>
  </r>
  <r>
    <x v="6"/>
    <n v="1"/>
  </r>
  <r>
    <x v="7"/>
    <n v="4"/>
  </r>
  <r>
    <x v="8"/>
    <n v="221"/>
  </r>
  <r>
    <x v="9"/>
    <n v="22"/>
  </r>
  <r>
    <x v="10"/>
    <n v="18"/>
  </r>
  <r>
    <x v="11"/>
    <n v="0"/>
  </r>
  <r>
    <x v="12"/>
    <n v="40"/>
  </r>
  <r>
    <x v="13"/>
    <n v="0"/>
  </r>
  <r>
    <x v="14"/>
    <n v="13"/>
  </r>
  <r>
    <x v="15"/>
    <n v="26"/>
  </r>
  <r>
    <x v="16"/>
    <n v="17"/>
  </r>
  <r>
    <x v="17"/>
    <n v="21"/>
  </r>
  <r>
    <x v="18"/>
    <n v="5"/>
  </r>
  <r>
    <x v="19"/>
    <n v="3"/>
  </r>
  <r>
    <x v="20"/>
    <n v="44"/>
  </r>
  <r>
    <x v="21"/>
    <n v="27"/>
  </r>
  <r>
    <x v="22"/>
    <n v="0"/>
  </r>
  <r>
    <x v="23"/>
    <n v="10"/>
  </r>
  <r>
    <x v="24"/>
    <n v="3"/>
  </r>
  <r>
    <x v="25"/>
    <n v="1"/>
  </r>
  <r>
    <x v="26"/>
    <n v="79"/>
  </r>
  <r>
    <x v="27"/>
    <n v="106"/>
  </r>
  <r>
    <x v="28"/>
    <n v="5"/>
  </r>
  <r>
    <x v="28"/>
    <n v="93"/>
  </r>
  <r>
    <x v="28"/>
    <n v="131"/>
  </r>
  <r>
    <x v="29"/>
    <n v="13"/>
  </r>
  <r>
    <x v="30"/>
    <n v="5"/>
  </r>
  <r>
    <x v="31"/>
    <n v="2"/>
  </r>
  <r>
    <x v="32"/>
    <n v="3"/>
  </r>
  <r>
    <x v="33"/>
    <n v="87"/>
  </r>
  <r>
    <x v="34"/>
    <n v="2"/>
  </r>
  <r>
    <x v="34"/>
    <n v="5"/>
  </r>
  <r>
    <x v="35"/>
    <n v="1"/>
  </r>
  <r>
    <x v="36"/>
    <n v="1"/>
  </r>
  <r>
    <x v="37"/>
    <n v="128"/>
  </r>
  <r>
    <x v="38"/>
    <n v="3"/>
  </r>
  <r>
    <x v="39"/>
    <n v="14"/>
  </r>
  <r>
    <x v="40"/>
    <n v="6"/>
  </r>
  <r>
    <x v="41"/>
    <n v="31"/>
  </r>
  <r>
    <x v="42"/>
    <n v="2"/>
  </r>
  <r>
    <x v="43"/>
    <n v="57"/>
  </r>
  <r>
    <x v="44"/>
    <n v="12"/>
  </r>
  <r>
    <x v="45"/>
    <n v="86"/>
  </r>
  <r>
    <x v="46"/>
    <n v="4"/>
  </r>
  <r>
    <x v="47"/>
    <n v="20"/>
  </r>
  <r>
    <x v="48"/>
    <n v="13"/>
  </r>
  <r>
    <x v="49"/>
    <n v="7"/>
  </r>
  <r>
    <x v="50"/>
    <n v="30"/>
  </r>
  <r>
    <x v="51"/>
    <n v="19"/>
  </r>
  <r>
    <x v="52"/>
    <n v="44"/>
  </r>
  <r>
    <x v="53"/>
    <n v="43"/>
  </r>
  <r>
    <x v="54"/>
    <n v="10"/>
  </r>
  <r>
    <x v="55"/>
    <n v="30"/>
  </r>
  <r>
    <x v="56"/>
    <n v="13"/>
  </r>
  <r>
    <x v="57"/>
    <n v="9"/>
  </r>
  <r>
    <x v="58"/>
    <n v="25"/>
  </r>
  <r>
    <x v="59"/>
    <n v="7"/>
  </r>
  <r>
    <x v="60"/>
    <n v="2"/>
  </r>
  <r>
    <x v="61"/>
    <n v="2"/>
  </r>
  <r>
    <x v="62"/>
    <n v="5"/>
  </r>
  <r>
    <x v="63"/>
    <n v="5"/>
  </r>
  <r>
    <x v="64"/>
    <n v="11"/>
  </r>
  <r>
    <x v="65"/>
    <n v="53"/>
  </r>
  <r>
    <x v="66"/>
    <n v="92"/>
  </r>
  <r>
    <x v="67"/>
    <n v="74"/>
  </r>
  <r>
    <x v="68"/>
    <n v="45"/>
  </r>
  <r>
    <x v="69"/>
    <n v="1"/>
  </r>
  <r>
    <x v="70"/>
    <n v="0"/>
  </r>
  <r>
    <x v="71"/>
    <n v="8"/>
  </r>
  <r>
    <x v="72"/>
    <n v="20"/>
  </r>
  <r>
    <x v="73"/>
    <n v="5"/>
  </r>
  <r>
    <x v="74"/>
    <n v="2"/>
  </r>
  <r>
    <x v="75"/>
    <n v="80"/>
  </r>
  <r>
    <x v="76"/>
    <n v="37"/>
  </r>
  <r>
    <x v="77"/>
    <n v="4"/>
  </r>
  <r>
    <x v="78"/>
    <n v="60"/>
  </r>
  <r>
    <x v="79"/>
    <n v="0"/>
  </r>
</pivotCacheRecords>
</file>

<file path=xl/pivotCache/pivotCacheRecords4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8">
  <r>
    <s v="Home Team"/>
    <x v="0"/>
    <n v="5"/>
  </r>
  <r>
    <s v="Home Team"/>
    <x v="1"/>
    <n v="4"/>
  </r>
  <r>
    <s v="Home Team"/>
    <x v="2"/>
    <n v="2"/>
  </r>
  <r>
    <s v="Home Team"/>
    <x v="3"/>
    <n v="2"/>
  </r>
  <r>
    <s v="Home Team"/>
    <x v="4"/>
    <n v="2"/>
  </r>
  <r>
    <s v="Home Team"/>
    <x v="5"/>
    <n v="2"/>
  </r>
  <r>
    <s v="Home Team"/>
    <x v="6"/>
    <n v="1"/>
  </r>
  <r>
    <s v="Home Team"/>
    <x v="7"/>
    <n v="1"/>
  </r>
  <r>
    <s v="Away Team"/>
    <x v="2"/>
    <n v="4"/>
  </r>
  <r>
    <s v="Away Team"/>
    <x v="4"/>
    <n v="3"/>
  </r>
  <r>
    <s v="Away Team"/>
    <x v="8"/>
    <n v="2"/>
  </r>
  <r>
    <s v="Away Team"/>
    <x v="1"/>
    <n v="2"/>
  </r>
  <r>
    <s v="Away Team"/>
    <x v="9"/>
    <n v="2"/>
  </r>
  <r>
    <s v="Away Team"/>
    <x v="10"/>
    <n v="2"/>
  </r>
  <r>
    <s v="Away Team"/>
    <x v="11"/>
    <n v="1"/>
  </r>
  <r>
    <s v="Away Team"/>
    <x v="12"/>
    <n v="1"/>
  </r>
  <r>
    <s v="Away Team"/>
    <x v="0"/>
    <n v="1"/>
  </r>
  <r>
    <s v="Away Team"/>
    <x v="3"/>
    <n v="1"/>
  </r>
</pivotCacheRecords>
</file>

<file path=xl/pivotCache/pivotCacheRecords5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54">
  <r>
    <x v="0"/>
    <x v="0"/>
    <x v="0"/>
    <s v="Argentina"/>
    <x v="0"/>
  </r>
  <r>
    <x v="0"/>
    <x v="0"/>
    <x v="0"/>
    <s v="Uruguay"/>
    <x v="1"/>
  </r>
  <r>
    <x v="0"/>
    <x v="0"/>
    <x v="1"/>
    <s v="Uruguay"/>
    <x v="1"/>
  </r>
  <r>
    <x v="0"/>
    <x v="1"/>
    <x v="2"/>
    <s v="Czechoslovakia"/>
    <x v="2"/>
  </r>
  <r>
    <x v="0"/>
    <x v="1"/>
    <x v="2"/>
    <s v="Germany"/>
    <x v="3"/>
  </r>
  <r>
    <x v="0"/>
    <x v="1"/>
    <x v="2"/>
    <s v="Italy"/>
    <x v="4"/>
  </r>
  <r>
    <x v="0"/>
    <x v="1"/>
    <x v="2"/>
    <s v="Austria"/>
    <x v="5"/>
  </r>
  <r>
    <x v="0"/>
    <x v="1"/>
    <x v="2"/>
    <s v="Italy"/>
    <x v="4"/>
  </r>
  <r>
    <x v="0"/>
    <x v="1"/>
    <x v="0"/>
    <s v="Italy"/>
    <x v="4"/>
  </r>
  <r>
    <x v="0"/>
    <x v="1"/>
    <x v="0"/>
    <s v="Czechoslovakia"/>
    <x v="2"/>
  </r>
  <r>
    <x v="0"/>
    <x v="1"/>
    <x v="3"/>
    <s v="Germany"/>
    <x v="3"/>
  </r>
  <r>
    <x v="0"/>
    <x v="1"/>
    <x v="1"/>
    <s v="Italy"/>
    <x v="4"/>
  </r>
  <r>
    <x v="0"/>
    <x v="2"/>
    <x v="2"/>
    <s v="Brazil"/>
    <x v="6"/>
  </r>
  <r>
    <x v="0"/>
    <x v="2"/>
    <x v="2"/>
    <s v="Hungary"/>
    <x v="7"/>
  </r>
  <r>
    <x v="0"/>
    <x v="2"/>
    <x v="2"/>
    <s v="Sweden"/>
    <x v="8"/>
  </r>
  <r>
    <x v="0"/>
    <x v="2"/>
    <x v="2"/>
    <s v="Italy"/>
    <x v="4"/>
  </r>
  <r>
    <x v="0"/>
    <x v="2"/>
    <x v="2"/>
    <s v="Brazil"/>
    <x v="6"/>
  </r>
  <r>
    <x v="0"/>
    <x v="2"/>
    <x v="0"/>
    <s v="Hungary"/>
    <x v="7"/>
  </r>
  <r>
    <x v="0"/>
    <x v="2"/>
    <x v="0"/>
    <s v="Italy"/>
    <x v="4"/>
  </r>
  <r>
    <x v="0"/>
    <x v="2"/>
    <x v="3"/>
    <s v="Brazil"/>
    <x v="6"/>
  </r>
  <r>
    <x v="0"/>
    <x v="2"/>
    <x v="1"/>
    <s v="Italy"/>
    <x v="4"/>
  </r>
  <r>
    <x v="0"/>
    <x v="3"/>
    <x v="4"/>
    <s v="Uruguay"/>
    <x v="1"/>
  </r>
  <r>
    <x v="0"/>
    <x v="3"/>
    <x v="4"/>
    <s v="Brazil"/>
    <x v="6"/>
  </r>
  <r>
    <x v="0"/>
    <x v="3"/>
    <x v="4"/>
    <s v="Brazil"/>
    <x v="6"/>
  </r>
  <r>
    <x v="0"/>
    <x v="3"/>
    <x v="4"/>
    <s v="Uruguay"/>
    <x v="1"/>
  </r>
  <r>
    <x v="0"/>
    <x v="3"/>
    <x v="4"/>
    <s v="Sweden"/>
    <x v="8"/>
  </r>
  <r>
    <x v="0"/>
    <x v="3"/>
    <x v="4"/>
    <s v="Uruguay"/>
    <x v="1"/>
  </r>
  <r>
    <x v="0"/>
    <x v="4"/>
    <x v="2"/>
    <s v="Uruguay"/>
    <x v="1"/>
  </r>
  <r>
    <x v="0"/>
    <x v="4"/>
    <x v="2"/>
    <s v="Austria"/>
    <x v="5"/>
  </r>
  <r>
    <x v="0"/>
    <x v="4"/>
    <x v="2"/>
    <s v="Germany FR"/>
    <x v="3"/>
  </r>
  <r>
    <x v="0"/>
    <x v="4"/>
    <x v="2"/>
    <s v="Hungary"/>
    <x v="7"/>
  </r>
  <r>
    <x v="0"/>
    <x v="4"/>
    <x v="0"/>
    <s v="Germany FR"/>
    <x v="3"/>
  </r>
  <r>
    <x v="0"/>
    <x v="4"/>
    <x v="0"/>
    <s v="Hungary"/>
    <x v="7"/>
  </r>
  <r>
    <x v="0"/>
    <x v="4"/>
    <x v="3"/>
    <s v="Austria"/>
    <x v="5"/>
  </r>
  <r>
    <x v="0"/>
    <x v="4"/>
    <x v="1"/>
    <s v="Germany FR"/>
    <x v="3"/>
  </r>
  <r>
    <x v="0"/>
    <x v="5"/>
    <x v="2"/>
    <s v="Brazil"/>
    <x v="6"/>
  </r>
  <r>
    <x v="0"/>
    <x v="5"/>
    <x v="2"/>
    <s v="Germany FR"/>
    <x v="3"/>
  </r>
  <r>
    <x v="0"/>
    <x v="5"/>
    <x v="2"/>
    <s v="Sweden"/>
    <x v="8"/>
  </r>
  <r>
    <x v="0"/>
    <x v="5"/>
    <x v="2"/>
    <s v="France"/>
    <x v="9"/>
  </r>
  <r>
    <x v="0"/>
    <x v="5"/>
    <x v="0"/>
    <s v="Sweden"/>
    <x v="8"/>
  </r>
  <r>
    <x v="0"/>
    <x v="5"/>
    <x v="0"/>
    <s v="Brazil"/>
    <x v="6"/>
  </r>
  <r>
    <x v="0"/>
    <x v="5"/>
    <x v="3"/>
    <s v="France"/>
    <x v="9"/>
  </r>
  <r>
    <x v="0"/>
    <x v="5"/>
    <x v="1"/>
    <s v="Brazil"/>
    <x v="6"/>
  </r>
  <r>
    <x v="0"/>
    <x v="6"/>
    <x v="2"/>
    <s v="Chile"/>
    <x v="10"/>
  </r>
  <r>
    <x v="0"/>
    <x v="6"/>
    <x v="2"/>
    <s v="Brazil"/>
    <x v="6"/>
  </r>
  <r>
    <x v="0"/>
    <x v="6"/>
    <x v="2"/>
    <s v="Czechoslovakia"/>
    <x v="2"/>
  </r>
  <r>
    <x v="0"/>
    <x v="6"/>
    <x v="2"/>
    <s v="Yugoslavia"/>
    <x v="11"/>
  </r>
  <r>
    <x v="0"/>
    <x v="6"/>
    <x v="0"/>
    <s v="Czechoslovakia"/>
    <x v="2"/>
  </r>
  <r>
    <x v="0"/>
    <x v="6"/>
    <x v="0"/>
    <s v="Brazil"/>
    <x v="6"/>
  </r>
  <r>
    <x v="0"/>
    <x v="6"/>
    <x v="3"/>
    <s v="Chile"/>
    <x v="10"/>
  </r>
  <r>
    <x v="0"/>
    <x v="6"/>
    <x v="1"/>
    <s v="Brazil"/>
    <x v="6"/>
  </r>
  <r>
    <x v="0"/>
    <x v="7"/>
    <x v="2"/>
    <s v="England"/>
    <x v="12"/>
  </r>
  <r>
    <x v="0"/>
    <x v="7"/>
    <x v="2"/>
    <s v="Germany FR"/>
    <x v="3"/>
  </r>
  <r>
    <x v="0"/>
    <x v="7"/>
    <x v="2"/>
    <s v="Soviet Union"/>
    <x v="13"/>
  </r>
  <r>
    <x v="0"/>
    <x v="7"/>
    <x v="2"/>
    <s v="Portugal"/>
    <x v="14"/>
  </r>
  <r>
    <x v="0"/>
    <x v="7"/>
    <x v="0"/>
    <s v="Germany FR"/>
    <x v="3"/>
  </r>
  <r>
    <x v="0"/>
    <x v="7"/>
    <x v="0"/>
    <s v="England"/>
    <x v="12"/>
  </r>
  <r>
    <x v="0"/>
    <x v="7"/>
    <x v="3"/>
    <s v="Portugal"/>
    <x v="14"/>
  </r>
  <r>
    <x v="0"/>
    <x v="7"/>
    <x v="1"/>
    <s v="England"/>
    <x v="12"/>
  </r>
  <r>
    <x v="0"/>
    <x v="8"/>
    <x v="2"/>
    <s v="Italy"/>
    <x v="4"/>
  </r>
  <r>
    <x v="0"/>
    <x v="8"/>
    <x v="2"/>
    <s v="Germany FR"/>
    <x v="3"/>
  </r>
  <r>
    <x v="0"/>
    <x v="8"/>
    <x v="2"/>
    <s v="Brazil"/>
    <x v="6"/>
  </r>
  <r>
    <x v="0"/>
    <x v="8"/>
    <x v="2"/>
    <s v="Uruguay"/>
    <x v="1"/>
  </r>
  <r>
    <x v="0"/>
    <x v="8"/>
    <x v="0"/>
    <s v="Brazil"/>
    <x v="6"/>
  </r>
  <r>
    <x v="0"/>
    <x v="8"/>
    <x v="0"/>
    <s v="Italy"/>
    <x v="4"/>
  </r>
  <r>
    <x v="0"/>
    <x v="8"/>
    <x v="3"/>
    <s v="Germany FR"/>
    <x v="3"/>
  </r>
  <r>
    <x v="0"/>
    <x v="8"/>
    <x v="1"/>
    <s v="Brazil"/>
    <x v="6"/>
  </r>
  <r>
    <x v="0"/>
    <x v="9"/>
    <x v="5"/>
    <s v="Yugoslavia"/>
    <x v="11"/>
  </r>
  <r>
    <x v="0"/>
    <x v="9"/>
    <x v="6"/>
    <s v="Brazil"/>
    <x v="6"/>
  </r>
  <r>
    <x v="0"/>
    <x v="9"/>
    <x v="6"/>
    <s v="Netherlands"/>
    <x v="15"/>
  </r>
  <r>
    <x v="0"/>
    <x v="9"/>
    <x v="5"/>
    <s v="Sweden"/>
    <x v="8"/>
  </r>
  <r>
    <x v="0"/>
    <x v="9"/>
    <x v="6"/>
    <s v="Argentina"/>
    <x v="0"/>
  </r>
  <r>
    <x v="0"/>
    <x v="9"/>
    <x v="5"/>
    <s v="Poland"/>
    <x v="16"/>
  </r>
  <r>
    <x v="0"/>
    <x v="9"/>
    <x v="6"/>
    <s v="German DR"/>
    <x v="3"/>
  </r>
  <r>
    <x v="0"/>
    <x v="9"/>
    <x v="5"/>
    <s v="Germany FR"/>
    <x v="3"/>
  </r>
  <r>
    <x v="0"/>
    <x v="9"/>
    <x v="5"/>
    <s v="Poland"/>
    <x v="16"/>
  </r>
  <r>
    <x v="0"/>
    <x v="9"/>
    <x v="6"/>
    <s v="Netherlands"/>
    <x v="15"/>
  </r>
  <r>
    <x v="0"/>
    <x v="9"/>
    <x v="6"/>
    <s v="Argentina"/>
    <x v="0"/>
  </r>
  <r>
    <x v="0"/>
    <x v="9"/>
    <x v="5"/>
    <s v="Sweden"/>
    <x v="8"/>
  </r>
  <r>
    <x v="0"/>
    <x v="9"/>
    <x v="3"/>
    <s v="Brazil"/>
    <x v="6"/>
  </r>
  <r>
    <x v="0"/>
    <x v="9"/>
    <x v="1"/>
    <s v="Netherlands"/>
    <x v="15"/>
  </r>
  <r>
    <x v="0"/>
    <x v="10"/>
    <x v="6"/>
    <s v="Germany FR"/>
    <x v="3"/>
  </r>
  <r>
    <x v="0"/>
    <x v="10"/>
    <x v="6"/>
    <s v="Netherlands"/>
    <x v="15"/>
  </r>
  <r>
    <x v="0"/>
    <x v="10"/>
    <x v="5"/>
    <s v="Brazil"/>
    <x v="6"/>
  </r>
  <r>
    <x v="0"/>
    <x v="10"/>
    <x v="5"/>
    <s v="Argentina"/>
    <x v="0"/>
  </r>
  <r>
    <x v="0"/>
    <x v="10"/>
    <x v="5"/>
    <s v="Poland"/>
    <x v="16"/>
  </r>
  <r>
    <x v="0"/>
    <x v="10"/>
    <x v="6"/>
    <s v="Italy"/>
    <x v="4"/>
  </r>
  <r>
    <x v="0"/>
    <x v="10"/>
    <x v="6"/>
    <s v="Germany FR"/>
    <x v="3"/>
  </r>
  <r>
    <x v="0"/>
    <x v="10"/>
    <x v="5"/>
    <s v="Argentina"/>
    <x v="0"/>
  </r>
  <r>
    <x v="0"/>
    <x v="10"/>
    <x v="6"/>
    <s v="Netherlands"/>
    <x v="15"/>
  </r>
  <r>
    <x v="0"/>
    <x v="10"/>
    <x v="6"/>
    <s v="Austria"/>
    <x v="5"/>
  </r>
  <r>
    <x v="0"/>
    <x v="10"/>
    <x v="5"/>
    <s v="Brazil"/>
    <x v="6"/>
  </r>
  <r>
    <x v="0"/>
    <x v="10"/>
    <x v="5"/>
    <s v="Argentina"/>
    <x v="0"/>
  </r>
  <r>
    <x v="0"/>
    <x v="10"/>
    <x v="3"/>
    <s v="Brazil"/>
    <x v="6"/>
  </r>
  <r>
    <x v="0"/>
    <x v="10"/>
    <x v="1"/>
    <s v="Argentina"/>
    <x v="0"/>
  </r>
  <r>
    <x v="0"/>
    <x v="11"/>
    <x v="0"/>
    <s v="Poland"/>
    <x v="16"/>
  </r>
  <r>
    <x v="0"/>
    <x v="11"/>
    <x v="0"/>
    <s v="Germany FR"/>
    <x v="3"/>
  </r>
  <r>
    <x v="0"/>
    <x v="11"/>
    <x v="3"/>
    <s v="Poland"/>
    <x v="16"/>
  </r>
  <r>
    <x v="0"/>
    <x v="11"/>
    <x v="1"/>
    <s v="Italy"/>
    <x v="4"/>
  </r>
  <r>
    <x v="0"/>
    <x v="12"/>
    <x v="7"/>
    <s v="Soviet Union"/>
    <x v="13"/>
  </r>
  <r>
    <x v="0"/>
    <x v="12"/>
    <x v="7"/>
    <s v="Mexico"/>
    <x v="17"/>
  </r>
  <r>
    <x v="0"/>
    <x v="12"/>
    <x v="7"/>
    <s v="Argentina"/>
    <x v="0"/>
  </r>
  <r>
    <x v="0"/>
    <x v="12"/>
    <x v="7"/>
    <s v="Brazil"/>
    <x v="6"/>
  </r>
  <r>
    <x v="0"/>
    <x v="12"/>
    <x v="7"/>
    <s v="Italy"/>
    <x v="4"/>
  </r>
  <r>
    <x v="0"/>
    <x v="12"/>
    <x v="7"/>
    <s v="Morocco"/>
    <x v="18"/>
  </r>
  <r>
    <x v="0"/>
    <x v="12"/>
    <x v="7"/>
    <s v="England"/>
    <x v="12"/>
  </r>
  <r>
    <x v="0"/>
    <x v="12"/>
    <x v="7"/>
    <s v="Denmark"/>
    <x v="19"/>
  </r>
  <r>
    <x v="0"/>
    <x v="12"/>
    <x v="2"/>
    <s v="Brazil"/>
    <x v="6"/>
  </r>
  <r>
    <x v="0"/>
    <x v="12"/>
    <x v="2"/>
    <s v="Germany FR"/>
    <x v="3"/>
  </r>
  <r>
    <x v="0"/>
    <x v="12"/>
    <x v="2"/>
    <s v="Spain"/>
    <x v="20"/>
  </r>
  <r>
    <x v="0"/>
    <x v="12"/>
    <x v="2"/>
    <s v="Argentina"/>
    <x v="0"/>
  </r>
  <r>
    <x v="0"/>
    <x v="12"/>
    <x v="0"/>
    <s v="France"/>
    <x v="9"/>
  </r>
  <r>
    <x v="0"/>
    <x v="12"/>
    <x v="0"/>
    <s v="Argentina"/>
    <x v="0"/>
  </r>
  <r>
    <x v="0"/>
    <x v="12"/>
    <x v="3"/>
    <s v="France"/>
    <x v="9"/>
  </r>
  <r>
    <x v="0"/>
    <x v="12"/>
    <x v="1"/>
    <s v="Argentina"/>
    <x v="0"/>
  </r>
  <r>
    <x v="0"/>
    <x v="13"/>
    <x v="7"/>
    <s v="Cameroon"/>
    <x v="21"/>
  </r>
  <r>
    <x v="0"/>
    <x v="13"/>
    <x v="7"/>
    <s v="Czechoslovakia"/>
    <x v="2"/>
  </r>
  <r>
    <x v="0"/>
    <x v="13"/>
    <x v="7"/>
    <s v="Brazil"/>
    <x v="6"/>
  </r>
  <r>
    <x v="0"/>
    <x v="13"/>
    <x v="7"/>
    <s v="Germany FR"/>
    <x v="3"/>
  </r>
  <r>
    <x v="0"/>
    <x v="13"/>
    <x v="7"/>
    <s v="Republic of Ireland"/>
    <x v="22"/>
  </r>
  <r>
    <x v="0"/>
    <x v="13"/>
    <x v="7"/>
    <s v="Italy"/>
    <x v="4"/>
  </r>
  <r>
    <x v="0"/>
    <x v="13"/>
    <x v="7"/>
    <s v="Spain"/>
    <x v="20"/>
  </r>
  <r>
    <x v="0"/>
    <x v="13"/>
    <x v="7"/>
    <s v="England"/>
    <x v="12"/>
  </r>
  <r>
    <x v="0"/>
    <x v="13"/>
    <x v="2"/>
    <s v="Yugoslavia"/>
    <x v="11"/>
  </r>
  <r>
    <x v="0"/>
    <x v="13"/>
    <x v="2"/>
    <s v="Italy"/>
    <x v="4"/>
  </r>
  <r>
    <x v="0"/>
    <x v="13"/>
    <x v="2"/>
    <s v="Germany FR"/>
    <x v="3"/>
  </r>
  <r>
    <x v="0"/>
    <x v="13"/>
    <x v="2"/>
    <s v="England"/>
    <x v="12"/>
  </r>
  <r>
    <x v="0"/>
    <x v="13"/>
    <x v="0"/>
    <s v="Italy"/>
    <x v="4"/>
  </r>
  <r>
    <x v="0"/>
    <x v="13"/>
    <x v="0"/>
    <s v="Germany FR"/>
    <x v="3"/>
  </r>
  <r>
    <x v="0"/>
    <x v="13"/>
    <x v="3"/>
    <s v="Italy"/>
    <x v="4"/>
  </r>
  <r>
    <x v="0"/>
    <x v="13"/>
    <x v="1"/>
    <s v="Germany FR"/>
    <x v="3"/>
  </r>
  <r>
    <x v="0"/>
    <x v="14"/>
    <x v="7"/>
    <s v="Germany"/>
    <x v="3"/>
  </r>
  <r>
    <x v="0"/>
    <x v="14"/>
    <x v="7"/>
    <s v="Spain"/>
    <x v="20"/>
  </r>
  <r>
    <x v="0"/>
    <x v="14"/>
    <x v="7"/>
    <s v="Saudi Arabia"/>
    <x v="23"/>
  </r>
  <r>
    <x v="0"/>
    <x v="14"/>
    <x v="7"/>
    <s v="Romania"/>
    <x v="24"/>
  </r>
  <r>
    <x v="0"/>
    <x v="14"/>
    <x v="7"/>
    <s v="Netherlands"/>
    <x v="15"/>
  </r>
  <r>
    <x v="0"/>
    <x v="14"/>
    <x v="7"/>
    <s v="Brazil"/>
    <x v="6"/>
  </r>
  <r>
    <x v="0"/>
    <x v="14"/>
    <x v="7"/>
    <s v="Nigeria"/>
    <x v="25"/>
  </r>
  <r>
    <x v="0"/>
    <x v="14"/>
    <x v="7"/>
    <s v="Mexico"/>
    <x v="17"/>
  </r>
  <r>
    <x v="0"/>
    <x v="14"/>
    <x v="2"/>
    <s v="Italy"/>
    <x v="4"/>
  </r>
  <r>
    <x v="0"/>
    <x v="14"/>
    <x v="2"/>
    <s v="Netherlands"/>
    <x v="15"/>
  </r>
  <r>
    <x v="0"/>
    <x v="14"/>
    <x v="2"/>
    <s v="Bulgaria"/>
    <x v="26"/>
  </r>
  <r>
    <x v="0"/>
    <x v="14"/>
    <x v="2"/>
    <s v="Romania"/>
    <x v="24"/>
  </r>
  <r>
    <x v="0"/>
    <x v="14"/>
    <x v="0"/>
    <s v="Bulgaria"/>
    <x v="26"/>
  </r>
  <r>
    <x v="0"/>
    <x v="14"/>
    <x v="0"/>
    <s v="Sweden"/>
    <x v="8"/>
  </r>
  <r>
    <x v="0"/>
    <x v="14"/>
    <x v="3"/>
    <s v="Sweden"/>
    <x v="8"/>
  </r>
  <r>
    <x v="0"/>
    <x v="14"/>
    <x v="1"/>
    <s v="Brazil"/>
    <x v="6"/>
  </r>
  <r>
    <x v="0"/>
    <x v="15"/>
    <x v="7"/>
    <s v="Italy"/>
    <x v="4"/>
  </r>
  <r>
    <x v="0"/>
    <x v="15"/>
    <x v="7"/>
    <s v="Brazil"/>
    <x v="6"/>
  </r>
  <r>
    <x v="0"/>
    <x v="15"/>
    <x v="7"/>
    <s v="France"/>
    <x v="9"/>
  </r>
  <r>
    <x v="0"/>
    <x v="15"/>
    <x v="7"/>
    <s v="Nigeria"/>
    <x v="25"/>
  </r>
  <r>
    <x v="0"/>
    <x v="15"/>
    <x v="7"/>
    <s v="Germany"/>
    <x v="3"/>
  </r>
  <r>
    <x v="0"/>
    <x v="15"/>
    <x v="7"/>
    <s v="Netherlands"/>
    <x v="15"/>
  </r>
  <r>
    <x v="0"/>
    <x v="15"/>
    <x v="7"/>
    <s v="Romania"/>
    <x v="24"/>
  </r>
  <r>
    <x v="0"/>
    <x v="15"/>
    <x v="7"/>
    <s v="Argentina"/>
    <x v="0"/>
  </r>
  <r>
    <x v="0"/>
    <x v="15"/>
    <x v="2"/>
    <s v="Italy"/>
    <x v="4"/>
  </r>
  <r>
    <x v="0"/>
    <x v="15"/>
    <x v="2"/>
    <s v="Brazil"/>
    <x v="6"/>
  </r>
  <r>
    <x v="0"/>
    <x v="15"/>
    <x v="2"/>
    <s v="Netherlands"/>
    <x v="15"/>
  </r>
  <r>
    <x v="0"/>
    <x v="15"/>
    <x v="2"/>
    <s v="Germany"/>
    <x v="3"/>
  </r>
  <r>
    <x v="0"/>
    <x v="15"/>
    <x v="0"/>
    <s v="Brazil"/>
    <x v="6"/>
  </r>
  <r>
    <x v="0"/>
    <x v="15"/>
    <x v="0"/>
    <s v="France"/>
    <x v="9"/>
  </r>
  <r>
    <x v="0"/>
    <x v="15"/>
    <x v="3"/>
    <s v="Netherlands"/>
    <x v="15"/>
  </r>
  <r>
    <x v="0"/>
    <x v="15"/>
    <x v="1"/>
    <s v="Brazil"/>
    <x v="6"/>
  </r>
  <r>
    <x v="0"/>
    <x v="16"/>
    <x v="7"/>
    <s v="Denmark"/>
    <x v="19"/>
  </r>
  <r>
    <x v="0"/>
    <x v="16"/>
    <x v="7"/>
    <s v="Germany"/>
    <x v="3"/>
  </r>
  <r>
    <x v="0"/>
    <x v="16"/>
    <x v="7"/>
    <s v="Spain"/>
    <x v="20"/>
  </r>
  <r>
    <x v="0"/>
    <x v="16"/>
    <x v="7"/>
    <s v="Sweden"/>
    <x v="8"/>
  </r>
  <r>
    <x v="0"/>
    <x v="16"/>
    <x v="7"/>
    <s v="Brazil"/>
    <x v="6"/>
  </r>
  <r>
    <x v="0"/>
    <x v="16"/>
    <x v="7"/>
    <s v="Mexico"/>
    <x v="17"/>
  </r>
  <r>
    <x v="0"/>
    <x v="16"/>
    <x v="7"/>
    <s v="Japan"/>
    <x v="27"/>
  </r>
  <r>
    <x v="0"/>
    <x v="16"/>
    <x v="7"/>
    <s v="Korea Republic"/>
    <x v="28"/>
  </r>
  <r>
    <x v="0"/>
    <x v="16"/>
    <x v="2"/>
    <s v="England"/>
    <x v="12"/>
  </r>
  <r>
    <x v="0"/>
    <x v="16"/>
    <x v="2"/>
    <s v="Germany"/>
    <x v="3"/>
  </r>
  <r>
    <x v="0"/>
    <x v="16"/>
    <x v="2"/>
    <s v="Senegal"/>
    <x v="29"/>
  </r>
  <r>
    <x v="0"/>
    <x v="16"/>
    <x v="2"/>
    <s v="Spain"/>
    <x v="20"/>
  </r>
  <r>
    <x v="0"/>
    <x v="16"/>
    <x v="0"/>
    <s v="Germany"/>
    <x v="3"/>
  </r>
  <r>
    <x v="0"/>
    <x v="16"/>
    <x v="0"/>
    <s v="Brazil"/>
    <x v="6"/>
  </r>
  <r>
    <x v="0"/>
    <x v="16"/>
    <x v="8"/>
    <s v="Korea Republic"/>
    <x v="28"/>
  </r>
  <r>
    <x v="0"/>
    <x v="16"/>
    <x v="1"/>
    <s v="Germany"/>
    <x v="3"/>
  </r>
  <r>
    <x v="0"/>
    <x v="17"/>
    <x v="7"/>
    <s v="Germany"/>
    <x v="3"/>
  </r>
  <r>
    <x v="0"/>
    <x v="17"/>
    <x v="7"/>
    <s v="Argentina"/>
    <x v="0"/>
  </r>
  <r>
    <x v="0"/>
    <x v="17"/>
    <x v="7"/>
    <s v="England"/>
    <x v="12"/>
  </r>
  <r>
    <x v="0"/>
    <x v="17"/>
    <x v="7"/>
    <s v="Portugal"/>
    <x v="14"/>
  </r>
  <r>
    <x v="0"/>
    <x v="17"/>
    <x v="7"/>
    <s v="Italy"/>
    <x v="4"/>
  </r>
  <r>
    <x v="0"/>
    <x v="17"/>
    <x v="7"/>
    <s v="Switzerland"/>
    <x v="30"/>
  </r>
  <r>
    <x v="0"/>
    <x v="17"/>
    <x v="7"/>
    <s v="Brazil"/>
    <x v="6"/>
  </r>
  <r>
    <x v="0"/>
    <x v="17"/>
    <x v="7"/>
    <s v="Spain"/>
    <x v="20"/>
  </r>
  <r>
    <x v="0"/>
    <x v="17"/>
    <x v="2"/>
    <s v="Germany"/>
    <x v="3"/>
  </r>
  <r>
    <x v="0"/>
    <x v="17"/>
    <x v="2"/>
    <s v="Italy"/>
    <x v="4"/>
  </r>
  <r>
    <x v="0"/>
    <x v="17"/>
    <x v="2"/>
    <s v="England"/>
    <x v="12"/>
  </r>
  <r>
    <x v="0"/>
    <x v="17"/>
    <x v="2"/>
    <s v="Brazil"/>
    <x v="6"/>
  </r>
  <r>
    <x v="0"/>
    <x v="17"/>
    <x v="0"/>
    <s v="Germany"/>
    <x v="3"/>
  </r>
  <r>
    <x v="0"/>
    <x v="17"/>
    <x v="0"/>
    <s v="Portugal"/>
    <x v="14"/>
  </r>
  <r>
    <x v="0"/>
    <x v="17"/>
    <x v="8"/>
    <s v="Germany"/>
    <x v="3"/>
  </r>
  <r>
    <x v="0"/>
    <x v="17"/>
    <x v="1"/>
    <s v="Italy"/>
    <x v="4"/>
  </r>
  <r>
    <x v="0"/>
    <x v="18"/>
    <x v="7"/>
    <s v="Uruguay"/>
    <x v="1"/>
  </r>
  <r>
    <x v="0"/>
    <x v="18"/>
    <x v="7"/>
    <s v="USA"/>
    <x v="31"/>
  </r>
  <r>
    <x v="0"/>
    <x v="18"/>
    <x v="7"/>
    <s v="Germany"/>
    <x v="3"/>
  </r>
  <r>
    <x v="0"/>
    <x v="18"/>
    <x v="7"/>
    <s v="Argentina"/>
    <x v="0"/>
  </r>
  <r>
    <x v="0"/>
    <x v="18"/>
    <x v="7"/>
    <s v="Netherlands"/>
    <x v="15"/>
  </r>
  <r>
    <x v="0"/>
    <x v="18"/>
    <x v="7"/>
    <s v="Brazil"/>
    <x v="6"/>
  </r>
  <r>
    <x v="0"/>
    <x v="18"/>
    <x v="7"/>
    <s v="Paraguay"/>
    <x v="32"/>
  </r>
  <r>
    <x v="0"/>
    <x v="18"/>
    <x v="7"/>
    <s v="Spain"/>
    <x v="20"/>
  </r>
  <r>
    <x v="0"/>
    <x v="18"/>
    <x v="2"/>
    <s v="Netherlands"/>
    <x v="15"/>
  </r>
  <r>
    <x v="0"/>
    <x v="18"/>
    <x v="2"/>
    <s v="Uruguay"/>
    <x v="1"/>
  </r>
  <r>
    <x v="0"/>
    <x v="18"/>
    <x v="2"/>
    <s v="Argentina"/>
    <x v="0"/>
  </r>
  <r>
    <x v="0"/>
    <x v="18"/>
    <x v="2"/>
    <s v="Paraguay"/>
    <x v="32"/>
  </r>
  <r>
    <x v="0"/>
    <x v="18"/>
    <x v="0"/>
    <s v="Uruguay"/>
    <x v="1"/>
  </r>
  <r>
    <x v="0"/>
    <x v="18"/>
    <x v="0"/>
    <s v="Germany"/>
    <x v="3"/>
  </r>
  <r>
    <x v="0"/>
    <x v="18"/>
    <x v="3"/>
    <s v="Uruguay"/>
    <x v="1"/>
  </r>
  <r>
    <x v="0"/>
    <x v="18"/>
    <x v="1"/>
    <s v="Netherlands"/>
    <x v="15"/>
  </r>
  <r>
    <x v="0"/>
    <x v="19"/>
    <x v="7"/>
    <s v="Brazil"/>
    <x v="6"/>
  </r>
  <r>
    <x v="0"/>
    <x v="19"/>
    <x v="7"/>
    <s v="Colombia"/>
    <x v="33"/>
  </r>
  <r>
    <x v="0"/>
    <x v="19"/>
    <x v="7"/>
    <s v="France"/>
    <x v="9"/>
  </r>
  <r>
    <x v="0"/>
    <x v="19"/>
    <x v="7"/>
    <s v="Germany"/>
    <x v="3"/>
  </r>
  <r>
    <x v="0"/>
    <x v="19"/>
    <x v="2"/>
    <s v="Brazil"/>
    <x v="6"/>
  </r>
  <r>
    <x v="0"/>
    <x v="19"/>
    <x v="2"/>
    <s v="France"/>
    <x v="9"/>
  </r>
  <r>
    <x v="0"/>
    <x v="19"/>
    <x v="0"/>
    <s v="Brazil"/>
    <x v="6"/>
  </r>
  <r>
    <x v="0"/>
    <x v="19"/>
    <x v="9"/>
    <s v="Brazil"/>
    <x v="6"/>
  </r>
  <r>
    <x v="0"/>
    <x v="19"/>
    <x v="1"/>
    <s v="Germany"/>
    <x v="3"/>
  </r>
  <r>
    <x v="0"/>
    <x v="19"/>
    <x v="0"/>
    <s v="Netherlands"/>
    <x v="15"/>
  </r>
  <r>
    <x v="0"/>
    <x v="19"/>
    <x v="2"/>
    <s v="Netherlands"/>
    <x v="15"/>
  </r>
  <r>
    <x v="0"/>
    <x v="19"/>
    <x v="2"/>
    <s v="Argentina"/>
    <x v="0"/>
  </r>
  <r>
    <x v="0"/>
    <x v="19"/>
    <x v="7"/>
    <s v="Netherlands"/>
    <x v="15"/>
  </r>
  <r>
    <x v="0"/>
    <x v="19"/>
    <x v="7"/>
    <s v="Costa Rica"/>
    <x v="34"/>
  </r>
  <r>
    <x v="0"/>
    <x v="19"/>
    <x v="7"/>
    <s v="Argentina"/>
    <x v="0"/>
  </r>
  <r>
    <x v="0"/>
    <x v="19"/>
    <x v="7"/>
    <s v="Belgium"/>
    <x v="35"/>
  </r>
  <r>
    <x v="1"/>
    <x v="0"/>
    <x v="0"/>
    <s v="USA"/>
    <x v="31"/>
  </r>
  <r>
    <x v="1"/>
    <x v="0"/>
    <x v="0"/>
    <s v="Yugoslavia"/>
    <x v="11"/>
  </r>
  <r>
    <x v="1"/>
    <x v="0"/>
    <x v="1"/>
    <s v="Argentina"/>
    <x v="0"/>
  </r>
  <r>
    <x v="1"/>
    <x v="1"/>
    <x v="2"/>
    <s v="Switzerland"/>
    <x v="30"/>
  </r>
  <r>
    <x v="1"/>
    <x v="1"/>
    <x v="2"/>
    <s v="Sweden"/>
    <x v="8"/>
  </r>
  <r>
    <x v="1"/>
    <x v="1"/>
    <x v="2"/>
    <s v="Spain"/>
    <x v="20"/>
  </r>
  <r>
    <x v="1"/>
    <x v="1"/>
    <x v="2"/>
    <s v="Hungary"/>
    <x v="7"/>
  </r>
  <r>
    <x v="1"/>
    <x v="1"/>
    <x v="2"/>
    <s v="Spain"/>
    <x v="20"/>
  </r>
  <r>
    <x v="1"/>
    <x v="1"/>
    <x v="0"/>
    <s v="Austria"/>
    <x v="5"/>
  </r>
  <r>
    <x v="1"/>
    <x v="1"/>
    <x v="0"/>
    <s v="Germany"/>
    <x v="3"/>
  </r>
  <r>
    <x v="1"/>
    <x v="1"/>
    <x v="3"/>
    <s v="Austria"/>
    <x v="5"/>
  </r>
  <r>
    <x v="1"/>
    <x v="1"/>
    <x v="1"/>
    <s v="Czechoslovakia"/>
    <x v="2"/>
  </r>
  <r>
    <x v="1"/>
    <x v="2"/>
    <x v="2"/>
    <s v="Czechoslovakia"/>
    <x v="2"/>
  </r>
  <r>
    <x v="1"/>
    <x v="2"/>
    <x v="2"/>
    <s v="Switzerland"/>
    <x v="30"/>
  </r>
  <r>
    <x v="1"/>
    <x v="2"/>
    <x v="2"/>
    <s v="Cuba"/>
    <x v="36"/>
  </r>
  <r>
    <x v="1"/>
    <x v="2"/>
    <x v="2"/>
    <s v="France"/>
    <x v="9"/>
  </r>
  <r>
    <x v="1"/>
    <x v="2"/>
    <x v="2"/>
    <s v="Czechoslovakia"/>
    <x v="2"/>
  </r>
  <r>
    <x v="1"/>
    <x v="2"/>
    <x v="0"/>
    <s v="Sweden"/>
    <x v="8"/>
  </r>
  <r>
    <x v="1"/>
    <x v="2"/>
    <x v="0"/>
    <s v="Brazil"/>
    <x v="6"/>
  </r>
  <r>
    <x v="1"/>
    <x v="2"/>
    <x v="3"/>
    <s v="Sweden"/>
    <x v="8"/>
  </r>
  <r>
    <x v="1"/>
    <x v="2"/>
    <x v="1"/>
    <s v="Hungary"/>
    <x v="7"/>
  </r>
  <r>
    <x v="1"/>
    <x v="3"/>
    <x v="4"/>
    <s v="Spain"/>
    <x v="20"/>
  </r>
  <r>
    <x v="1"/>
    <x v="3"/>
    <x v="4"/>
    <s v="Sweden"/>
    <x v="8"/>
  </r>
  <r>
    <x v="1"/>
    <x v="3"/>
    <x v="4"/>
    <s v="Spain"/>
    <x v="20"/>
  </r>
  <r>
    <x v="1"/>
    <x v="3"/>
    <x v="4"/>
    <s v="Sweden"/>
    <x v="8"/>
  </r>
  <r>
    <x v="1"/>
    <x v="3"/>
    <x v="4"/>
    <s v="Spain"/>
    <x v="20"/>
  </r>
  <r>
    <x v="1"/>
    <x v="3"/>
    <x v="4"/>
    <s v="Brazil"/>
    <x v="6"/>
  </r>
  <r>
    <x v="1"/>
    <x v="4"/>
    <x v="2"/>
    <s v="England"/>
    <x v="12"/>
  </r>
  <r>
    <x v="1"/>
    <x v="4"/>
    <x v="2"/>
    <s v="Switzerland"/>
    <x v="30"/>
  </r>
  <r>
    <x v="1"/>
    <x v="4"/>
    <x v="2"/>
    <s v="Yugoslavia"/>
    <x v="11"/>
  </r>
  <r>
    <x v="1"/>
    <x v="4"/>
    <x v="2"/>
    <s v="Brazil"/>
    <x v="6"/>
  </r>
  <r>
    <x v="1"/>
    <x v="4"/>
    <x v="0"/>
    <s v="Austria"/>
    <x v="5"/>
  </r>
  <r>
    <x v="1"/>
    <x v="4"/>
    <x v="0"/>
    <s v="Uruguay"/>
    <x v="1"/>
  </r>
  <r>
    <x v="1"/>
    <x v="4"/>
    <x v="3"/>
    <s v="Uruguay"/>
    <x v="1"/>
  </r>
  <r>
    <x v="1"/>
    <x v="4"/>
    <x v="1"/>
    <s v="Hungary"/>
    <x v="7"/>
  </r>
  <r>
    <x v="1"/>
    <x v="5"/>
    <x v="2"/>
    <s v="Wales"/>
    <x v="37"/>
  </r>
  <r>
    <x v="1"/>
    <x v="5"/>
    <x v="2"/>
    <s v="Yugoslavia"/>
    <x v="11"/>
  </r>
  <r>
    <x v="1"/>
    <x v="5"/>
    <x v="2"/>
    <s v="Soviet Union"/>
    <x v="13"/>
  </r>
  <r>
    <x v="1"/>
    <x v="5"/>
    <x v="2"/>
    <s v="Northern Ireland"/>
    <x v="38"/>
  </r>
  <r>
    <x v="1"/>
    <x v="5"/>
    <x v="0"/>
    <s v="Germany FR"/>
    <x v="3"/>
  </r>
  <r>
    <x v="1"/>
    <x v="5"/>
    <x v="0"/>
    <s v="France"/>
    <x v="9"/>
  </r>
  <r>
    <x v="1"/>
    <x v="5"/>
    <x v="3"/>
    <s v="Germany FR"/>
    <x v="3"/>
  </r>
  <r>
    <x v="1"/>
    <x v="5"/>
    <x v="1"/>
    <s v="Sweden"/>
    <x v="8"/>
  </r>
  <r>
    <x v="1"/>
    <x v="6"/>
    <x v="2"/>
    <s v="Soviet Union"/>
    <x v="13"/>
  </r>
  <r>
    <x v="1"/>
    <x v="6"/>
    <x v="2"/>
    <s v="England"/>
    <x v="12"/>
  </r>
  <r>
    <x v="1"/>
    <x v="6"/>
    <x v="2"/>
    <s v="Hungary"/>
    <x v="7"/>
  </r>
  <r>
    <x v="1"/>
    <x v="6"/>
    <x v="2"/>
    <s v="Germany FR"/>
    <x v="3"/>
  </r>
  <r>
    <x v="1"/>
    <x v="6"/>
    <x v="0"/>
    <s v="Yugoslavia"/>
    <x v="11"/>
  </r>
  <r>
    <x v="1"/>
    <x v="6"/>
    <x v="0"/>
    <s v="Chile"/>
    <x v="10"/>
  </r>
  <r>
    <x v="1"/>
    <x v="6"/>
    <x v="3"/>
    <s v="Yugoslavia"/>
    <x v="11"/>
  </r>
  <r>
    <x v="1"/>
    <x v="6"/>
    <x v="1"/>
    <s v="Czechoslovakia"/>
    <x v="2"/>
  </r>
  <r>
    <x v="1"/>
    <x v="7"/>
    <x v="2"/>
    <s v="Argentina"/>
    <x v="0"/>
  </r>
  <r>
    <x v="1"/>
    <x v="7"/>
    <x v="2"/>
    <s v="Uruguay"/>
    <x v="1"/>
  </r>
  <r>
    <x v="1"/>
    <x v="7"/>
    <x v="2"/>
    <s v="Hungary"/>
    <x v="7"/>
  </r>
  <r>
    <x v="1"/>
    <x v="7"/>
    <x v="2"/>
    <s v="Korea DPR"/>
    <x v="39"/>
  </r>
  <r>
    <x v="1"/>
    <x v="7"/>
    <x v="0"/>
    <s v="Soviet Union"/>
    <x v="13"/>
  </r>
  <r>
    <x v="1"/>
    <x v="7"/>
    <x v="0"/>
    <s v="Portugal"/>
    <x v="14"/>
  </r>
  <r>
    <x v="1"/>
    <x v="7"/>
    <x v="3"/>
    <s v="Soviet Union"/>
    <x v="13"/>
  </r>
  <r>
    <x v="1"/>
    <x v="7"/>
    <x v="1"/>
    <s v="Germany FR"/>
    <x v="3"/>
  </r>
  <r>
    <x v="1"/>
    <x v="8"/>
    <x v="2"/>
    <s v="Mexico"/>
    <x v="17"/>
  </r>
  <r>
    <x v="1"/>
    <x v="8"/>
    <x v="2"/>
    <s v="England"/>
    <x v="12"/>
  </r>
  <r>
    <x v="1"/>
    <x v="8"/>
    <x v="2"/>
    <s v="Peru"/>
    <x v="40"/>
  </r>
  <r>
    <x v="1"/>
    <x v="8"/>
    <x v="2"/>
    <s v="Soviet Union"/>
    <x v="13"/>
  </r>
  <r>
    <x v="1"/>
    <x v="8"/>
    <x v="0"/>
    <s v="Uruguay"/>
    <x v="1"/>
  </r>
  <r>
    <x v="1"/>
    <x v="8"/>
    <x v="0"/>
    <s v="Germany FR"/>
    <x v="3"/>
  </r>
  <r>
    <x v="1"/>
    <x v="8"/>
    <x v="3"/>
    <s v="Uruguay"/>
    <x v="1"/>
  </r>
  <r>
    <x v="1"/>
    <x v="8"/>
    <x v="1"/>
    <s v="Italy"/>
    <x v="4"/>
  </r>
  <r>
    <x v="1"/>
    <x v="9"/>
    <x v="5"/>
    <s v="Germany FR"/>
    <x v="3"/>
  </r>
  <r>
    <x v="1"/>
    <x v="9"/>
    <x v="6"/>
    <s v="German DR"/>
    <x v="3"/>
  </r>
  <r>
    <x v="1"/>
    <x v="9"/>
    <x v="6"/>
    <s v="Argentina"/>
    <x v="0"/>
  </r>
  <r>
    <x v="1"/>
    <x v="9"/>
    <x v="5"/>
    <s v="Poland"/>
    <x v="16"/>
  </r>
  <r>
    <x v="1"/>
    <x v="9"/>
    <x v="6"/>
    <s v="Brazil"/>
    <x v="6"/>
  </r>
  <r>
    <x v="1"/>
    <x v="9"/>
    <x v="5"/>
    <s v="Yugoslavia"/>
    <x v="11"/>
  </r>
  <r>
    <x v="1"/>
    <x v="9"/>
    <x v="6"/>
    <s v="Netherlands"/>
    <x v="15"/>
  </r>
  <r>
    <x v="1"/>
    <x v="9"/>
    <x v="5"/>
    <s v="Sweden"/>
    <x v="8"/>
  </r>
  <r>
    <x v="1"/>
    <x v="9"/>
    <x v="5"/>
    <s v="Germany FR"/>
    <x v="3"/>
  </r>
  <r>
    <x v="1"/>
    <x v="9"/>
    <x v="6"/>
    <s v="Brazil"/>
    <x v="6"/>
  </r>
  <r>
    <x v="1"/>
    <x v="9"/>
    <x v="6"/>
    <s v="German DR"/>
    <x v="3"/>
  </r>
  <r>
    <x v="1"/>
    <x v="9"/>
    <x v="5"/>
    <s v="Yugoslavia"/>
    <x v="11"/>
  </r>
  <r>
    <x v="1"/>
    <x v="9"/>
    <x v="3"/>
    <s v="Poland"/>
    <x v="16"/>
  </r>
  <r>
    <x v="1"/>
    <x v="9"/>
    <x v="1"/>
    <s v="Germany FR"/>
    <x v="3"/>
  </r>
  <r>
    <x v="1"/>
    <x v="10"/>
    <x v="6"/>
    <s v="Italy"/>
    <x v="4"/>
  </r>
  <r>
    <x v="1"/>
    <x v="10"/>
    <x v="6"/>
    <s v="Austria"/>
    <x v="5"/>
  </r>
  <r>
    <x v="1"/>
    <x v="10"/>
    <x v="5"/>
    <s v="Peru"/>
    <x v="40"/>
  </r>
  <r>
    <x v="1"/>
    <x v="10"/>
    <x v="5"/>
    <s v="Poland"/>
    <x v="16"/>
  </r>
  <r>
    <x v="1"/>
    <x v="10"/>
    <x v="5"/>
    <s v="Peru"/>
    <x v="40"/>
  </r>
  <r>
    <x v="1"/>
    <x v="10"/>
    <x v="6"/>
    <s v="Austria"/>
    <x v="5"/>
  </r>
  <r>
    <x v="1"/>
    <x v="10"/>
    <x v="6"/>
    <s v="Netherlands"/>
    <x v="15"/>
  </r>
  <r>
    <x v="1"/>
    <x v="10"/>
    <x v="5"/>
    <s v="Brazil"/>
    <x v="6"/>
  </r>
  <r>
    <x v="1"/>
    <x v="10"/>
    <x v="6"/>
    <s v="Italy"/>
    <x v="4"/>
  </r>
  <r>
    <x v="1"/>
    <x v="10"/>
    <x v="6"/>
    <s v="Germany FR"/>
    <x v="3"/>
  </r>
  <r>
    <x v="1"/>
    <x v="10"/>
    <x v="5"/>
    <s v="Poland"/>
    <x v="16"/>
  </r>
  <r>
    <x v="1"/>
    <x v="10"/>
    <x v="5"/>
    <s v="Peru"/>
    <x v="40"/>
  </r>
  <r>
    <x v="1"/>
    <x v="10"/>
    <x v="3"/>
    <s v="Italy"/>
    <x v="4"/>
  </r>
  <r>
    <x v="1"/>
    <x v="10"/>
    <x v="1"/>
    <s v="Netherlands"/>
    <x v="15"/>
  </r>
  <r>
    <x v="1"/>
    <x v="11"/>
    <x v="0"/>
    <s v="Italy"/>
    <x v="4"/>
  </r>
  <r>
    <x v="1"/>
    <x v="11"/>
    <x v="0"/>
    <s v="France"/>
    <x v="9"/>
  </r>
  <r>
    <x v="1"/>
    <x v="11"/>
    <x v="3"/>
    <s v="France"/>
    <x v="9"/>
  </r>
  <r>
    <x v="1"/>
    <x v="11"/>
    <x v="1"/>
    <s v="Germany FR"/>
    <x v="3"/>
  </r>
  <r>
    <x v="1"/>
    <x v="12"/>
    <x v="7"/>
    <s v="Belgium"/>
    <x v="35"/>
  </r>
  <r>
    <x v="1"/>
    <x v="12"/>
    <x v="7"/>
    <s v="Bulgaria"/>
    <x v="26"/>
  </r>
  <r>
    <x v="1"/>
    <x v="12"/>
    <x v="7"/>
    <s v="Uruguay"/>
    <x v="1"/>
  </r>
  <r>
    <x v="1"/>
    <x v="12"/>
    <x v="7"/>
    <s v="Poland"/>
    <x v="16"/>
  </r>
  <r>
    <x v="1"/>
    <x v="12"/>
    <x v="7"/>
    <s v="France"/>
    <x v="9"/>
  </r>
  <r>
    <x v="1"/>
    <x v="12"/>
    <x v="7"/>
    <s v="Germany FR"/>
    <x v="3"/>
  </r>
  <r>
    <x v="1"/>
    <x v="12"/>
    <x v="7"/>
    <s v="Paraguay"/>
    <x v="32"/>
  </r>
  <r>
    <x v="1"/>
    <x v="12"/>
    <x v="7"/>
    <s v="Spain"/>
    <x v="20"/>
  </r>
  <r>
    <x v="1"/>
    <x v="12"/>
    <x v="2"/>
    <s v="France"/>
    <x v="9"/>
  </r>
  <r>
    <x v="1"/>
    <x v="12"/>
    <x v="2"/>
    <s v="Mexico"/>
    <x v="17"/>
  </r>
  <r>
    <x v="1"/>
    <x v="12"/>
    <x v="2"/>
    <s v="Belgium"/>
    <x v="35"/>
  </r>
  <r>
    <x v="1"/>
    <x v="12"/>
    <x v="2"/>
    <s v="England"/>
    <x v="12"/>
  </r>
  <r>
    <x v="1"/>
    <x v="12"/>
    <x v="0"/>
    <s v="Germany FR"/>
    <x v="3"/>
  </r>
  <r>
    <x v="1"/>
    <x v="12"/>
    <x v="0"/>
    <s v="Belgium"/>
    <x v="35"/>
  </r>
  <r>
    <x v="1"/>
    <x v="12"/>
    <x v="3"/>
    <s v="Belgium"/>
    <x v="35"/>
  </r>
  <r>
    <x v="1"/>
    <x v="12"/>
    <x v="1"/>
    <s v="Germany FR"/>
    <x v="3"/>
  </r>
  <r>
    <x v="1"/>
    <x v="13"/>
    <x v="7"/>
    <s v="Colombia"/>
    <x v="33"/>
  </r>
  <r>
    <x v="1"/>
    <x v="13"/>
    <x v="7"/>
    <s v="Costa Rica"/>
    <x v="34"/>
  </r>
  <r>
    <x v="1"/>
    <x v="13"/>
    <x v="7"/>
    <s v="Argentina"/>
    <x v="0"/>
  </r>
  <r>
    <x v="1"/>
    <x v="13"/>
    <x v="7"/>
    <s v="Netherlands"/>
    <x v="15"/>
  </r>
  <r>
    <x v="1"/>
    <x v="13"/>
    <x v="7"/>
    <s v="Romania"/>
    <x v="24"/>
  </r>
  <r>
    <x v="1"/>
    <x v="13"/>
    <x v="7"/>
    <s v="Uruguay"/>
    <x v="1"/>
  </r>
  <r>
    <x v="1"/>
    <x v="13"/>
    <x v="7"/>
    <s v="Yugoslavia"/>
    <x v="11"/>
  </r>
  <r>
    <x v="1"/>
    <x v="13"/>
    <x v="7"/>
    <s v="Belgium"/>
    <x v="35"/>
  </r>
  <r>
    <x v="1"/>
    <x v="13"/>
    <x v="2"/>
    <s v="Argentina"/>
    <x v="0"/>
  </r>
  <r>
    <x v="1"/>
    <x v="13"/>
    <x v="2"/>
    <s v="Republic of Ireland"/>
    <x v="22"/>
  </r>
  <r>
    <x v="1"/>
    <x v="13"/>
    <x v="2"/>
    <s v="Czechoslovakia"/>
    <x v="2"/>
  </r>
  <r>
    <x v="1"/>
    <x v="13"/>
    <x v="2"/>
    <s v="Cameroon"/>
    <x v="21"/>
  </r>
  <r>
    <x v="1"/>
    <x v="13"/>
    <x v="0"/>
    <s v="Argentina"/>
    <x v="0"/>
  </r>
  <r>
    <x v="1"/>
    <x v="13"/>
    <x v="0"/>
    <s v="England"/>
    <x v="12"/>
  </r>
  <r>
    <x v="1"/>
    <x v="13"/>
    <x v="3"/>
    <s v="England"/>
    <x v="12"/>
  </r>
  <r>
    <x v="1"/>
    <x v="13"/>
    <x v="1"/>
    <s v="Argentina"/>
    <x v="0"/>
  </r>
  <r>
    <x v="1"/>
    <x v="14"/>
    <x v="7"/>
    <s v="Belgium"/>
    <x v="35"/>
  </r>
  <r>
    <x v="1"/>
    <x v="14"/>
    <x v="7"/>
    <s v="Switzerland"/>
    <x v="30"/>
  </r>
  <r>
    <x v="1"/>
    <x v="14"/>
    <x v="7"/>
    <s v="Sweden"/>
    <x v="8"/>
  </r>
  <r>
    <x v="1"/>
    <x v="14"/>
    <x v="7"/>
    <s v="Argentina"/>
    <x v="0"/>
  </r>
  <r>
    <x v="1"/>
    <x v="14"/>
    <x v="7"/>
    <s v="Republic of Ireland"/>
    <x v="22"/>
  </r>
  <r>
    <x v="1"/>
    <x v="14"/>
    <x v="7"/>
    <s v="USA"/>
    <x v="31"/>
  </r>
  <r>
    <x v="1"/>
    <x v="14"/>
    <x v="7"/>
    <s v="Italy"/>
    <x v="4"/>
  </r>
  <r>
    <x v="1"/>
    <x v="14"/>
    <x v="7"/>
    <s v="Bulgaria"/>
    <x v="26"/>
  </r>
  <r>
    <x v="1"/>
    <x v="14"/>
    <x v="2"/>
    <s v="Spain"/>
    <x v="20"/>
  </r>
  <r>
    <x v="1"/>
    <x v="14"/>
    <x v="2"/>
    <s v="Brazil"/>
    <x v="6"/>
  </r>
  <r>
    <x v="1"/>
    <x v="14"/>
    <x v="2"/>
    <s v="Germany"/>
    <x v="3"/>
  </r>
  <r>
    <x v="1"/>
    <x v="14"/>
    <x v="2"/>
    <s v="Sweden"/>
    <x v="8"/>
  </r>
  <r>
    <x v="1"/>
    <x v="14"/>
    <x v="0"/>
    <s v="Italy"/>
    <x v="4"/>
  </r>
  <r>
    <x v="1"/>
    <x v="14"/>
    <x v="0"/>
    <s v="Brazil"/>
    <x v="6"/>
  </r>
  <r>
    <x v="1"/>
    <x v="14"/>
    <x v="3"/>
    <s v="Bulgaria"/>
    <x v="26"/>
  </r>
  <r>
    <x v="1"/>
    <x v="14"/>
    <x v="1"/>
    <s v="Italy"/>
    <x v="4"/>
  </r>
  <r>
    <x v="1"/>
    <x v="15"/>
    <x v="7"/>
    <s v="Norway"/>
    <x v="41"/>
  </r>
  <r>
    <x v="1"/>
    <x v="15"/>
    <x v="7"/>
    <s v="Chile"/>
    <x v="10"/>
  </r>
  <r>
    <x v="1"/>
    <x v="15"/>
    <x v="7"/>
    <s v="Paraguay"/>
    <x v="32"/>
  </r>
  <r>
    <x v="1"/>
    <x v="15"/>
    <x v="7"/>
    <s v="Denmark"/>
    <x v="19"/>
  </r>
  <r>
    <x v="1"/>
    <x v="15"/>
    <x v="7"/>
    <s v="Mexico"/>
    <x v="17"/>
  </r>
  <r>
    <x v="1"/>
    <x v="15"/>
    <x v="7"/>
    <s v="Yugoslavia"/>
    <x v="11"/>
  </r>
  <r>
    <x v="1"/>
    <x v="15"/>
    <x v="7"/>
    <s v="Croatia"/>
    <x v="42"/>
  </r>
  <r>
    <x v="1"/>
    <x v="15"/>
    <x v="7"/>
    <s v="England"/>
    <x v="12"/>
  </r>
  <r>
    <x v="1"/>
    <x v="15"/>
    <x v="2"/>
    <s v="France"/>
    <x v="9"/>
  </r>
  <r>
    <x v="1"/>
    <x v="15"/>
    <x v="2"/>
    <s v="Denmark"/>
    <x v="19"/>
  </r>
  <r>
    <x v="1"/>
    <x v="15"/>
    <x v="2"/>
    <s v="Argentina"/>
    <x v="0"/>
  </r>
  <r>
    <x v="1"/>
    <x v="15"/>
    <x v="2"/>
    <s v="Croatia"/>
    <x v="42"/>
  </r>
  <r>
    <x v="1"/>
    <x v="15"/>
    <x v="0"/>
    <s v="Netherlands"/>
    <x v="15"/>
  </r>
  <r>
    <x v="1"/>
    <x v="15"/>
    <x v="0"/>
    <s v="Croatia"/>
    <x v="42"/>
  </r>
  <r>
    <x v="1"/>
    <x v="15"/>
    <x v="3"/>
    <s v="Croatia"/>
    <x v="42"/>
  </r>
  <r>
    <x v="1"/>
    <x v="15"/>
    <x v="1"/>
    <s v="France"/>
    <x v="9"/>
  </r>
  <r>
    <x v="1"/>
    <x v="16"/>
    <x v="7"/>
    <s v="England"/>
    <x v="12"/>
  </r>
  <r>
    <x v="1"/>
    <x v="16"/>
    <x v="7"/>
    <s v="Paraguay"/>
    <x v="32"/>
  </r>
  <r>
    <x v="1"/>
    <x v="16"/>
    <x v="7"/>
    <s v="Republic of Ireland"/>
    <x v="22"/>
  </r>
  <r>
    <x v="1"/>
    <x v="16"/>
    <x v="7"/>
    <s v="Senegal"/>
    <x v="29"/>
  </r>
  <r>
    <x v="1"/>
    <x v="16"/>
    <x v="7"/>
    <s v="Belgium"/>
    <x v="35"/>
  </r>
  <r>
    <x v="1"/>
    <x v="16"/>
    <x v="7"/>
    <s v="USA"/>
    <x v="31"/>
  </r>
  <r>
    <x v="1"/>
    <x v="16"/>
    <x v="7"/>
    <s v="Turkey"/>
    <x v="43"/>
  </r>
  <r>
    <x v="1"/>
    <x v="16"/>
    <x v="7"/>
    <s v="Italy"/>
    <x v="4"/>
  </r>
  <r>
    <x v="1"/>
    <x v="16"/>
    <x v="2"/>
    <s v="Brazil"/>
    <x v="6"/>
  </r>
  <r>
    <x v="1"/>
    <x v="16"/>
    <x v="2"/>
    <s v="USA"/>
    <x v="31"/>
  </r>
  <r>
    <x v="1"/>
    <x v="16"/>
    <x v="2"/>
    <s v="Turkey"/>
    <x v="43"/>
  </r>
  <r>
    <x v="1"/>
    <x v="16"/>
    <x v="2"/>
    <s v="Korea Republic"/>
    <x v="28"/>
  </r>
  <r>
    <x v="1"/>
    <x v="16"/>
    <x v="0"/>
    <s v="Korea Republic"/>
    <x v="28"/>
  </r>
  <r>
    <x v="1"/>
    <x v="16"/>
    <x v="0"/>
    <s v="Turkey"/>
    <x v="43"/>
  </r>
  <r>
    <x v="1"/>
    <x v="16"/>
    <x v="8"/>
    <s v="Turkey"/>
    <x v="43"/>
  </r>
  <r>
    <x v="1"/>
    <x v="16"/>
    <x v="1"/>
    <s v="Brazil"/>
    <x v="6"/>
  </r>
  <r>
    <x v="1"/>
    <x v="17"/>
    <x v="7"/>
    <s v="Sweden"/>
    <x v="8"/>
  </r>
  <r>
    <x v="1"/>
    <x v="17"/>
    <x v="7"/>
    <s v="Mexico"/>
    <x v="17"/>
  </r>
  <r>
    <x v="1"/>
    <x v="17"/>
    <x v="7"/>
    <s v="Ecuador"/>
    <x v="44"/>
  </r>
  <r>
    <x v="1"/>
    <x v="17"/>
    <x v="7"/>
    <s v="Netherlands"/>
    <x v="15"/>
  </r>
  <r>
    <x v="1"/>
    <x v="17"/>
    <x v="7"/>
    <s v="Australia"/>
    <x v="45"/>
  </r>
  <r>
    <x v="1"/>
    <x v="17"/>
    <x v="7"/>
    <s v="Ukraine"/>
    <x v="46"/>
  </r>
  <r>
    <x v="1"/>
    <x v="17"/>
    <x v="7"/>
    <s v="Ghana"/>
    <x v="47"/>
  </r>
  <r>
    <x v="1"/>
    <x v="17"/>
    <x v="7"/>
    <s v="France"/>
    <x v="9"/>
  </r>
  <r>
    <x v="1"/>
    <x v="17"/>
    <x v="2"/>
    <s v="Argentina"/>
    <x v="0"/>
  </r>
  <r>
    <x v="1"/>
    <x v="17"/>
    <x v="2"/>
    <s v="Ukraine"/>
    <x v="46"/>
  </r>
  <r>
    <x v="1"/>
    <x v="17"/>
    <x v="2"/>
    <s v="Portugal"/>
    <x v="14"/>
  </r>
  <r>
    <x v="1"/>
    <x v="17"/>
    <x v="2"/>
    <s v="France"/>
    <x v="9"/>
  </r>
  <r>
    <x v="1"/>
    <x v="17"/>
    <x v="0"/>
    <s v="Italy"/>
    <x v="4"/>
  </r>
  <r>
    <x v="1"/>
    <x v="17"/>
    <x v="0"/>
    <s v="France"/>
    <x v="9"/>
  </r>
  <r>
    <x v="1"/>
    <x v="17"/>
    <x v="8"/>
    <s v="Portugal"/>
    <x v="14"/>
  </r>
  <r>
    <x v="1"/>
    <x v="17"/>
    <x v="1"/>
    <s v="France"/>
    <x v="9"/>
  </r>
  <r>
    <x v="1"/>
    <x v="18"/>
    <x v="7"/>
    <s v="Korea Republic"/>
    <x v="28"/>
  </r>
  <r>
    <x v="1"/>
    <x v="18"/>
    <x v="7"/>
    <s v="Ghana"/>
    <x v="47"/>
  </r>
  <r>
    <x v="1"/>
    <x v="18"/>
    <x v="7"/>
    <s v="England"/>
    <x v="12"/>
  </r>
  <r>
    <x v="1"/>
    <x v="18"/>
    <x v="7"/>
    <s v="Mexico"/>
    <x v="17"/>
  </r>
  <r>
    <x v="1"/>
    <x v="18"/>
    <x v="7"/>
    <s v="Slovakia"/>
    <x v="48"/>
  </r>
  <r>
    <x v="1"/>
    <x v="18"/>
    <x v="7"/>
    <s v="Chile"/>
    <x v="10"/>
  </r>
  <r>
    <x v="1"/>
    <x v="18"/>
    <x v="7"/>
    <s v="Japan"/>
    <x v="27"/>
  </r>
  <r>
    <x v="1"/>
    <x v="18"/>
    <x v="7"/>
    <s v="Portugal"/>
    <x v="14"/>
  </r>
  <r>
    <x v="1"/>
    <x v="18"/>
    <x v="2"/>
    <s v="Brazil"/>
    <x v="6"/>
  </r>
  <r>
    <x v="1"/>
    <x v="18"/>
    <x v="2"/>
    <s v="Ghana"/>
    <x v="47"/>
  </r>
  <r>
    <x v="1"/>
    <x v="18"/>
    <x v="2"/>
    <s v="Germany"/>
    <x v="3"/>
  </r>
  <r>
    <x v="1"/>
    <x v="18"/>
    <x v="2"/>
    <s v="Spain"/>
    <x v="20"/>
  </r>
  <r>
    <x v="1"/>
    <x v="18"/>
    <x v="0"/>
    <s v="Netherlands"/>
    <x v="15"/>
  </r>
  <r>
    <x v="1"/>
    <x v="18"/>
    <x v="0"/>
    <s v="Spain"/>
    <x v="20"/>
  </r>
  <r>
    <x v="1"/>
    <x v="18"/>
    <x v="3"/>
    <s v="Germany"/>
    <x v="3"/>
  </r>
  <r>
    <x v="1"/>
    <x v="18"/>
    <x v="1"/>
    <s v="Spain"/>
    <x v="20"/>
  </r>
  <r>
    <x v="1"/>
    <x v="19"/>
    <x v="7"/>
    <s v="Chile"/>
    <x v="10"/>
  </r>
  <r>
    <x v="1"/>
    <x v="19"/>
    <x v="7"/>
    <s v="Uruguay"/>
    <x v="1"/>
  </r>
  <r>
    <x v="1"/>
    <x v="19"/>
    <x v="7"/>
    <s v="Nigeria"/>
    <x v="25"/>
  </r>
  <r>
    <x v="1"/>
    <x v="19"/>
    <x v="7"/>
    <s v="Algeria"/>
    <x v="49"/>
  </r>
  <r>
    <x v="1"/>
    <x v="19"/>
    <x v="2"/>
    <s v="Colombia"/>
    <x v="33"/>
  </r>
  <r>
    <x v="1"/>
    <x v="19"/>
    <x v="2"/>
    <s v="Germany"/>
    <x v="3"/>
  </r>
  <r>
    <x v="1"/>
    <x v="19"/>
    <x v="0"/>
    <s v="Germany"/>
    <x v="3"/>
  </r>
  <r>
    <x v="1"/>
    <x v="19"/>
    <x v="9"/>
    <s v="Netherlands"/>
    <x v="15"/>
  </r>
  <r>
    <x v="1"/>
    <x v="19"/>
    <x v="1"/>
    <s v="Argentina"/>
    <x v="0"/>
  </r>
  <r>
    <x v="1"/>
    <x v="19"/>
    <x v="0"/>
    <s v="Argentina"/>
    <x v="0"/>
  </r>
  <r>
    <x v="1"/>
    <x v="19"/>
    <x v="2"/>
    <s v="Costa Rica"/>
    <x v="34"/>
  </r>
  <r>
    <x v="1"/>
    <x v="19"/>
    <x v="2"/>
    <s v="Belgium"/>
    <x v="35"/>
  </r>
  <r>
    <x v="1"/>
    <x v="19"/>
    <x v="7"/>
    <s v="Mexico"/>
    <x v="17"/>
  </r>
  <r>
    <x v="1"/>
    <x v="19"/>
    <x v="7"/>
    <s v="Greece"/>
    <x v="50"/>
  </r>
  <r>
    <x v="1"/>
    <x v="19"/>
    <x v="7"/>
    <s v="Switzerland"/>
    <x v="30"/>
  </r>
  <r>
    <x v="1"/>
    <x v="19"/>
    <x v="7"/>
    <s v="USA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5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1625BAC-F5E6-9C4B-9D75-88A2FC686D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F26" firstHeaderRow="1" firstDataRow="2" firstDataCol="2"/>
  <pivotFields count="13"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numFmtId="15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10"/>
        <item x="3"/>
        <item x="6"/>
        <item x="7"/>
        <item x="2"/>
        <item x="9"/>
        <item x="1"/>
        <item x="13"/>
        <item x="8"/>
        <item x="14"/>
        <item x="11"/>
        <item x="5"/>
        <item x="4"/>
        <item x="0"/>
        <item x="1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6"/>
  </rowFields>
  <rowItems count="21">
    <i>
      <x/>
      <x v="13"/>
    </i>
    <i>
      <x v="1"/>
      <x v="6"/>
    </i>
    <i>
      <x v="2"/>
      <x v="4"/>
    </i>
    <i>
      <x v="3"/>
      <x v="1"/>
    </i>
    <i>
      <x v="4"/>
      <x v="12"/>
    </i>
    <i>
      <x v="5"/>
      <x v="11"/>
    </i>
    <i>
      <x v="6"/>
      <x v="2"/>
    </i>
    <i>
      <x v="7"/>
      <x v="3"/>
    </i>
    <i>
      <x v="8"/>
      <x v="8"/>
    </i>
    <i>
      <x v="9"/>
      <x v="5"/>
    </i>
    <i>
      <x v="10"/>
      <x/>
    </i>
    <i>
      <x v="11"/>
      <x v="10"/>
    </i>
    <i>
      <x v="12"/>
      <x v="8"/>
    </i>
    <i>
      <x v="13"/>
      <x v="6"/>
    </i>
    <i>
      <x v="14"/>
      <x v="14"/>
    </i>
    <i>
      <x v="15"/>
      <x v="4"/>
    </i>
    <i>
      <x v="16"/>
      <x v="7"/>
    </i>
    <i>
      <x v="17"/>
      <x v="5"/>
    </i>
    <i>
      <x v="18"/>
      <x v="9"/>
    </i>
    <i>
      <x v="19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omeGoals" fld="8" baseField="0" baseItem="0"/>
    <dataField name="Sum of AwayGoals" fld="9" baseField="0" baseItem="0"/>
    <dataField name="Count of Games" fld="2" subtotal="count" baseField="0" baseItem="0"/>
    <dataField name="Sum of Total Goals" fld="12" baseField="0" baseItem="0"/>
  </dataFields>
  <formats count="15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">
      <pivotArea outline="0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6" count="1" selected="0">
            <x v="1"/>
          </reference>
        </references>
      </pivotArea>
    </format>
    <format dxfId="76">
      <pivotArea outline="0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6" count="1" selected="0">
            <x v="1"/>
          </reference>
        </references>
      </pivotArea>
    </format>
    <format dxfId="75">
      <pivotArea outline="0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6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DAEC4F6-B0E5-014F-9270-C7B10C1F5DB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88" firstHeaderRow="1" firstDataRow="1" firstDataCol="1"/>
  <pivotFields count="3">
    <pivotField showAll="0"/>
    <pivotField axis="axisRow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78"/>
        <item x="22"/>
        <item x="79"/>
        <item x="8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81"/>
        <item x="36"/>
        <item x="37"/>
        <item x="38"/>
        <item x="39"/>
        <item x="40"/>
        <item x="82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showAll="0"/>
  </pivotFields>
  <rowFields count="1">
    <field x="1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Goals" fld="2" baseField="0" baseItem="0"/>
  </dataFields>
  <formats count="7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1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87C1D43-9BE3-6E4A-BDFC-F673741821D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way Team">
  <location ref="E4:F88" firstHeaderRow="1" firstDataRow="1" firstDataCol="1"/>
  <pivotFields count="13"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4">
        <item x="51"/>
        <item x="79"/>
        <item x="11"/>
        <item x="42"/>
        <item x="18"/>
        <item x="1"/>
        <item x="5"/>
        <item x="82"/>
        <item x="2"/>
        <item x="36"/>
        <item x="49"/>
        <item x="56"/>
        <item x="8"/>
        <item x="71"/>
        <item x="72"/>
        <item x="35"/>
        <item x="59"/>
        <item x="66"/>
        <item x="24"/>
        <item x="73"/>
        <item x="20"/>
        <item x="55"/>
        <item x="21"/>
        <item x="70"/>
        <item x="12"/>
        <item x="41"/>
        <item x="26"/>
        <item x="4"/>
        <item x="44"/>
        <item x="19"/>
        <item x="30"/>
        <item x="74"/>
        <item x="62"/>
        <item x="43"/>
        <item x="52"/>
        <item x="17"/>
        <item x="46"/>
        <item x="48"/>
        <item x="54"/>
        <item x="39"/>
        <item x="25"/>
        <item x="67"/>
        <item x="65"/>
        <item x="37"/>
        <item x="29"/>
        <item x="53"/>
        <item x="0"/>
        <item x="40"/>
        <item x="13"/>
        <item x="50"/>
        <item x="63"/>
        <item x="33"/>
        <item x="22"/>
        <item x="6"/>
        <item x="3"/>
        <item x="23"/>
        <item x="38"/>
        <item x="57"/>
        <item x="7"/>
        <item x="61"/>
        <item x="60"/>
        <item x="27"/>
        <item x="68"/>
        <item x="81"/>
        <item x="78"/>
        <item x="80"/>
        <item x="69"/>
        <item x="64"/>
        <item x="34"/>
        <item x="16"/>
        <item x="15"/>
        <item x="14"/>
        <item x="75"/>
        <item x="77"/>
        <item x="47"/>
        <item x="28"/>
        <item x="76"/>
        <item x="58"/>
        <item x="31"/>
        <item x="9"/>
        <item x="32"/>
        <item x="10"/>
        <item x="45"/>
        <item t="default"/>
      </items>
    </pivotField>
    <pivotField showAll="0"/>
    <pivotField dragToRow="0" dragToCol="0" dragToPage="0" showAll="0" defaultSubtotal="0"/>
  </pivotFields>
  <rowFields count="1">
    <field x="1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AwayGoals" fld="9" baseField="0" baseItem="0"/>
  </dataFields>
  <formats count="14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9">
      <pivotArea dataOnly="0" labelOnly="1" fieldPosition="0">
        <references count="1">
          <reference field="10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">
      <pivotArea dataOnly="0" labelOnly="1" fieldPosition="0">
        <references count="1">
          <reference field="10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A526FC3-EB46-864F-AD8C-9AAC44008F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me Team">
  <location ref="A4:B83" firstHeaderRow="1" firstDataRow="1" firstDataCol="1"/>
  <pivotFields count="13">
    <pivotField showAll="0"/>
    <pivotField numFmtId="15" showAll="0"/>
    <pivotField showAll="0"/>
    <pivotField showAll="0"/>
    <pivotField showAll="0"/>
    <pivotField showAll="0"/>
    <pivotField showAll="0"/>
    <pivotField axis="axisRow" showAll="0">
      <items count="79">
        <item x="38"/>
        <item x="66"/>
        <item x="4"/>
        <item x="33"/>
        <item x="9"/>
        <item x="28"/>
        <item x="53"/>
        <item x="77"/>
        <item x="7"/>
        <item x="29"/>
        <item x="47"/>
        <item x="40"/>
        <item x="5"/>
        <item x="60"/>
        <item x="70"/>
        <item x="49"/>
        <item x="46"/>
        <item x="59"/>
        <item x="17"/>
        <item x="67"/>
        <item x="16"/>
        <item x="44"/>
        <item x="63"/>
        <item x="18"/>
        <item x="0"/>
        <item x="30"/>
        <item x="13"/>
        <item x="19"/>
        <item x="71"/>
        <item x="55"/>
        <item x="36"/>
        <item x="39"/>
        <item x="10"/>
        <item x="76"/>
        <item x="69"/>
        <item x="43"/>
        <item x="15"/>
        <item x="56"/>
        <item x="58"/>
        <item x="26"/>
        <item x="42"/>
        <item x="23"/>
        <item x="41"/>
        <item x="35"/>
        <item x="74"/>
        <item x="51"/>
        <item x="22"/>
        <item x="50"/>
        <item x="8"/>
        <item x="27"/>
        <item x="32"/>
        <item x="25"/>
        <item x="48"/>
        <item x="3"/>
        <item x="54"/>
        <item x="52"/>
        <item x="34"/>
        <item x="61"/>
        <item x="73"/>
        <item x="65"/>
        <item x="75"/>
        <item x="62"/>
        <item x="57"/>
        <item x="21"/>
        <item x="14"/>
        <item x="12"/>
        <item x="11"/>
        <item x="68"/>
        <item x="64"/>
        <item x="37"/>
        <item x="20"/>
        <item x="72"/>
        <item x="45"/>
        <item x="6"/>
        <item x="1"/>
        <item x="24"/>
        <item x="2"/>
        <item x="31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Sum of HomeGoals" fld="8" baseField="0" baseItem="0"/>
  </dataFields>
  <formats count="14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7" type="button" dataOnly="0" labelOnly="1" outline="0" axis="axisRow" fieldPosition="0"/>
    </format>
    <format dxfId="6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3">
      <pivotArea dataOnly="0" labelOnly="1" fieldPosition="0">
        <references count="1">
          <reference field="7" count="2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</reference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7" type="button" dataOnly="0" labelOnly="1" outline="0" axis="axisRow" fieldPosition="0"/>
    </format>
    <format dxfId="57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6">
      <pivotArea dataOnly="0" labelOnly="1" fieldPosition="0">
        <references count="1">
          <reference field="7" count="2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4EC19A1-AC75-BC46-A6D2-2ADAC81AE0F6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4:W85" firstHeaderRow="1" firstDataRow="1" firstDataCol="1"/>
  <pivotFields count="2">
    <pivotField axis="axisRow" showAll="0" sortType="descending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1">
    <i>
      <x v="28"/>
    </i>
    <i>
      <x v="8"/>
    </i>
    <i>
      <x v="2"/>
    </i>
    <i>
      <x v="37"/>
    </i>
    <i>
      <x v="27"/>
    </i>
    <i>
      <x v="66"/>
    </i>
    <i>
      <x v="33"/>
    </i>
    <i>
      <x v="45"/>
    </i>
    <i>
      <x v="75"/>
    </i>
    <i>
      <x v="26"/>
    </i>
    <i>
      <x v="67"/>
    </i>
    <i>
      <x v="78"/>
    </i>
    <i>
      <x v="43"/>
    </i>
    <i>
      <x v="65"/>
    </i>
    <i>
      <x v="5"/>
    </i>
    <i>
      <x v="68"/>
    </i>
    <i>
      <x v="20"/>
    </i>
    <i>
      <x v="52"/>
    </i>
    <i>
      <x v="4"/>
    </i>
    <i>
      <x v="53"/>
    </i>
    <i>
      <x v="12"/>
    </i>
    <i>
      <x v="76"/>
    </i>
    <i>
      <x v="41"/>
    </i>
    <i>
      <x v="50"/>
    </i>
    <i>
      <x v="55"/>
    </i>
    <i>
      <x v="21"/>
    </i>
    <i>
      <x v="15"/>
    </i>
    <i>
      <x v="58"/>
    </i>
    <i>
      <x v="9"/>
    </i>
    <i>
      <x v="17"/>
    </i>
    <i>
      <x v="72"/>
    </i>
    <i>
      <x v="47"/>
    </i>
    <i>
      <x v="51"/>
    </i>
    <i>
      <x v="10"/>
    </i>
    <i>
      <x v="16"/>
    </i>
    <i>
      <x v="39"/>
    </i>
    <i>
      <x v="56"/>
    </i>
    <i>
      <x v="29"/>
    </i>
    <i>
      <x v="14"/>
    </i>
    <i>
      <x/>
    </i>
    <i>
      <x v="48"/>
    </i>
    <i>
      <x v="44"/>
    </i>
    <i>
      <x v="64"/>
    </i>
    <i>
      <x v="3"/>
    </i>
    <i>
      <x v="54"/>
    </i>
    <i>
      <x v="23"/>
    </i>
    <i>
      <x v="57"/>
    </i>
    <i>
      <x v="71"/>
    </i>
    <i>
      <x v="34"/>
    </i>
    <i>
      <x v="49"/>
    </i>
    <i>
      <x v="59"/>
    </i>
    <i>
      <x v="40"/>
    </i>
    <i>
      <x v="18"/>
    </i>
    <i>
      <x v="73"/>
    </i>
    <i>
      <x v="62"/>
    </i>
    <i>
      <x v="30"/>
    </i>
    <i>
      <x v="63"/>
    </i>
    <i>
      <x v="77"/>
    </i>
    <i>
      <x v="46"/>
    </i>
    <i>
      <x v="7"/>
    </i>
    <i>
      <x v="32"/>
    </i>
    <i>
      <x v="19"/>
    </i>
    <i>
      <x v="24"/>
    </i>
    <i>
      <x v="38"/>
    </i>
    <i>
      <x v="42"/>
    </i>
    <i>
      <x v="60"/>
    </i>
    <i>
      <x v="61"/>
    </i>
    <i>
      <x v="74"/>
    </i>
    <i>
      <x v="31"/>
    </i>
    <i>
      <x v="25"/>
    </i>
    <i>
      <x v="35"/>
    </i>
    <i>
      <x v="36"/>
    </i>
    <i>
      <x v="6"/>
    </i>
    <i>
      <x v="69"/>
    </i>
    <i>
      <x v="1"/>
    </i>
    <i>
      <x v="22"/>
    </i>
    <i>
      <x v="11"/>
    </i>
    <i>
      <x v="79"/>
    </i>
    <i>
      <x v="70"/>
    </i>
    <i>
      <x v="13"/>
    </i>
    <i t="grand">
      <x/>
    </i>
  </rowItems>
  <colItems count="1">
    <i/>
  </colItems>
  <dataFields count="1">
    <dataField name="Sum of Sum of Goals" fld="1" baseField="0" baseItem="0"/>
  </dataFields>
  <formats count="7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0">
      <pivotArea dataOnly="0" labelOnly="1" fieldPosition="0">
        <references count="1">
          <reference field="0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</reference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294BA90-BE7C-3542-9557-FA17B533761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way Team">
  <location ref="D5:E16" firstHeaderRow="1" firstDataRow="1" firstDataCol="1" rowPageCount="1" colPageCount="1"/>
  <pivotFields count="13">
    <pivotField showAll="0"/>
    <pivotField numFmtId="15" showAll="0"/>
    <pivotField dataField="1" showAll="0"/>
    <pivotField axis="axisPage" multipleItemSelectionAllowed="1" showAll="0">
      <items count="24">
        <item x="5"/>
        <item h="1" x="9"/>
        <item h="1" x="0"/>
        <item h="1" x="2"/>
        <item h="1" x="3"/>
        <item h="1" x="1"/>
        <item h="1" x="13"/>
        <item h="1" x="10"/>
        <item h="1" x="12"/>
        <item h="1" x="11"/>
        <item h="1" x="14"/>
        <item h="1" x="15"/>
        <item h="1" x="17"/>
        <item h="1" x="16"/>
        <item h="1" x="20"/>
        <item h="1" x="19"/>
        <item h="1" x="8"/>
        <item h="1" x="22"/>
        <item h="1" x="6"/>
        <item h="1" x="7"/>
        <item h="1" x="18"/>
        <item h="1" x="4"/>
        <item h="1" x="21"/>
        <item t="default"/>
      </items>
    </pivotField>
    <pivotField showAll="0"/>
    <pivotField showAll="0"/>
    <pivotField showAll="0"/>
    <pivotField showAll="0">
      <items count="79">
        <item x="38"/>
        <item x="66"/>
        <item x="4"/>
        <item x="33"/>
        <item x="9"/>
        <item x="28"/>
        <item x="53"/>
        <item x="77"/>
        <item x="7"/>
        <item x="29"/>
        <item x="47"/>
        <item x="40"/>
        <item x="5"/>
        <item x="60"/>
        <item x="70"/>
        <item x="49"/>
        <item x="46"/>
        <item x="59"/>
        <item x="17"/>
        <item x="67"/>
        <item x="16"/>
        <item x="44"/>
        <item x="63"/>
        <item x="18"/>
        <item x="0"/>
        <item x="30"/>
        <item x="13"/>
        <item x="19"/>
        <item x="71"/>
        <item x="55"/>
        <item x="36"/>
        <item x="39"/>
        <item x="10"/>
        <item x="76"/>
        <item x="69"/>
        <item x="43"/>
        <item x="15"/>
        <item x="56"/>
        <item x="58"/>
        <item x="26"/>
        <item x="42"/>
        <item x="23"/>
        <item x="41"/>
        <item x="35"/>
        <item x="74"/>
        <item x="51"/>
        <item x="22"/>
        <item x="50"/>
        <item x="8"/>
        <item x="27"/>
        <item x="32"/>
        <item x="25"/>
        <item x="48"/>
        <item x="3"/>
        <item x="54"/>
        <item x="52"/>
        <item x="34"/>
        <item x="61"/>
        <item x="73"/>
        <item x="65"/>
        <item x="75"/>
        <item x="62"/>
        <item x="57"/>
        <item x="21"/>
        <item x="14"/>
        <item x="12"/>
        <item x="11"/>
        <item x="68"/>
        <item x="64"/>
        <item x="37"/>
        <item x="20"/>
        <item x="72"/>
        <item x="45"/>
        <item x="6"/>
        <item x="1"/>
        <item x="24"/>
        <item x="2"/>
        <item x="31"/>
        <item t="default"/>
      </items>
    </pivotField>
    <pivotField showAll="0"/>
    <pivotField showAll="0"/>
    <pivotField axis="axisRow" showAll="0" sortType="descending">
      <items count="84">
        <item x="51"/>
        <item x="79"/>
        <item x="11"/>
        <item x="42"/>
        <item x="18"/>
        <item x="1"/>
        <item x="5"/>
        <item x="82"/>
        <item x="2"/>
        <item x="36"/>
        <item x="49"/>
        <item x="56"/>
        <item x="8"/>
        <item x="71"/>
        <item x="72"/>
        <item x="35"/>
        <item x="59"/>
        <item x="66"/>
        <item x="24"/>
        <item x="73"/>
        <item x="20"/>
        <item x="55"/>
        <item x="21"/>
        <item x="70"/>
        <item x="12"/>
        <item x="41"/>
        <item x="26"/>
        <item x="4"/>
        <item x="44"/>
        <item x="19"/>
        <item x="30"/>
        <item x="74"/>
        <item x="62"/>
        <item x="43"/>
        <item x="52"/>
        <item x="17"/>
        <item x="46"/>
        <item x="48"/>
        <item x="54"/>
        <item x="39"/>
        <item x="25"/>
        <item x="67"/>
        <item x="65"/>
        <item x="37"/>
        <item x="29"/>
        <item x="53"/>
        <item x="0"/>
        <item x="40"/>
        <item x="13"/>
        <item x="50"/>
        <item x="63"/>
        <item x="33"/>
        <item x="22"/>
        <item x="6"/>
        <item x="3"/>
        <item x="23"/>
        <item x="38"/>
        <item x="57"/>
        <item x="7"/>
        <item x="61"/>
        <item x="60"/>
        <item x="27"/>
        <item x="68"/>
        <item x="81"/>
        <item x="78"/>
        <item x="80"/>
        <item x="69"/>
        <item x="64"/>
        <item x="34"/>
        <item x="16"/>
        <item x="15"/>
        <item x="14"/>
        <item x="75"/>
        <item x="77"/>
        <item x="47"/>
        <item x="28"/>
        <item x="76"/>
        <item x="58"/>
        <item x="31"/>
        <item x="9"/>
        <item x="32"/>
        <item x="1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10"/>
  </rowFields>
  <rowItems count="11">
    <i>
      <x v="30"/>
    </i>
    <i>
      <x v="2"/>
    </i>
    <i>
      <x v="27"/>
    </i>
    <i>
      <x v="40"/>
    </i>
    <i>
      <x v="20"/>
    </i>
    <i>
      <x v="35"/>
    </i>
    <i>
      <x v="70"/>
    </i>
    <i>
      <x v="69"/>
    </i>
    <i>
      <x v="8"/>
    </i>
    <i>
      <x v="48"/>
    </i>
    <i t="grand">
      <x/>
    </i>
  </rowItems>
  <colItems count="1">
    <i/>
  </colItems>
  <pageFields count="1">
    <pageField fld="3" hier="-1"/>
  </pageFields>
  <dataFields count="1">
    <dataField name="Count of Time" fld="2" subtotal="count" baseField="0" baseItem="0"/>
  </dataFields>
  <formats count="5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/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5A26B4B-EE1D-CA46-8A4E-8AB6344B355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:M20" firstHeaderRow="1" firstDataRow="1" firstDataCol="1"/>
  <pivotFields count="3">
    <pivotField showAll="0"/>
    <pivotField axis="axisRow" showAll="0" sortType="descending">
      <items count="14">
        <item x="4"/>
        <item x="0"/>
        <item x="9"/>
        <item x="7"/>
        <item x="8"/>
        <item x="5"/>
        <item x="2"/>
        <item x="10"/>
        <item x="1"/>
        <item x="3"/>
        <item x="12"/>
        <item x="1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4">
    <i>
      <x v="1"/>
    </i>
    <i>
      <x v="8"/>
    </i>
    <i>
      <x v="6"/>
    </i>
    <i>
      <x/>
    </i>
    <i>
      <x v="9"/>
    </i>
    <i>
      <x v="2"/>
    </i>
    <i>
      <x v="4"/>
    </i>
    <i>
      <x v="5"/>
    </i>
    <i>
      <x v="7"/>
    </i>
    <i>
      <x v="12"/>
    </i>
    <i>
      <x v="11"/>
    </i>
    <i>
      <x v="3"/>
    </i>
    <i>
      <x v="10"/>
    </i>
    <i t="grand">
      <x/>
    </i>
  </rowItems>
  <colItems count="1">
    <i/>
  </colItems>
  <dataFields count="1">
    <dataField name="Sum of Count of Finals Appearances" fld="2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F4FDC63-6F7A-BD41-ADCA-DD984E6B8C7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me Team">
  <location ref="A5:B14" firstHeaderRow="1" firstDataRow="1" firstDataCol="1" rowPageCount="1" colPageCount="1"/>
  <pivotFields count="13">
    <pivotField showAll="0"/>
    <pivotField numFmtId="15" showAll="0"/>
    <pivotField dataField="1" showAll="0"/>
    <pivotField axis="axisPage" multipleItemSelectionAllowed="1" showAll="0">
      <items count="24">
        <item x="5"/>
        <item h="1" x="9"/>
        <item h="1" x="0"/>
        <item h="1" x="2"/>
        <item h="1" x="3"/>
        <item h="1" x="1"/>
        <item h="1" x="13"/>
        <item h="1" x="10"/>
        <item h="1" x="12"/>
        <item h="1" x="11"/>
        <item h="1" x="14"/>
        <item h="1" x="15"/>
        <item h="1" x="17"/>
        <item h="1" x="16"/>
        <item h="1" x="20"/>
        <item h="1" x="19"/>
        <item h="1" x="8"/>
        <item h="1" x="22"/>
        <item h="1" x="6"/>
        <item h="1" x="7"/>
        <item h="1" x="18"/>
        <item h="1" x="4"/>
        <item h="1" x="21"/>
        <item t="default"/>
      </items>
    </pivotField>
    <pivotField showAll="0"/>
    <pivotField showAll="0"/>
    <pivotField showAll="0"/>
    <pivotField axis="axisRow" showAll="0" sortType="descending">
      <items count="79">
        <item x="38"/>
        <item x="66"/>
        <item x="4"/>
        <item x="33"/>
        <item x="9"/>
        <item x="28"/>
        <item x="53"/>
        <item x="77"/>
        <item x="7"/>
        <item x="29"/>
        <item x="47"/>
        <item x="40"/>
        <item x="5"/>
        <item x="60"/>
        <item x="70"/>
        <item x="49"/>
        <item x="46"/>
        <item x="59"/>
        <item x="17"/>
        <item x="67"/>
        <item x="16"/>
        <item x="44"/>
        <item x="63"/>
        <item x="18"/>
        <item x="0"/>
        <item x="30"/>
        <item x="13"/>
        <item x="19"/>
        <item x="71"/>
        <item x="55"/>
        <item x="36"/>
        <item x="39"/>
        <item x="10"/>
        <item x="76"/>
        <item x="69"/>
        <item x="43"/>
        <item x="15"/>
        <item x="56"/>
        <item x="58"/>
        <item x="26"/>
        <item x="42"/>
        <item x="23"/>
        <item x="41"/>
        <item x="35"/>
        <item x="74"/>
        <item x="51"/>
        <item x="22"/>
        <item x="50"/>
        <item x="8"/>
        <item x="27"/>
        <item x="32"/>
        <item x="25"/>
        <item x="48"/>
        <item x="3"/>
        <item x="54"/>
        <item x="52"/>
        <item x="34"/>
        <item x="61"/>
        <item x="73"/>
        <item x="65"/>
        <item x="75"/>
        <item x="62"/>
        <item x="57"/>
        <item x="21"/>
        <item x="14"/>
        <item x="12"/>
        <item x="11"/>
        <item x="68"/>
        <item x="64"/>
        <item x="37"/>
        <item x="20"/>
        <item x="72"/>
        <item x="45"/>
        <item x="6"/>
        <item x="1"/>
        <item x="24"/>
        <item x="2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9">
    <i>
      <x v="8"/>
    </i>
    <i>
      <x v="36"/>
    </i>
    <i>
      <x v="27"/>
    </i>
    <i>
      <x v="43"/>
    </i>
    <i>
      <x v="2"/>
    </i>
    <i>
      <x v="26"/>
    </i>
    <i>
      <x v="73"/>
    </i>
    <i>
      <x v="23"/>
    </i>
    <i t="grand">
      <x/>
    </i>
  </rowItems>
  <colItems count="1">
    <i/>
  </colItems>
  <pageFields count="1">
    <pageField fld="3" hier="-1"/>
  </pageFields>
  <dataFields count="1">
    <dataField name="Count of Time" fld="2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fieldPosition="0">
        <references count="1">
          <reference field="7" count="8">
            <x v="2"/>
            <x v="8"/>
            <x v="23"/>
            <x v="26"/>
            <x v="27"/>
            <x v="36"/>
            <x v="43"/>
            <x v="73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26EC170-28C6-4342-9EB5-9BD192760CE8}" name="PivotTable1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Y6:Y66" firstHeaderRow="1" firstDataRow="1" firstDataCol="1" rowPageCount="1" colPageCount="1"/>
  <pivotFields count="5">
    <pivotField showAll="0">
      <items count="3">
        <item x="1"/>
        <item x="0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multipleItemSelectionAllowed="1" showAll="0">
      <items count="11">
        <item x="1"/>
        <item h="1" x="4"/>
        <item h="1" x="6"/>
        <item h="1" x="5"/>
        <item h="1" x="3"/>
        <item h="1" x="9"/>
        <item x="2"/>
        <item x="7"/>
        <item x="0"/>
        <item h="1" x="8"/>
        <item t="default"/>
      </items>
    </pivotField>
    <pivotField showAll="0"/>
    <pivotField axis="axisRow" showAll="0">
      <items count="52">
        <item sd="0" x="49"/>
        <item sd="0" x="0"/>
        <item sd="0" x="45"/>
        <item sd="0" x="5"/>
        <item sd="0" x="35"/>
        <item sd="0" x="6"/>
        <item sd="0" x="26"/>
        <item sd="0" x="21"/>
        <item sd="0" x="10"/>
        <item sd="0" x="33"/>
        <item sd="0" x="34"/>
        <item sd="0" x="42"/>
        <item sd="0" x="36"/>
        <item sd="0" x="2"/>
        <item sd="0" x="19"/>
        <item sd="0" x="44"/>
        <item sd="0" x="12"/>
        <item sd="0" x="9"/>
        <item sd="0" x="3"/>
        <item sd="0" x="47"/>
        <item sd="0" x="50"/>
        <item sd="0" x="7"/>
        <item sd="0" x="4"/>
        <item sd="0" x="27"/>
        <item sd="0" x="39"/>
        <item sd="0" x="28"/>
        <item sd="0" x="17"/>
        <item sd="0" x="18"/>
        <item sd="0" x="15"/>
        <item sd="0" x="25"/>
        <item sd="0" x="38"/>
        <item sd="0" x="41"/>
        <item sd="0" x="32"/>
        <item sd="0" x="40"/>
        <item sd="0" x="16"/>
        <item sd="0" x="14"/>
        <item sd="0" x="22"/>
        <item sd="0" x="24"/>
        <item sd="0" x="23"/>
        <item sd="0" x="29"/>
        <item sd="0" x="48"/>
        <item sd="0" x="13"/>
        <item sd="0" x="20"/>
        <item sd="0" x="8"/>
        <item sd="0" x="30"/>
        <item sd="0" x="43"/>
        <item sd="0" x="46"/>
        <item x="1"/>
        <item sd="0" x="31"/>
        <item sd="0" x="37"/>
        <item sd="0" x="11"/>
        <item t="default"/>
      </items>
    </pivotField>
  </pivotFields>
  <rowFields count="2">
    <field x="4"/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r="1">
      <x/>
    </i>
    <i r="1">
      <x v="4"/>
    </i>
    <i r="1">
      <x v="7"/>
    </i>
    <i r="1">
      <x v="8"/>
    </i>
    <i r="1">
      <x v="12"/>
    </i>
    <i r="1">
      <x v="13"/>
    </i>
    <i r="1">
      <x v="18"/>
    </i>
    <i r="1">
      <x v="19"/>
    </i>
    <i>
      <x v="48"/>
    </i>
    <i>
      <x v="49"/>
    </i>
    <i>
      <x v="50"/>
    </i>
    <i t="grand">
      <x/>
    </i>
  </rowItems>
  <colItems count="1">
    <i/>
  </colItems>
  <pageFields count="1">
    <pageField fld="2" hier="-1"/>
  </pageFields>
  <formats count="6"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  <format dxfId="4">
      <pivotArea type="all" dataOnly="0" outline="0" fieldPosition="0"/>
    </format>
    <format dxfId="5">
      <pivotArea field="4" type="button" dataOnly="0" labelOnly="1" outline="0" axis="axisRow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77D9EDF-6F3C-3F46-AACE-D0F370FA8F3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6:V79" firstHeaderRow="1" firstDataRow="1" firstDataCol="1" rowPageCount="1" colPageCount="1"/>
  <pivotFields count="5">
    <pivotField showAll="0">
      <items count="3">
        <item x="1"/>
        <item x="0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showAll="0">
      <items count="11">
        <item x="1"/>
        <item x="4"/>
        <item x="6"/>
        <item x="5"/>
        <item x="3"/>
        <item x="9"/>
        <item x="2"/>
        <item x="7"/>
        <item x="0"/>
        <item x="8"/>
        <item t="default"/>
      </items>
    </pivotField>
    <pivotField showAll="0"/>
    <pivotField axis="axisRow" showAll="0">
      <items count="52">
        <item sd="0" x="49"/>
        <item sd="0" x="0"/>
        <item sd="0" x="45"/>
        <item sd="0" x="5"/>
        <item sd="0" x="35"/>
        <item sd="0" x="6"/>
        <item sd="0" x="26"/>
        <item sd="0" x="21"/>
        <item sd="0" x="10"/>
        <item sd="0" x="33"/>
        <item sd="0" x="34"/>
        <item sd="0" x="42"/>
        <item sd="0" x="36"/>
        <item sd="0" x="2"/>
        <item sd="0" x="19"/>
        <item sd="0" x="44"/>
        <item sd="0" x="12"/>
        <item sd="0" x="9"/>
        <item sd="0" x="3"/>
        <item sd="0" x="47"/>
        <item sd="0" x="50"/>
        <item sd="0" x="7"/>
        <item sd="0" x="4"/>
        <item sd="0" x="27"/>
        <item sd="0" x="39"/>
        <item sd="0" x="28"/>
        <item sd="0" x="17"/>
        <item sd="0" x="18"/>
        <item sd="0" x="15"/>
        <item sd="0" x="25"/>
        <item sd="0" x="38"/>
        <item sd="0" x="41"/>
        <item sd="0" x="32"/>
        <item sd="0" x="40"/>
        <item sd="0" x="16"/>
        <item sd="0" x="14"/>
        <item sd="0" x="22"/>
        <item sd="0" x="24"/>
        <item sd="0" x="23"/>
        <item sd="0" x="29"/>
        <item sd="0" x="48"/>
        <item sd="0" x="13"/>
        <item sd="0" x="20"/>
        <item x="8"/>
        <item x="30"/>
        <item sd="0" x="43"/>
        <item sd="0" x="46"/>
        <item sd="0" x="1"/>
        <item sd="0" x="31"/>
        <item sd="0" x="37"/>
        <item x="11"/>
        <item t="default"/>
      </items>
    </pivotField>
  </pivotFields>
  <rowFields count="2">
    <field x="4"/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r="1">
      <x v="1"/>
    </i>
    <i r="1">
      <x v="2"/>
    </i>
    <i r="1">
      <x v="3"/>
    </i>
    <i r="1">
      <x v="5"/>
    </i>
    <i r="1">
      <x v="9"/>
    </i>
    <i r="1">
      <x v="14"/>
    </i>
    <i r="1">
      <x v="16"/>
    </i>
    <i r="1">
      <x v="17"/>
    </i>
    <i>
      <x v="44"/>
    </i>
    <i r="1">
      <x v="1"/>
    </i>
    <i r="1">
      <x v="2"/>
    </i>
    <i r="1">
      <x v="4"/>
    </i>
    <i r="1">
      <x v="14"/>
    </i>
    <i r="1">
      <x v="17"/>
    </i>
    <i r="1">
      <x v="19"/>
    </i>
    <i>
      <x v="45"/>
    </i>
    <i>
      <x v="46"/>
    </i>
    <i>
      <x v="47"/>
    </i>
    <i>
      <x v="48"/>
    </i>
    <i>
      <x v="49"/>
    </i>
    <i>
      <x v="50"/>
    </i>
    <i r="1">
      <x/>
    </i>
    <i r="1">
      <x v="4"/>
    </i>
    <i r="1">
      <x v="5"/>
    </i>
    <i r="1">
      <x v="6"/>
    </i>
    <i r="1">
      <x v="9"/>
    </i>
    <i r="1">
      <x v="13"/>
    </i>
    <i r="1">
      <x v="15"/>
    </i>
    <i t="grand">
      <x/>
    </i>
  </rowItems>
  <colItems count="1">
    <i/>
  </colItems>
  <pageFields count="1">
    <pageField fld="2" hier="-1"/>
  </pageFields>
  <formats count="16"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93">
      <pivotArea dataOnly="0" labelOnly="1" fieldPosition="0">
        <references count="1">
          <reference field="4" count="1">
            <x v="40"/>
          </reference>
        </references>
      </pivotArea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4" count="10">
            <x v="1"/>
            <x v="5"/>
            <x v="16"/>
            <x v="17"/>
            <x v="18"/>
            <x v="22"/>
            <x v="28"/>
            <x v="42"/>
            <x v="43"/>
            <x v="47"/>
          </reference>
        </references>
      </pivotArea>
    </format>
    <format dxfId="90">
      <pivotArea dataOnly="0" labelOnly="1" fieldPosition="0">
        <references count="1">
          <reference field="4" count="10">
            <x v="1"/>
            <x v="5"/>
            <x v="16"/>
            <x v="17"/>
            <x v="18"/>
            <x v="22"/>
            <x v="28"/>
            <x v="42"/>
            <x v="43"/>
            <x v="47"/>
          </reference>
        </references>
      </pivotArea>
    </format>
    <format dxfId="15">
      <pivotArea type="all" dataOnly="0" outline="0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">
      <pivotArea dataOnly="0" labelOnly="1" fieldPosition="0">
        <references count="1">
          <reference field="4" count="1">
            <x v="50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" count="7">
            <x v="2"/>
            <x v="5"/>
            <x v="11"/>
            <x v="12"/>
            <x v="15"/>
            <x v="17"/>
            <x v="19"/>
          </reference>
          <reference field="4" count="1" selected="0">
            <x v="17"/>
          </reference>
        </references>
      </pivotArea>
    </format>
    <format dxfId="9">
      <pivotArea dataOnly="0" labelOnly="1" fieldPosition="0">
        <references count="2">
          <reference field="1" count="8">
            <x v="8"/>
            <x v="12"/>
            <x v="14"/>
            <x v="15"/>
            <x v="16"/>
            <x v="17"/>
            <x v="18"/>
            <x v="19"/>
          </reference>
          <reference field="4" count="1" selected="0">
            <x v="26"/>
          </reference>
        </references>
      </pivotArea>
    </format>
    <format dxfId="8">
      <pivotArea dataOnly="0" labelOnly="1" fieldPosition="0">
        <references count="2">
          <reference field="1" count="8">
            <x v="1"/>
            <x v="3"/>
            <x v="12"/>
            <x v="13"/>
            <x v="14"/>
            <x v="16"/>
            <x v="17"/>
            <x v="18"/>
          </reference>
          <reference field="4" count="1" selected="0">
            <x v="42"/>
          </reference>
        </references>
      </pivotArea>
    </format>
    <format dxfId="7">
      <pivotArea dataOnly="0" labelOnly="1" fieldPosition="0">
        <references count="2">
          <reference field="1" count="9">
            <x v="0"/>
            <x v="3"/>
            <x v="4"/>
            <x v="7"/>
            <x v="8"/>
            <x v="12"/>
            <x v="13"/>
            <x v="18"/>
            <x v="19"/>
          </reference>
          <reference field="4" count="1" selected="0">
            <x v="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4.xml"/><Relationship Id="rId2" Type="http://purl.oclc.org/ooxml/officeDocument/relationships/pivotTable" Target="../pivotTables/pivotTable3.xml"/><Relationship Id="rId1" Type="http://purl.oclc.org/ooxml/officeDocument/relationships/pivotTable" Target="../pivotTables/pivotTable2.xml"/><Relationship Id="rId4" Type="http://purl.oclc.org/ooxml/officeDocument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8.xml"/><Relationship Id="rId2" Type="http://purl.oclc.org/ooxml/officeDocument/relationships/pivotTable" Target="../pivotTables/pivotTable7.xml"/><Relationship Id="rId1" Type="http://purl.oclc.org/ooxml/officeDocument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pivotTable" Target="../pivotTables/pivotTable10.xml"/><Relationship Id="rId1" Type="http://purl.oclc.org/ooxml/officeDocument/relationships/pivotTable" Target="../pivotTables/pivotTable9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F2E6-0173-994E-AECE-034B9646F3E7}">
  <sheetPr filterMode="1"/>
  <dimension ref="A1:L837"/>
  <sheetViews>
    <sheetView topLeftCell="D1" zoomScale="134" workbookViewId="0">
      <selection activeCell="J4" sqref="J4:J808"/>
    </sheetView>
  </sheetViews>
  <sheetFormatPr baseColWidth="10" defaultRowHeight="16" x14ac:dyDescent="0.2"/>
  <cols>
    <col min="1" max="1" width="8" style="1" bestFit="1" customWidth="1"/>
    <col min="2" max="2" width="11" style="1" bestFit="1" customWidth="1"/>
    <col min="3" max="3" width="8.1640625" style="1" bestFit="1" customWidth="1"/>
    <col min="4" max="4" width="16.83203125" style="1" customWidth="1"/>
    <col min="5" max="5" width="21" style="1" customWidth="1"/>
    <col min="6" max="6" width="18.83203125" style="1" customWidth="1"/>
    <col min="7" max="7" width="12.83203125" style="1" bestFit="1" customWidth="1"/>
    <col min="8" max="8" width="16" style="1" customWidth="1"/>
    <col min="9" max="9" width="14.5" style="1" bestFit="1" customWidth="1"/>
    <col min="10" max="10" width="14" style="1" bestFit="1" customWidth="1"/>
    <col min="11" max="11" width="24" style="1" bestFit="1" customWidth="1"/>
    <col min="12" max="12" width="40.83203125" style="1" customWidth="1"/>
    <col min="13" max="16384" width="10.832031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s="1">
        <v>1930</v>
      </c>
      <c r="B2" s="2" t="d">
        <v>2030-07-13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>
        <v>1</v>
      </c>
      <c r="K2" s="1" t="s">
        <v>18</v>
      </c>
      <c r="L2" s="1" t="s">
        <v>19</v>
      </c>
    </row>
    <row r="3" spans="1:12" hidden="1" x14ac:dyDescent="0.2">
      <c r="A3" s="1">
        <v>1930</v>
      </c>
      <c r="B3" s="2" t="d">
        <v>2030-07-13</v>
      </c>
      <c r="C3" s="1" t="s">
        <v>12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22</v>
      </c>
      <c r="I3" s="1">
        <v>3</v>
      </c>
      <c r="J3" s="1">
        <v>0</v>
      </c>
      <c r="K3" s="1" t="s">
        <v>23</v>
      </c>
      <c r="L3" s="1" t="s">
        <v>19</v>
      </c>
    </row>
    <row r="4" spans="1:12" x14ac:dyDescent="0.2">
      <c r="A4" s="1">
        <v>1930</v>
      </c>
      <c r="B4" s="2" t="d">
        <v>2030-07-14</v>
      </c>
      <c r="C4" s="1" t="s">
        <v>24</v>
      </c>
      <c r="D4" s="1" t="s">
        <v>25</v>
      </c>
      <c r="E4" s="1" t="s">
        <v>21</v>
      </c>
      <c r="F4" s="1" t="s">
        <v>15</v>
      </c>
      <c r="G4" s="1" t="s">
        <v>16</v>
      </c>
      <c r="H4" s="1" t="s">
        <v>26</v>
      </c>
      <c r="I4" s="1">
        <v>2</v>
      </c>
      <c r="J4" s="1">
        <v>1</v>
      </c>
      <c r="K4" s="1" t="s">
        <v>27</v>
      </c>
      <c r="L4" s="1" t="s">
        <v>19</v>
      </c>
    </row>
    <row r="5" spans="1:12" hidden="1" x14ac:dyDescent="0.2">
      <c r="A5" s="1">
        <v>1930</v>
      </c>
      <c r="B5" s="2" t="d">
        <v>2030-07-14</v>
      </c>
      <c r="C5" s="1" t="s">
        <v>28</v>
      </c>
      <c r="D5" s="1" t="s">
        <v>29</v>
      </c>
      <c r="E5" s="1" t="s">
        <v>14</v>
      </c>
      <c r="F5" s="1" t="s">
        <v>15</v>
      </c>
      <c r="G5" s="1" t="s">
        <v>16</v>
      </c>
      <c r="H5" s="1" t="s">
        <v>30</v>
      </c>
      <c r="I5" s="1">
        <v>3</v>
      </c>
      <c r="J5" s="1">
        <v>1</v>
      </c>
      <c r="K5" s="1" t="s">
        <v>31</v>
      </c>
      <c r="L5" s="1" t="s">
        <v>19</v>
      </c>
    </row>
    <row r="6" spans="1:12" hidden="1" x14ac:dyDescent="0.2">
      <c r="A6" s="1">
        <v>1930</v>
      </c>
      <c r="B6" s="2" t="d">
        <v>2030-07-15</v>
      </c>
      <c r="C6" s="1" t="s">
        <v>32</v>
      </c>
      <c r="D6" s="1" t="s">
        <v>13</v>
      </c>
      <c r="E6" s="1" t="s">
        <v>21</v>
      </c>
      <c r="F6" s="1" t="s">
        <v>15</v>
      </c>
      <c r="G6" s="1" t="s">
        <v>16</v>
      </c>
      <c r="H6" s="1" t="s">
        <v>33</v>
      </c>
      <c r="I6" s="1">
        <v>1</v>
      </c>
      <c r="J6" s="1">
        <v>0</v>
      </c>
      <c r="K6" s="1" t="s">
        <v>17</v>
      </c>
      <c r="L6" s="1" t="s">
        <v>19</v>
      </c>
    </row>
    <row r="7" spans="1:12" hidden="1" x14ac:dyDescent="0.2">
      <c r="A7" s="1">
        <v>1930</v>
      </c>
      <c r="B7" s="2" t="d">
        <v>2030-07-16</v>
      </c>
      <c r="C7" s="1" t="s">
        <v>34</v>
      </c>
      <c r="D7" s="1" t="s">
        <v>13</v>
      </c>
      <c r="E7" s="1" t="s">
        <v>21</v>
      </c>
      <c r="F7" s="1" t="s">
        <v>15</v>
      </c>
      <c r="G7" s="1" t="s">
        <v>16</v>
      </c>
      <c r="H7" s="1" t="s">
        <v>35</v>
      </c>
      <c r="I7" s="1">
        <v>3</v>
      </c>
      <c r="J7" s="1">
        <v>0</v>
      </c>
      <c r="K7" s="1" t="s">
        <v>18</v>
      </c>
      <c r="L7" s="1" t="s">
        <v>19</v>
      </c>
    </row>
    <row r="8" spans="1:12" hidden="1" x14ac:dyDescent="0.2">
      <c r="A8" s="1">
        <v>1930</v>
      </c>
      <c r="B8" s="2" t="d">
        <v>2030-07-17</v>
      </c>
      <c r="C8" s="1" t="s">
        <v>24</v>
      </c>
      <c r="D8" s="1" t="s">
        <v>25</v>
      </c>
      <c r="E8" s="1" t="s">
        <v>21</v>
      </c>
      <c r="F8" s="1" t="s">
        <v>15</v>
      </c>
      <c r="G8" s="1" t="s">
        <v>16</v>
      </c>
      <c r="H8" s="1" t="s">
        <v>26</v>
      </c>
      <c r="I8" s="1">
        <v>4</v>
      </c>
      <c r="J8" s="1">
        <v>0</v>
      </c>
      <c r="K8" s="1" t="s">
        <v>36</v>
      </c>
      <c r="L8" s="1" t="s">
        <v>19</v>
      </c>
    </row>
    <row r="9" spans="1:12" hidden="1" x14ac:dyDescent="0.2">
      <c r="A9" s="1">
        <v>1930</v>
      </c>
      <c r="B9" s="2" t="d">
        <v>2030-07-17</v>
      </c>
      <c r="C9" s="1" t="s">
        <v>34</v>
      </c>
      <c r="D9" s="1" t="s">
        <v>20</v>
      </c>
      <c r="E9" s="1" t="s">
        <v>21</v>
      </c>
      <c r="F9" s="1" t="s">
        <v>15</v>
      </c>
      <c r="G9" s="1" t="s">
        <v>16</v>
      </c>
      <c r="H9" s="1" t="s">
        <v>22</v>
      </c>
      <c r="I9" s="1">
        <v>3</v>
      </c>
      <c r="J9" s="1">
        <v>0</v>
      </c>
      <c r="K9" s="1" t="s">
        <v>37</v>
      </c>
      <c r="L9" s="1" t="s">
        <v>19</v>
      </c>
    </row>
    <row r="10" spans="1:12" hidden="1" x14ac:dyDescent="0.2">
      <c r="A10" s="1">
        <v>1930</v>
      </c>
      <c r="B10" s="2" t="d">
        <v>2030-07-18</v>
      </c>
      <c r="C10" s="1" t="s">
        <v>38</v>
      </c>
      <c r="D10" s="1" t="s">
        <v>29</v>
      </c>
      <c r="E10" s="1" t="s">
        <v>39</v>
      </c>
      <c r="F10" s="1" t="s">
        <v>15</v>
      </c>
      <c r="G10" s="1" t="s">
        <v>16</v>
      </c>
      <c r="H10" s="1" t="s">
        <v>16</v>
      </c>
      <c r="I10" s="1">
        <v>1</v>
      </c>
      <c r="J10" s="1">
        <v>0</v>
      </c>
      <c r="K10" s="1" t="s">
        <v>31</v>
      </c>
      <c r="L10" s="1" t="s">
        <v>19</v>
      </c>
    </row>
    <row r="11" spans="1:12" hidden="1" x14ac:dyDescent="0.2">
      <c r="A11" s="1">
        <v>1930</v>
      </c>
      <c r="B11" s="2" t="d">
        <v>2030-07-19</v>
      </c>
      <c r="C11" s="1" t="s">
        <v>40</v>
      </c>
      <c r="D11" s="1" t="s">
        <v>13</v>
      </c>
      <c r="E11" s="1" t="s">
        <v>39</v>
      </c>
      <c r="F11" s="1" t="s">
        <v>15</v>
      </c>
      <c r="G11" s="1" t="s">
        <v>16</v>
      </c>
      <c r="H11" s="1" t="s">
        <v>35</v>
      </c>
      <c r="I11" s="1">
        <v>1</v>
      </c>
      <c r="J11" s="1">
        <v>0</v>
      </c>
      <c r="K11" s="1" t="s">
        <v>17</v>
      </c>
      <c r="L11" s="1" t="s">
        <v>19</v>
      </c>
    </row>
    <row r="12" spans="1:12" hidden="1" x14ac:dyDescent="0.2">
      <c r="A12" s="1">
        <v>1930</v>
      </c>
      <c r="B12" s="2" t="d">
        <v>2030-07-19</v>
      </c>
      <c r="C12" s="1" t="s">
        <v>12</v>
      </c>
      <c r="D12" s="1" t="s">
        <v>13</v>
      </c>
      <c r="E12" s="1" t="s">
        <v>39</v>
      </c>
      <c r="F12" s="1" t="s">
        <v>15</v>
      </c>
      <c r="G12" s="1" t="s">
        <v>16</v>
      </c>
      <c r="H12" s="1" t="s">
        <v>33</v>
      </c>
      <c r="I12" s="1">
        <v>6</v>
      </c>
      <c r="J12" s="1">
        <v>3</v>
      </c>
      <c r="K12" s="1" t="s">
        <v>18</v>
      </c>
      <c r="L12" s="1" t="s">
        <v>19</v>
      </c>
    </row>
    <row r="13" spans="1:12" hidden="1" x14ac:dyDescent="0.2">
      <c r="A13" s="1">
        <v>1930</v>
      </c>
      <c r="B13" s="2" t="d">
        <v>2030-07-20</v>
      </c>
      <c r="C13" s="1" t="s">
        <v>41</v>
      </c>
      <c r="D13" s="1" t="s">
        <v>25</v>
      </c>
      <c r="E13" s="1" t="s">
        <v>39</v>
      </c>
      <c r="F13" s="1" t="s">
        <v>15</v>
      </c>
      <c r="G13" s="1" t="s">
        <v>16</v>
      </c>
      <c r="H13" s="1" t="s">
        <v>27</v>
      </c>
      <c r="I13" s="1">
        <v>4</v>
      </c>
      <c r="J13" s="1">
        <v>0</v>
      </c>
      <c r="K13" s="1" t="s">
        <v>36</v>
      </c>
      <c r="L13" s="1" t="s">
        <v>19</v>
      </c>
    </row>
    <row r="14" spans="1:12" hidden="1" x14ac:dyDescent="0.2">
      <c r="A14" s="1">
        <v>1930</v>
      </c>
      <c r="B14" s="2" t="d">
        <v>2030-07-20</v>
      </c>
      <c r="C14" s="1" t="s">
        <v>12</v>
      </c>
      <c r="D14" s="1" t="s">
        <v>20</v>
      </c>
      <c r="E14" s="1" t="s">
        <v>39</v>
      </c>
      <c r="F14" s="1" t="s">
        <v>15</v>
      </c>
      <c r="G14" s="1" t="s">
        <v>16</v>
      </c>
      <c r="H14" s="1" t="s">
        <v>37</v>
      </c>
      <c r="I14" s="1">
        <v>1</v>
      </c>
      <c r="J14" s="1">
        <v>0</v>
      </c>
      <c r="K14" s="1" t="s">
        <v>23</v>
      </c>
      <c r="L14" s="1" t="s">
        <v>19</v>
      </c>
    </row>
    <row r="15" spans="1:12" hidden="1" x14ac:dyDescent="0.2">
      <c r="A15" s="1">
        <v>1930</v>
      </c>
      <c r="B15" s="2" t="d">
        <v>2030-07-21</v>
      </c>
      <c r="C15" s="1" t="s">
        <v>28</v>
      </c>
      <c r="D15" s="1" t="s">
        <v>29</v>
      </c>
      <c r="E15" s="1" t="s">
        <v>39</v>
      </c>
      <c r="F15" s="1" t="s">
        <v>15</v>
      </c>
      <c r="G15" s="1" t="s">
        <v>16</v>
      </c>
      <c r="H15" s="1" t="s">
        <v>16</v>
      </c>
      <c r="I15" s="1">
        <v>4</v>
      </c>
      <c r="J15" s="1">
        <v>0</v>
      </c>
      <c r="K15" s="1" t="s">
        <v>30</v>
      </c>
      <c r="L15" s="1" t="s">
        <v>19</v>
      </c>
    </row>
    <row r="16" spans="1:12" hidden="1" x14ac:dyDescent="0.2">
      <c r="A16" s="1">
        <v>1930</v>
      </c>
      <c r="B16" s="2" t="d">
        <v>2030-07-22</v>
      </c>
      <c r="C16" s="1" t="s">
        <v>34</v>
      </c>
      <c r="D16" s="1" t="s">
        <v>13</v>
      </c>
      <c r="E16" s="1" t="s">
        <v>39</v>
      </c>
      <c r="F16" s="1" t="s">
        <v>15</v>
      </c>
      <c r="G16" s="1" t="s">
        <v>16</v>
      </c>
      <c r="H16" s="1" t="s">
        <v>33</v>
      </c>
      <c r="I16" s="1">
        <v>3</v>
      </c>
      <c r="J16" s="1">
        <v>1</v>
      </c>
      <c r="K16" s="1" t="s">
        <v>35</v>
      </c>
      <c r="L16" s="1" t="s">
        <v>19</v>
      </c>
    </row>
    <row r="17" spans="1:12" hidden="1" x14ac:dyDescent="0.2">
      <c r="A17" s="1">
        <v>1930</v>
      </c>
      <c r="B17" s="2" t="d">
        <v>2030-07-26</v>
      </c>
      <c r="C17" s="1" t="s">
        <v>34</v>
      </c>
      <c r="D17" s="12" t="s">
        <v>42</v>
      </c>
      <c r="E17" s="1" t="s">
        <v>39</v>
      </c>
      <c r="F17" s="1" t="s">
        <v>15</v>
      </c>
      <c r="G17" s="1" t="s">
        <v>16</v>
      </c>
      <c r="H17" s="1" t="s">
        <v>33</v>
      </c>
      <c r="I17" s="1">
        <v>6</v>
      </c>
      <c r="J17" s="1">
        <v>1</v>
      </c>
      <c r="K17" s="1" t="s">
        <v>22</v>
      </c>
      <c r="L17" s="1" t="s">
        <v>19</v>
      </c>
    </row>
    <row r="18" spans="1:12" hidden="1" x14ac:dyDescent="0.2">
      <c r="A18" s="1">
        <v>1930</v>
      </c>
      <c r="B18" s="2" t="d">
        <v>2030-07-27</v>
      </c>
      <c r="C18" s="1" t="s">
        <v>34</v>
      </c>
      <c r="D18" s="12" t="s">
        <v>42</v>
      </c>
      <c r="E18" s="1" t="s">
        <v>39</v>
      </c>
      <c r="F18" s="1" t="s">
        <v>15</v>
      </c>
      <c r="G18" s="1" t="s">
        <v>16</v>
      </c>
      <c r="H18" s="1" t="s">
        <v>16</v>
      </c>
      <c r="I18" s="1">
        <v>6</v>
      </c>
      <c r="J18" s="1">
        <v>1</v>
      </c>
      <c r="K18" s="1" t="s">
        <v>26</v>
      </c>
      <c r="L18" s="1" t="s">
        <v>19</v>
      </c>
    </row>
    <row r="19" spans="1:12" hidden="1" x14ac:dyDescent="0.2">
      <c r="A19" s="1">
        <v>1930</v>
      </c>
      <c r="B19" s="2" t="d">
        <v>2030-07-30</v>
      </c>
      <c r="C19" s="1" t="s">
        <v>43</v>
      </c>
      <c r="D19" s="12" t="s">
        <v>44</v>
      </c>
      <c r="E19" s="1" t="s">
        <v>39</v>
      </c>
      <c r="F19" s="1" t="s">
        <v>15</v>
      </c>
      <c r="G19" s="1" t="s">
        <v>16</v>
      </c>
      <c r="H19" s="1" t="s">
        <v>16</v>
      </c>
      <c r="I19" s="1">
        <v>4</v>
      </c>
      <c r="J19" s="1">
        <v>2</v>
      </c>
      <c r="K19" s="1" t="s">
        <v>33</v>
      </c>
      <c r="L19" s="1" t="s">
        <v>19</v>
      </c>
    </row>
    <row r="20" spans="1:12" hidden="1" x14ac:dyDescent="0.2">
      <c r="A20" s="1">
        <v>1934</v>
      </c>
      <c r="B20" s="2" t="d">
        <v>2034-05-27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>
        <v>3</v>
      </c>
      <c r="J20" s="1">
        <v>2</v>
      </c>
      <c r="K20" s="1" t="s">
        <v>17</v>
      </c>
      <c r="L20" s="1" t="s">
        <v>51</v>
      </c>
    </row>
    <row r="21" spans="1:12" hidden="1" x14ac:dyDescent="0.2">
      <c r="A21" s="1">
        <v>1934</v>
      </c>
      <c r="B21" s="2" t="d">
        <v>2034-05-27</v>
      </c>
      <c r="C21" s="1" t="s">
        <v>45</v>
      </c>
      <c r="D21" s="1" t="s">
        <v>46</v>
      </c>
      <c r="E21" s="1" t="s">
        <v>52</v>
      </c>
      <c r="F21" s="1" t="s">
        <v>53</v>
      </c>
      <c r="G21" s="1" t="s">
        <v>49</v>
      </c>
      <c r="H21" s="1" t="s">
        <v>54</v>
      </c>
      <c r="I21" s="1">
        <v>4</v>
      </c>
      <c r="J21" s="1">
        <v>2</v>
      </c>
      <c r="K21" s="1" t="s">
        <v>55</v>
      </c>
      <c r="L21" s="1" t="s">
        <v>19</v>
      </c>
    </row>
    <row r="22" spans="1:12" hidden="1" x14ac:dyDescent="0.2">
      <c r="A22" s="1">
        <v>1934</v>
      </c>
      <c r="B22" s="2" t="d">
        <v>2034-05-27</v>
      </c>
      <c r="C22" s="1" t="s">
        <v>45</v>
      </c>
      <c r="D22" s="1" t="s">
        <v>46</v>
      </c>
      <c r="E22" s="1" t="s">
        <v>56</v>
      </c>
      <c r="F22" s="1" t="s">
        <v>57</v>
      </c>
      <c r="G22" s="1" t="s">
        <v>49</v>
      </c>
      <c r="H22" s="1" t="s">
        <v>58</v>
      </c>
      <c r="I22" s="1">
        <v>3</v>
      </c>
      <c r="J22" s="1">
        <v>2</v>
      </c>
      <c r="K22" s="1" t="s">
        <v>59</v>
      </c>
      <c r="L22" s="1" t="s">
        <v>19</v>
      </c>
    </row>
    <row r="23" spans="1:12" hidden="1" x14ac:dyDescent="0.2">
      <c r="A23" s="1">
        <v>1934</v>
      </c>
      <c r="B23" s="2" t="d">
        <v>2034-05-27</v>
      </c>
      <c r="C23" s="1" t="s">
        <v>45</v>
      </c>
      <c r="D23" s="1" t="s">
        <v>46</v>
      </c>
      <c r="E23" s="1" t="s">
        <v>60</v>
      </c>
      <c r="F23" s="1" t="s">
        <v>61</v>
      </c>
      <c r="G23" s="1" t="s">
        <v>49</v>
      </c>
      <c r="H23" s="1" t="s">
        <v>62</v>
      </c>
      <c r="I23" s="1">
        <v>3</v>
      </c>
      <c r="J23" s="1">
        <v>2</v>
      </c>
      <c r="K23" s="1" t="s">
        <v>33</v>
      </c>
      <c r="L23" s="1" t="s">
        <v>19</v>
      </c>
    </row>
    <row r="24" spans="1:12" hidden="1" x14ac:dyDescent="0.2">
      <c r="A24" s="1">
        <v>1934</v>
      </c>
      <c r="B24" s="2" t="d">
        <v>2034-05-27</v>
      </c>
      <c r="C24" s="1" t="s">
        <v>45</v>
      </c>
      <c r="D24" s="1" t="s">
        <v>46</v>
      </c>
      <c r="E24" s="1" t="s">
        <v>63</v>
      </c>
      <c r="F24" s="1" t="s">
        <v>64</v>
      </c>
      <c r="G24" s="1" t="s">
        <v>49</v>
      </c>
      <c r="H24" s="1" t="s">
        <v>65</v>
      </c>
      <c r="I24" s="1">
        <v>5</v>
      </c>
      <c r="J24" s="1">
        <v>2</v>
      </c>
      <c r="K24" s="1" t="s">
        <v>23</v>
      </c>
      <c r="L24" s="1" t="s">
        <v>19</v>
      </c>
    </row>
    <row r="25" spans="1:12" x14ac:dyDescent="0.2">
      <c r="A25" s="1">
        <v>1934</v>
      </c>
      <c r="B25" s="2" t="d">
        <v>2034-05-27</v>
      </c>
      <c r="C25" s="1" t="s">
        <v>45</v>
      </c>
      <c r="D25" s="1" t="s">
        <v>46</v>
      </c>
      <c r="E25" s="1" t="s">
        <v>66</v>
      </c>
      <c r="F25" s="1" t="s">
        <v>67</v>
      </c>
      <c r="G25" s="1" t="s">
        <v>49</v>
      </c>
      <c r="H25" s="1" t="s">
        <v>68</v>
      </c>
      <c r="I25" s="1">
        <v>3</v>
      </c>
      <c r="J25" s="1">
        <v>1</v>
      </c>
      <c r="K25" s="1" t="s">
        <v>27</v>
      </c>
      <c r="L25" s="1" t="s">
        <v>19</v>
      </c>
    </row>
    <row r="26" spans="1:12" hidden="1" x14ac:dyDescent="0.2">
      <c r="A26" s="1">
        <v>1934</v>
      </c>
      <c r="B26" s="2" t="d">
        <v>2034-05-27</v>
      </c>
      <c r="C26" s="1" t="s">
        <v>45</v>
      </c>
      <c r="D26" s="1" t="s">
        <v>46</v>
      </c>
      <c r="E26" s="1" t="s">
        <v>69</v>
      </c>
      <c r="F26" s="1" t="s">
        <v>70</v>
      </c>
      <c r="G26" s="1" t="s">
        <v>49</v>
      </c>
      <c r="H26" s="1" t="s">
        <v>49</v>
      </c>
      <c r="I26" s="1">
        <v>7</v>
      </c>
      <c r="J26" s="1">
        <v>1</v>
      </c>
      <c r="K26" s="1" t="s">
        <v>22</v>
      </c>
      <c r="L26" s="1" t="s">
        <v>19</v>
      </c>
    </row>
    <row r="27" spans="1:12" hidden="1" x14ac:dyDescent="0.2">
      <c r="A27" s="1">
        <v>1934</v>
      </c>
      <c r="B27" s="2" t="d">
        <v>2034-05-27</v>
      </c>
      <c r="C27" s="1" t="s">
        <v>45</v>
      </c>
      <c r="D27" s="1" t="s">
        <v>46</v>
      </c>
      <c r="E27" s="1" t="s">
        <v>71</v>
      </c>
      <c r="F27" s="1" t="s">
        <v>72</v>
      </c>
      <c r="G27" s="1" t="s">
        <v>49</v>
      </c>
      <c r="H27" s="1" t="s">
        <v>73</v>
      </c>
      <c r="I27" s="1">
        <v>2</v>
      </c>
      <c r="J27" s="1">
        <v>1</v>
      </c>
      <c r="K27" s="1" t="s">
        <v>30</v>
      </c>
      <c r="L27" s="1" t="s">
        <v>19</v>
      </c>
    </row>
    <row r="28" spans="1:12" hidden="1" x14ac:dyDescent="0.2">
      <c r="A28" s="1">
        <v>1934</v>
      </c>
      <c r="B28" s="2" t="d">
        <v>2034-05-31</v>
      </c>
      <c r="C28" s="1" t="s">
        <v>45</v>
      </c>
      <c r="D28" s="12" t="s">
        <v>74</v>
      </c>
      <c r="E28" s="1" t="s">
        <v>47</v>
      </c>
      <c r="F28" s="1" t="s">
        <v>48</v>
      </c>
      <c r="G28" s="1" t="s">
        <v>49</v>
      </c>
      <c r="H28" s="1" t="s">
        <v>73</v>
      </c>
      <c r="I28" s="1">
        <v>3</v>
      </c>
      <c r="J28" s="1">
        <v>2</v>
      </c>
      <c r="K28" s="1" t="s">
        <v>58</v>
      </c>
      <c r="L28" s="1" t="s">
        <v>19</v>
      </c>
    </row>
    <row r="29" spans="1:12" hidden="1" x14ac:dyDescent="0.2">
      <c r="A29" s="1">
        <v>1934</v>
      </c>
      <c r="B29" s="2" t="d">
        <v>2034-05-31</v>
      </c>
      <c r="C29" s="1" t="s">
        <v>45</v>
      </c>
      <c r="D29" s="12" t="s">
        <v>74</v>
      </c>
      <c r="E29" s="1" t="s">
        <v>56</v>
      </c>
      <c r="F29" s="1" t="s">
        <v>57</v>
      </c>
      <c r="G29" s="1" t="s">
        <v>49</v>
      </c>
      <c r="H29" s="1" t="s">
        <v>65</v>
      </c>
      <c r="I29" s="1">
        <v>2</v>
      </c>
      <c r="J29" s="1">
        <v>1</v>
      </c>
      <c r="K29" s="1" t="s">
        <v>62</v>
      </c>
      <c r="L29" s="1" t="s">
        <v>19</v>
      </c>
    </row>
    <row r="30" spans="1:12" hidden="1" x14ac:dyDescent="0.2">
      <c r="A30" s="1">
        <v>1934</v>
      </c>
      <c r="B30" s="2" t="d">
        <v>2034-05-31</v>
      </c>
      <c r="C30" s="1" t="s">
        <v>45</v>
      </c>
      <c r="D30" s="12" t="s">
        <v>74</v>
      </c>
      <c r="E30" s="1" t="s">
        <v>63</v>
      </c>
      <c r="F30" s="1" t="s">
        <v>64</v>
      </c>
      <c r="G30" s="1" t="s">
        <v>49</v>
      </c>
      <c r="H30" s="1" t="s">
        <v>49</v>
      </c>
      <c r="I30" s="1">
        <v>1</v>
      </c>
      <c r="J30" s="1">
        <v>1</v>
      </c>
      <c r="K30" s="1" t="s">
        <v>68</v>
      </c>
      <c r="L30" s="1" t="s">
        <v>19</v>
      </c>
    </row>
    <row r="31" spans="1:12" hidden="1" x14ac:dyDescent="0.2">
      <c r="A31" s="1">
        <v>1934</v>
      </c>
      <c r="B31" s="2" t="d">
        <v>2034-05-31</v>
      </c>
      <c r="C31" s="1" t="s">
        <v>45</v>
      </c>
      <c r="D31" s="12" t="s">
        <v>74</v>
      </c>
      <c r="E31" s="1" t="s">
        <v>60</v>
      </c>
      <c r="F31" s="1" t="s">
        <v>61</v>
      </c>
      <c r="G31" s="1" t="s">
        <v>49</v>
      </c>
      <c r="H31" s="1" t="s">
        <v>50</v>
      </c>
      <c r="I31" s="1">
        <v>2</v>
      </c>
      <c r="J31" s="1">
        <v>1</v>
      </c>
      <c r="K31" s="1" t="s">
        <v>54</v>
      </c>
      <c r="L31" s="1" t="s">
        <v>19</v>
      </c>
    </row>
    <row r="32" spans="1:12" hidden="1" x14ac:dyDescent="0.2">
      <c r="A32" s="1">
        <v>1934</v>
      </c>
      <c r="B32" s="2" t="d">
        <v>2034-06-01</v>
      </c>
      <c r="C32" s="1" t="s">
        <v>45</v>
      </c>
      <c r="D32" s="12" t="s">
        <v>74</v>
      </c>
      <c r="E32" s="1" t="s">
        <v>63</v>
      </c>
      <c r="F32" s="1" t="s">
        <v>64</v>
      </c>
      <c r="G32" s="1" t="s">
        <v>49</v>
      </c>
      <c r="H32" s="1" t="s">
        <v>49</v>
      </c>
      <c r="I32" s="1">
        <v>1</v>
      </c>
      <c r="J32" s="1">
        <v>0</v>
      </c>
      <c r="K32" s="1" t="s">
        <v>68</v>
      </c>
      <c r="L32" s="1" t="s">
        <v>19</v>
      </c>
    </row>
    <row r="33" spans="1:12" hidden="1" x14ac:dyDescent="0.2">
      <c r="A33" s="1">
        <v>1934</v>
      </c>
      <c r="B33" s="2" t="d">
        <v>2034-06-03</v>
      </c>
      <c r="C33" s="1" t="s">
        <v>45</v>
      </c>
      <c r="D33" s="12" t="s">
        <v>42</v>
      </c>
      <c r="E33" s="1" t="s">
        <v>56</v>
      </c>
      <c r="F33" s="1" t="s">
        <v>57</v>
      </c>
      <c r="G33" s="1" t="s">
        <v>49</v>
      </c>
      <c r="H33" s="1" t="s">
        <v>49</v>
      </c>
      <c r="I33" s="1">
        <v>1</v>
      </c>
      <c r="J33" s="1">
        <v>0</v>
      </c>
      <c r="K33" s="1" t="s">
        <v>50</v>
      </c>
      <c r="L33" s="1" t="s">
        <v>19</v>
      </c>
    </row>
    <row r="34" spans="1:12" hidden="1" x14ac:dyDescent="0.2">
      <c r="A34" s="1">
        <v>1934</v>
      </c>
      <c r="B34" s="2" t="d">
        <v>2034-06-03</v>
      </c>
      <c r="C34" s="1" t="s">
        <v>45</v>
      </c>
      <c r="D34" s="12" t="s">
        <v>42</v>
      </c>
      <c r="E34" s="1" t="s">
        <v>69</v>
      </c>
      <c r="F34" s="1" t="s">
        <v>70</v>
      </c>
      <c r="G34" s="1" t="s">
        <v>49</v>
      </c>
      <c r="H34" s="1" t="s">
        <v>73</v>
      </c>
      <c r="I34" s="1">
        <v>3</v>
      </c>
      <c r="J34" s="1">
        <v>1</v>
      </c>
      <c r="K34" s="1" t="s">
        <v>65</v>
      </c>
      <c r="L34" s="1" t="s">
        <v>19</v>
      </c>
    </row>
    <row r="35" spans="1:12" hidden="1" x14ac:dyDescent="0.2">
      <c r="A35" s="1">
        <v>1934</v>
      </c>
      <c r="B35" s="2" t="d">
        <v>2034-06-07</v>
      </c>
      <c r="C35" s="1" t="s">
        <v>75</v>
      </c>
      <c r="D35" s="12" t="s">
        <v>76</v>
      </c>
      <c r="E35" s="1" t="s">
        <v>52</v>
      </c>
      <c r="F35" s="1" t="s">
        <v>53</v>
      </c>
      <c r="G35" s="1" t="s">
        <v>49</v>
      </c>
      <c r="H35" s="1" t="s">
        <v>65</v>
      </c>
      <c r="I35" s="1">
        <v>3</v>
      </c>
      <c r="J35" s="1">
        <v>2</v>
      </c>
      <c r="K35" s="1" t="s">
        <v>50</v>
      </c>
      <c r="L35" s="1" t="s">
        <v>19</v>
      </c>
    </row>
    <row r="36" spans="1:12" hidden="1" x14ac:dyDescent="0.2">
      <c r="A36" s="1">
        <v>1934</v>
      </c>
      <c r="B36" s="2" t="d">
        <v>2034-06-10</v>
      </c>
      <c r="C36" s="1" t="s">
        <v>77</v>
      </c>
      <c r="D36" s="12" t="s">
        <v>44</v>
      </c>
      <c r="E36" s="1" t="s">
        <v>69</v>
      </c>
      <c r="F36" s="1" t="s">
        <v>70</v>
      </c>
      <c r="G36" s="1" t="s">
        <v>49</v>
      </c>
      <c r="H36" s="1" t="s">
        <v>49</v>
      </c>
      <c r="I36" s="1">
        <v>2</v>
      </c>
      <c r="J36" s="1">
        <v>1</v>
      </c>
      <c r="K36" s="1" t="s">
        <v>73</v>
      </c>
      <c r="L36" s="1" t="s">
        <v>78</v>
      </c>
    </row>
    <row r="37" spans="1:12" hidden="1" x14ac:dyDescent="0.2">
      <c r="A37" s="1">
        <v>1938</v>
      </c>
      <c r="B37" s="2" t="d">
        <v>2038-06-04</v>
      </c>
      <c r="C37" s="1" t="s">
        <v>79</v>
      </c>
      <c r="D37" s="1" t="s">
        <v>80</v>
      </c>
      <c r="E37" s="1" t="s">
        <v>81</v>
      </c>
      <c r="F37" s="1" t="s">
        <v>82</v>
      </c>
      <c r="G37" s="1" t="s">
        <v>17</v>
      </c>
      <c r="H37" s="1" t="s">
        <v>58</v>
      </c>
      <c r="I37" s="1">
        <v>1</v>
      </c>
      <c r="J37" s="1">
        <v>1</v>
      </c>
      <c r="K37" s="1" t="s">
        <v>65</v>
      </c>
      <c r="L37" s="1" t="s">
        <v>19</v>
      </c>
    </row>
    <row r="38" spans="1:12" hidden="1" x14ac:dyDescent="0.2">
      <c r="A38" s="1">
        <v>1938</v>
      </c>
      <c r="B38" s="2" t="d">
        <v>2038-06-05</v>
      </c>
      <c r="C38" s="1" t="s">
        <v>79</v>
      </c>
      <c r="D38" s="1" t="s">
        <v>80</v>
      </c>
      <c r="E38" s="1" t="s">
        <v>83</v>
      </c>
      <c r="F38" s="1" t="s">
        <v>84</v>
      </c>
      <c r="G38" s="1" t="s">
        <v>17</v>
      </c>
      <c r="H38" s="1" t="s">
        <v>54</v>
      </c>
      <c r="I38" s="1">
        <v>6</v>
      </c>
      <c r="J38" s="1">
        <v>0</v>
      </c>
      <c r="K38" s="1" t="s">
        <v>85</v>
      </c>
      <c r="L38" s="1" t="s">
        <v>19</v>
      </c>
    </row>
    <row r="39" spans="1:12" hidden="1" x14ac:dyDescent="0.2">
      <c r="A39" s="1">
        <v>1938</v>
      </c>
      <c r="B39" s="2" t="d">
        <v>2038-06-05</v>
      </c>
      <c r="C39" s="1" t="s">
        <v>79</v>
      </c>
      <c r="D39" s="1" t="s">
        <v>80</v>
      </c>
      <c r="E39" s="1" t="s">
        <v>86</v>
      </c>
      <c r="F39" s="1" t="s">
        <v>87</v>
      </c>
      <c r="G39" s="1" t="s">
        <v>17</v>
      </c>
      <c r="H39" s="1" t="s">
        <v>17</v>
      </c>
      <c r="I39" s="1">
        <v>3</v>
      </c>
      <c r="J39" s="1">
        <v>1</v>
      </c>
      <c r="K39" s="1" t="s">
        <v>23</v>
      </c>
      <c r="L39" s="1" t="s">
        <v>19</v>
      </c>
    </row>
    <row r="40" spans="1:12" hidden="1" x14ac:dyDescent="0.2">
      <c r="A40" s="1">
        <v>1938</v>
      </c>
      <c r="B40" s="2" t="d">
        <v>2038-06-05</v>
      </c>
      <c r="C40" s="1" t="s">
        <v>79</v>
      </c>
      <c r="D40" s="1" t="s">
        <v>80</v>
      </c>
      <c r="E40" s="1" t="s">
        <v>88</v>
      </c>
      <c r="F40" s="1" t="s">
        <v>89</v>
      </c>
      <c r="G40" s="1" t="s">
        <v>17</v>
      </c>
      <c r="H40" s="1" t="s">
        <v>90</v>
      </c>
      <c r="I40" s="1">
        <v>3</v>
      </c>
      <c r="J40" s="1">
        <v>3</v>
      </c>
      <c r="K40" s="1" t="s">
        <v>30</v>
      </c>
      <c r="L40" s="1" t="s">
        <v>19</v>
      </c>
    </row>
    <row r="41" spans="1:12" hidden="1" x14ac:dyDescent="0.2">
      <c r="A41" s="1">
        <v>1938</v>
      </c>
      <c r="B41" s="2" t="d">
        <v>2038-06-05</v>
      </c>
      <c r="C41" s="1" t="s">
        <v>79</v>
      </c>
      <c r="D41" s="1" t="s">
        <v>80</v>
      </c>
      <c r="E41" s="1" t="s">
        <v>91</v>
      </c>
      <c r="F41" s="1" t="s">
        <v>92</v>
      </c>
      <c r="G41" s="1" t="s">
        <v>17</v>
      </c>
      <c r="H41" s="1" t="s">
        <v>49</v>
      </c>
      <c r="I41" s="1">
        <v>2</v>
      </c>
      <c r="J41" s="1">
        <v>1</v>
      </c>
      <c r="K41" s="1" t="s">
        <v>93</v>
      </c>
      <c r="L41" s="1" t="s">
        <v>78</v>
      </c>
    </row>
    <row r="42" spans="1:12" hidden="1" x14ac:dyDescent="0.2">
      <c r="A42" s="1">
        <v>1938</v>
      </c>
      <c r="B42" s="2" t="d">
        <v>2038-06-05</v>
      </c>
      <c r="C42" s="1" t="s">
        <v>77</v>
      </c>
      <c r="D42" s="1" t="s">
        <v>80</v>
      </c>
      <c r="E42" s="1" t="s">
        <v>94</v>
      </c>
      <c r="F42" s="1" t="s">
        <v>95</v>
      </c>
      <c r="G42" s="1" t="s">
        <v>17</v>
      </c>
      <c r="H42" s="1" t="s">
        <v>27</v>
      </c>
      <c r="I42" s="1">
        <v>6</v>
      </c>
      <c r="J42" s="1">
        <v>5</v>
      </c>
      <c r="K42" s="1" t="s">
        <v>96</v>
      </c>
      <c r="L42" s="1" t="s">
        <v>97</v>
      </c>
    </row>
    <row r="43" spans="1:12" hidden="1" x14ac:dyDescent="0.2">
      <c r="A43" s="1">
        <v>1938</v>
      </c>
      <c r="B43" s="2" t="d">
        <v>2038-06-05</v>
      </c>
      <c r="C43" s="1" t="s">
        <v>98</v>
      </c>
      <c r="D43" s="1" t="s">
        <v>80</v>
      </c>
      <c r="E43" s="1" t="s">
        <v>99</v>
      </c>
      <c r="F43" s="1" t="s">
        <v>100</v>
      </c>
      <c r="G43" s="1" t="s">
        <v>17</v>
      </c>
      <c r="H43" s="1" t="s">
        <v>73</v>
      </c>
      <c r="I43" s="1">
        <v>3</v>
      </c>
      <c r="J43" s="1">
        <v>0</v>
      </c>
      <c r="K43" s="1" t="s">
        <v>59</v>
      </c>
      <c r="L43" s="1" t="s">
        <v>101</v>
      </c>
    </row>
    <row r="44" spans="1:12" hidden="1" x14ac:dyDescent="0.2">
      <c r="A44" s="1">
        <v>1938</v>
      </c>
      <c r="B44" s="2" t="d">
        <v>2038-06-09</v>
      </c>
      <c r="C44" s="1" t="s">
        <v>75</v>
      </c>
      <c r="D44" s="1" t="s">
        <v>80</v>
      </c>
      <c r="E44" s="1" t="s">
        <v>88</v>
      </c>
      <c r="F44" s="1" t="s">
        <v>89</v>
      </c>
      <c r="G44" s="1" t="s">
        <v>17</v>
      </c>
      <c r="H44" s="1" t="s">
        <v>90</v>
      </c>
      <c r="I44" s="1">
        <v>2</v>
      </c>
      <c r="J44" s="1">
        <v>1</v>
      </c>
      <c r="K44" s="1" t="s">
        <v>30</v>
      </c>
      <c r="L44" s="1" t="s">
        <v>19</v>
      </c>
    </row>
    <row r="45" spans="1:12" hidden="1" x14ac:dyDescent="0.2">
      <c r="A45" s="1">
        <v>1938</v>
      </c>
      <c r="B45" s="2" t="d">
        <v>2038-06-09</v>
      </c>
      <c r="C45" s="1" t="s">
        <v>75</v>
      </c>
      <c r="D45" s="1" t="s">
        <v>80</v>
      </c>
      <c r="E45" s="1" t="s">
        <v>81</v>
      </c>
      <c r="F45" s="1" t="s">
        <v>82</v>
      </c>
      <c r="G45" s="1" t="s">
        <v>17</v>
      </c>
      <c r="H45" s="1" t="s">
        <v>58</v>
      </c>
      <c r="I45" s="1">
        <v>4</v>
      </c>
      <c r="J45" s="1">
        <v>2</v>
      </c>
      <c r="K45" s="1" t="s">
        <v>65</v>
      </c>
      <c r="L45" s="1" t="s">
        <v>19</v>
      </c>
    </row>
    <row r="46" spans="1:12" hidden="1" x14ac:dyDescent="0.2">
      <c r="A46" s="1">
        <v>1938</v>
      </c>
      <c r="B46" s="2" t="d">
        <v>2038-06-12</v>
      </c>
      <c r="C46" s="1" t="s">
        <v>79</v>
      </c>
      <c r="D46" s="12" t="s">
        <v>74</v>
      </c>
      <c r="E46" s="1" t="s">
        <v>102</v>
      </c>
      <c r="F46" s="1" t="s">
        <v>103</v>
      </c>
      <c r="G46" s="1" t="s">
        <v>17</v>
      </c>
      <c r="H46" s="1" t="s">
        <v>27</v>
      </c>
      <c r="I46" s="1">
        <v>1</v>
      </c>
      <c r="J46" s="1">
        <v>1</v>
      </c>
      <c r="K46" s="1" t="s">
        <v>73</v>
      </c>
      <c r="L46" s="1" t="s">
        <v>19</v>
      </c>
    </row>
    <row r="47" spans="1:12" hidden="1" x14ac:dyDescent="0.2">
      <c r="A47" s="1">
        <v>1938</v>
      </c>
      <c r="B47" s="2" t="d">
        <v>2038-06-12</v>
      </c>
      <c r="C47" s="1" t="s">
        <v>79</v>
      </c>
      <c r="D47" s="12" t="s">
        <v>74</v>
      </c>
      <c r="E47" s="1" t="s">
        <v>104</v>
      </c>
      <c r="F47" s="1" t="s">
        <v>105</v>
      </c>
      <c r="G47" s="1" t="s">
        <v>17</v>
      </c>
      <c r="H47" s="1" t="s">
        <v>54</v>
      </c>
      <c r="I47" s="1">
        <v>2</v>
      </c>
      <c r="J47" s="1">
        <v>0</v>
      </c>
      <c r="K47" s="1" t="s">
        <v>58</v>
      </c>
      <c r="L47" s="1" t="s">
        <v>19</v>
      </c>
    </row>
    <row r="48" spans="1:12" hidden="1" x14ac:dyDescent="0.2">
      <c r="A48" s="1">
        <v>1938</v>
      </c>
      <c r="B48" s="2" t="d">
        <v>2038-06-12</v>
      </c>
      <c r="C48" s="1" t="s">
        <v>79</v>
      </c>
      <c r="D48" s="12" t="s">
        <v>74</v>
      </c>
      <c r="E48" s="1" t="s">
        <v>106</v>
      </c>
      <c r="F48" s="1" t="s">
        <v>107</v>
      </c>
      <c r="G48" s="1" t="s">
        <v>17</v>
      </c>
      <c r="H48" s="1" t="s">
        <v>62</v>
      </c>
      <c r="I48" s="1">
        <v>8</v>
      </c>
      <c r="J48" s="1">
        <v>0</v>
      </c>
      <c r="K48" s="1" t="s">
        <v>90</v>
      </c>
      <c r="L48" s="1" t="s">
        <v>19</v>
      </c>
    </row>
    <row r="49" spans="1:12" hidden="1" x14ac:dyDescent="0.2">
      <c r="A49" s="1">
        <v>1938</v>
      </c>
      <c r="B49" s="2" t="d">
        <v>2038-06-12</v>
      </c>
      <c r="C49" s="1" t="s">
        <v>79</v>
      </c>
      <c r="D49" s="12" t="s">
        <v>74</v>
      </c>
      <c r="E49" s="1" t="s">
        <v>86</v>
      </c>
      <c r="F49" s="1" t="s">
        <v>87</v>
      </c>
      <c r="G49" s="1" t="s">
        <v>17</v>
      </c>
      <c r="H49" s="1" t="s">
        <v>49</v>
      </c>
      <c r="I49" s="1">
        <v>3</v>
      </c>
      <c r="J49" s="1">
        <v>1</v>
      </c>
      <c r="K49" s="1" t="s">
        <v>17</v>
      </c>
      <c r="L49" s="1" t="s">
        <v>19</v>
      </c>
    </row>
    <row r="50" spans="1:12" hidden="1" x14ac:dyDescent="0.2">
      <c r="A50" s="1">
        <v>1938</v>
      </c>
      <c r="B50" s="2" t="d">
        <v>2038-06-14</v>
      </c>
      <c r="C50" s="1" t="s">
        <v>75</v>
      </c>
      <c r="D50" s="12" t="s">
        <v>74</v>
      </c>
      <c r="E50" s="1" t="s">
        <v>102</v>
      </c>
      <c r="F50" s="1" t="s">
        <v>103</v>
      </c>
      <c r="G50" s="1" t="s">
        <v>17</v>
      </c>
      <c r="H50" s="1" t="s">
        <v>27</v>
      </c>
      <c r="I50" s="1">
        <v>2</v>
      </c>
      <c r="J50" s="1">
        <v>1</v>
      </c>
      <c r="K50" s="1" t="s">
        <v>73</v>
      </c>
      <c r="L50" s="1" t="s">
        <v>19</v>
      </c>
    </row>
    <row r="51" spans="1:12" hidden="1" x14ac:dyDescent="0.2">
      <c r="A51" s="1">
        <v>1938</v>
      </c>
      <c r="B51" s="2" t="d">
        <v>2038-06-16</v>
      </c>
      <c r="C51" s="1" t="s">
        <v>75</v>
      </c>
      <c r="D51" s="12" t="s">
        <v>42</v>
      </c>
      <c r="E51" s="1" t="s">
        <v>81</v>
      </c>
      <c r="F51" s="1" t="s">
        <v>82</v>
      </c>
      <c r="G51" s="1" t="s">
        <v>17</v>
      </c>
      <c r="H51" s="1" t="s">
        <v>54</v>
      </c>
      <c r="I51" s="1">
        <v>5</v>
      </c>
      <c r="J51" s="1">
        <v>1</v>
      </c>
      <c r="K51" s="1" t="s">
        <v>62</v>
      </c>
      <c r="L51" s="1" t="s">
        <v>19</v>
      </c>
    </row>
    <row r="52" spans="1:12" x14ac:dyDescent="0.2">
      <c r="A52" s="1">
        <v>1938</v>
      </c>
      <c r="B52" s="2" t="d">
        <v>2038-06-16</v>
      </c>
      <c r="C52" s="1" t="s">
        <v>75</v>
      </c>
      <c r="D52" s="12" t="s">
        <v>42</v>
      </c>
      <c r="E52" s="1" t="s">
        <v>91</v>
      </c>
      <c r="F52" s="1" t="s">
        <v>92</v>
      </c>
      <c r="G52" s="1" t="s">
        <v>17</v>
      </c>
      <c r="H52" s="1" t="s">
        <v>49</v>
      </c>
      <c r="I52" s="1">
        <v>2</v>
      </c>
      <c r="J52" s="1">
        <v>1</v>
      </c>
      <c r="K52" s="1" t="s">
        <v>27</v>
      </c>
      <c r="L52" s="1" t="s">
        <v>19</v>
      </c>
    </row>
    <row r="53" spans="1:12" hidden="1" x14ac:dyDescent="0.2">
      <c r="A53" s="1">
        <v>1938</v>
      </c>
      <c r="B53" s="2" t="d">
        <v>2038-06-19</v>
      </c>
      <c r="C53" s="1" t="s">
        <v>79</v>
      </c>
      <c r="D53" s="12" t="s">
        <v>76</v>
      </c>
      <c r="E53" s="1" t="s">
        <v>102</v>
      </c>
      <c r="F53" s="1" t="s">
        <v>103</v>
      </c>
      <c r="G53" s="1" t="s">
        <v>17</v>
      </c>
      <c r="H53" s="1" t="s">
        <v>27</v>
      </c>
      <c r="I53" s="1">
        <v>4</v>
      </c>
      <c r="J53" s="1">
        <v>2</v>
      </c>
      <c r="K53" s="1" t="s">
        <v>62</v>
      </c>
      <c r="L53" s="1" t="s">
        <v>19</v>
      </c>
    </row>
    <row r="54" spans="1:12" hidden="1" x14ac:dyDescent="0.2">
      <c r="A54" s="1">
        <v>1938</v>
      </c>
      <c r="B54" s="2" t="d">
        <v>2038-06-19</v>
      </c>
      <c r="C54" s="1" t="s">
        <v>79</v>
      </c>
      <c r="D54" s="12" t="s">
        <v>44</v>
      </c>
      <c r="E54" s="1" t="s">
        <v>86</v>
      </c>
      <c r="F54" s="1" t="s">
        <v>87</v>
      </c>
      <c r="G54" s="1" t="s">
        <v>17</v>
      </c>
      <c r="H54" s="1" t="s">
        <v>49</v>
      </c>
      <c r="I54" s="1">
        <v>4</v>
      </c>
      <c r="J54" s="1">
        <v>2</v>
      </c>
      <c r="K54" s="1" t="s">
        <v>54</v>
      </c>
      <c r="L54" s="1" t="s">
        <v>19</v>
      </c>
    </row>
    <row r="55" spans="1:12" hidden="1" x14ac:dyDescent="0.2">
      <c r="A55" s="1">
        <v>1950</v>
      </c>
      <c r="B55" s="2" t="d">
        <v>1950-06-24</v>
      </c>
      <c r="C55" s="1" t="s">
        <v>12</v>
      </c>
      <c r="D55" s="1" t="s">
        <v>13</v>
      </c>
      <c r="E55" s="1" t="s">
        <v>108</v>
      </c>
      <c r="F55" s="1" t="s">
        <v>109</v>
      </c>
      <c r="G55" s="1" t="s">
        <v>27</v>
      </c>
      <c r="H55" s="1" t="s">
        <v>27</v>
      </c>
      <c r="I55" s="1">
        <v>4</v>
      </c>
      <c r="J55" s="1">
        <v>0</v>
      </c>
      <c r="K55" s="1" t="s">
        <v>18</v>
      </c>
      <c r="L55" s="1" t="s">
        <v>19</v>
      </c>
    </row>
    <row r="56" spans="1:12" hidden="1" x14ac:dyDescent="0.2">
      <c r="A56" s="1">
        <v>1950</v>
      </c>
      <c r="B56" s="2" t="d">
        <v>1950-06-25</v>
      </c>
      <c r="C56" s="1" t="s">
        <v>12</v>
      </c>
      <c r="D56" s="1" t="s">
        <v>25</v>
      </c>
      <c r="E56" s="1" t="s">
        <v>108</v>
      </c>
      <c r="F56" s="1" t="s">
        <v>109</v>
      </c>
      <c r="G56" s="1" t="s">
        <v>27</v>
      </c>
      <c r="H56" s="1" t="s">
        <v>110</v>
      </c>
      <c r="I56" s="1">
        <v>2</v>
      </c>
      <c r="J56" s="1">
        <v>0</v>
      </c>
      <c r="K56" s="1" t="s">
        <v>35</v>
      </c>
      <c r="L56" s="1" t="s">
        <v>19</v>
      </c>
    </row>
    <row r="57" spans="1:12" hidden="1" x14ac:dyDescent="0.2">
      <c r="A57" s="1">
        <v>1950</v>
      </c>
      <c r="B57" s="2" t="d">
        <v>1950-06-25</v>
      </c>
      <c r="C57" s="1" t="s">
        <v>12</v>
      </c>
      <c r="D57" s="1" t="s">
        <v>25</v>
      </c>
      <c r="E57" s="1" t="s">
        <v>111</v>
      </c>
      <c r="F57" s="1" t="s">
        <v>112</v>
      </c>
      <c r="G57" s="1" t="s">
        <v>27</v>
      </c>
      <c r="H57" s="1" t="s">
        <v>68</v>
      </c>
      <c r="I57" s="1">
        <v>3</v>
      </c>
      <c r="J57" s="1">
        <v>1</v>
      </c>
      <c r="K57" s="1" t="s">
        <v>22</v>
      </c>
      <c r="L57" s="1" t="s">
        <v>19</v>
      </c>
    </row>
    <row r="58" spans="1:12" hidden="1" x14ac:dyDescent="0.2">
      <c r="A58" s="1">
        <v>1950</v>
      </c>
      <c r="B58" s="2" t="d">
        <v>1950-06-25</v>
      </c>
      <c r="C58" s="1" t="s">
        <v>12</v>
      </c>
      <c r="D58" s="1" t="s">
        <v>29</v>
      </c>
      <c r="E58" s="1" t="s">
        <v>113</v>
      </c>
      <c r="F58" s="1" t="s">
        <v>114</v>
      </c>
      <c r="G58" s="1" t="s">
        <v>27</v>
      </c>
      <c r="H58" s="1" t="s">
        <v>62</v>
      </c>
      <c r="I58" s="1">
        <v>3</v>
      </c>
      <c r="J58" s="1">
        <v>2</v>
      </c>
      <c r="K58" s="1" t="s">
        <v>49</v>
      </c>
      <c r="L58" s="1" t="s">
        <v>19</v>
      </c>
    </row>
    <row r="59" spans="1:12" hidden="1" x14ac:dyDescent="0.2">
      <c r="A59" s="1">
        <v>1950</v>
      </c>
      <c r="B59" s="2" t="d">
        <v>1950-06-25</v>
      </c>
      <c r="C59" s="1" t="s">
        <v>12</v>
      </c>
      <c r="D59" s="1" t="s">
        <v>13</v>
      </c>
      <c r="E59" s="1" t="s">
        <v>115</v>
      </c>
      <c r="F59" s="1" t="s">
        <v>116</v>
      </c>
      <c r="G59" s="1" t="s">
        <v>27</v>
      </c>
      <c r="H59" s="1" t="s">
        <v>26</v>
      </c>
      <c r="I59" s="1">
        <v>3</v>
      </c>
      <c r="J59" s="1">
        <v>0</v>
      </c>
      <c r="K59" s="1" t="s">
        <v>58</v>
      </c>
      <c r="L59" s="1" t="s">
        <v>19</v>
      </c>
    </row>
    <row r="60" spans="1:12" hidden="1" x14ac:dyDescent="0.2">
      <c r="A60" s="1">
        <v>1950</v>
      </c>
      <c r="B60" s="2" t="d">
        <v>1950-06-28</v>
      </c>
      <c r="C60" s="1" t="s">
        <v>12</v>
      </c>
      <c r="D60" s="1" t="s">
        <v>13</v>
      </c>
      <c r="E60" s="1" t="s">
        <v>113</v>
      </c>
      <c r="F60" s="1" t="s">
        <v>114</v>
      </c>
      <c r="G60" s="1" t="s">
        <v>27</v>
      </c>
      <c r="H60" s="1" t="s">
        <v>27</v>
      </c>
      <c r="I60" s="1">
        <v>2</v>
      </c>
      <c r="J60" s="1">
        <v>2</v>
      </c>
      <c r="K60" s="1" t="s">
        <v>58</v>
      </c>
      <c r="L60" s="1" t="s">
        <v>19</v>
      </c>
    </row>
    <row r="61" spans="1:12" hidden="1" x14ac:dyDescent="0.2">
      <c r="A61" s="1">
        <v>1950</v>
      </c>
      <c r="B61" s="2" t="d">
        <v>1950-06-28</v>
      </c>
      <c r="C61" s="1" t="s">
        <v>12</v>
      </c>
      <c r="D61" s="1" t="s">
        <v>13</v>
      </c>
      <c r="E61" s="1" t="s">
        <v>117</v>
      </c>
      <c r="F61" s="1" t="s">
        <v>118</v>
      </c>
      <c r="G61" s="1" t="s">
        <v>27</v>
      </c>
      <c r="H61" s="1" t="s">
        <v>26</v>
      </c>
      <c r="I61" s="1">
        <v>4</v>
      </c>
      <c r="J61" s="1">
        <v>1</v>
      </c>
      <c r="K61" s="1" t="s">
        <v>18</v>
      </c>
      <c r="L61" s="1" t="s">
        <v>19</v>
      </c>
    </row>
    <row r="62" spans="1:12" hidden="1" x14ac:dyDescent="0.2">
      <c r="A62" s="1">
        <v>1950</v>
      </c>
      <c r="B62" s="2" t="d">
        <v>1950-06-29</v>
      </c>
      <c r="C62" s="1" t="s">
        <v>12</v>
      </c>
      <c r="D62" s="1" t="s">
        <v>25</v>
      </c>
      <c r="E62" s="1" t="s">
        <v>108</v>
      </c>
      <c r="F62" s="1" t="s">
        <v>109</v>
      </c>
      <c r="G62" s="1" t="s">
        <v>27</v>
      </c>
      <c r="H62" s="1" t="s">
        <v>68</v>
      </c>
      <c r="I62" s="1">
        <v>2</v>
      </c>
      <c r="J62" s="1">
        <v>0</v>
      </c>
      <c r="K62" s="1" t="s">
        <v>35</v>
      </c>
      <c r="L62" s="1" t="s">
        <v>19</v>
      </c>
    </row>
    <row r="63" spans="1:12" hidden="1" x14ac:dyDescent="0.2">
      <c r="A63" s="1">
        <v>1950</v>
      </c>
      <c r="B63" s="2" t="d">
        <v>1950-06-29</v>
      </c>
      <c r="C63" s="1" t="s">
        <v>119</v>
      </c>
      <c r="D63" s="1" t="s">
        <v>29</v>
      </c>
      <c r="E63" s="1" t="s">
        <v>111</v>
      </c>
      <c r="F63" s="1" t="s">
        <v>112</v>
      </c>
      <c r="G63" s="1" t="s">
        <v>27</v>
      </c>
      <c r="H63" s="1" t="s">
        <v>62</v>
      </c>
      <c r="I63" s="1">
        <v>2</v>
      </c>
      <c r="J63" s="1">
        <v>2</v>
      </c>
      <c r="K63" s="1" t="s">
        <v>37</v>
      </c>
      <c r="L63" s="1" t="s">
        <v>19</v>
      </c>
    </row>
    <row r="64" spans="1:12" hidden="1" x14ac:dyDescent="0.2">
      <c r="A64" s="1">
        <v>1950</v>
      </c>
      <c r="B64" s="2" t="d">
        <v>1950-06-29</v>
      </c>
      <c r="C64" s="1" t="s">
        <v>12</v>
      </c>
      <c r="D64" s="1" t="s">
        <v>25</v>
      </c>
      <c r="E64" s="1" t="s">
        <v>115</v>
      </c>
      <c r="F64" s="1" t="s">
        <v>116</v>
      </c>
      <c r="G64" s="1" t="s">
        <v>27</v>
      </c>
      <c r="H64" s="1" t="s">
        <v>22</v>
      </c>
      <c r="I64" s="1">
        <v>1</v>
      </c>
      <c r="J64" s="1">
        <v>0</v>
      </c>
      <c r="K64" s="1" t="s">
        <v>110</v>
      </c>
      <c r="L64" s="1" t="s">
        <v>19</v>
      </c>
    </row>
    <row r="65" spans="1:12" hidden="1" x14ac:dyDescent="0.2">
      <c r="A65" s="1">
        <v>1950</v>
      </c>
      <c r="B65" s="2" t="d">
        <v>1950-07-01</v>
      </c>
      <c r="C65" s="1" t="s">
        <v>12</v>
      </c>
      <c r="D65" s="1" t="s">
        <v>13</v>
      </c>
      <c r="E65" s="1" t="s">
        <v>108</v>
      </c>
      <c r="F65" s="1" t="s">
        <v>109</v>
      </c>
      <c r="G65" s="1" t="s">
        <v>27</v>
      </c>
      <c r="H65" s="1" t="s">
        <v>27</v>
      </c>
      <c r="I65" s="1">
        <v>2</v>
      </c>
      <c r="J65" s="1">
        <v>0</v>
      </c>
      <c r="K65" s="1" t="s">
        <v>26</v>
      </c>
      <c r="L65" s="1" t="s">
        <v>19</v>
      </c>
    </row>
    <row r="66" spans="1:12" hidden="1" x14ac:dyDescent="0.2">
      <c r="A66" s="1">
        <v>1950</v>
      </c>
      <c r="B66" s="2" t="d">
        <v>1950-07-02</v>
      </c>
      <c r="C66" s="1" t="s">
        <v>12</v>
      </c>
      <c r="D66" s="1" t="s">
        <v>25</v>
      </c>
      <c r="E66" s="1" t="s">
        <v>108</v>
      </c>
      <c r="F66" s="1" t="s">
        <v>109</v>
      </c>
      <c r="G66" s="1" t="s">
        <v>27</v>
      </c>
      <c r="H66" s="1" t="s">
        <v>68</v>
      </c>
      <c r="I66" s="1">
        <v>1</v>
      </c>
      <c r="J66" s="1">
        <v>0</v>
      </c>
      <c r="K66" s="1" t="s">
        <v>110</v>
      </c>
      <c r="L66" s="1" t="s">
        <v>19</v>
      </c>
    </row>
    <row r="67" spans="1:12" hidden="1" x14ac:dyDescent="0.2">
      <c r="A67" s="1">
        <v>1950</v>
      </c>
      <c r="B67" s="2" t="d">
        <v>1950-07-02</v>
      </c>
      <c r="C67" s="1" t="s">
        <v>12</v>
      </c>
      <c r="D67" s="1" t="s">
        <v>29</v>
      </c>
      <c r="E67" s="1" t="s">
        <v>113</v>
      </c>
      <c r="F67" s="1" t="s">
        <v>114</v>
      </c>
      <c r="G67" s="1" t="s">
        <v>27</v>
      </c>
      <c r="H67" s="1" t="s">
        <v>49</v>
      </c>
      <c r="I67" s="1">
        <v>2</v>
      </c>
      <c r="J67" s="1">
        <v>0</v>
      </c>
      <c r="K67" s="1" t="s">
        <v>37</v>
      </c>
      <c r="L67" s="1" t="s">
        <v>19</v>
      </c>
    </row>
    <row r="68" spans="1:12" hidden="1" x14ac:dyDescent="0.2">
      <c r="A68" s="1">
        <v>1950</v>
      </c>
      <c r="B68" s="2" t="d">
        <v>1950-07-02</v>
      </c>
      <c r="C68" s="1" t="s">
        <v>12</v>
      </c>
      <c r="D68" s="1" t="s">
        <v>20</v>
      </c>
      <c r="E68" s="1" t="s">
        <v>115</v>
      </c>
      <c r="F68" s="1" t="s">
        <v>116</v>
      </c>
      <c r="G68" s="1" t="s">
        <v>27</v>
      </c>
      <c r="H68" s="1" t="s">
        <v>16</v>
      </c>
      <c r="I68" s="1">
        <v>8</v>
      </c>
      <c r="J68" s="1">
        <v>0</v>
      </c>
      <c r="K68" s="1" t="s">
        <v>36</v>
      </c>
      <c r="L68" s="1" t="s">
        <v>19</v>
      </c>
    </row>
    <row r="69" spans="1:12" hidden="1" x14ac:dyDescent="0.2">
      <c r="A69" s="1">
        <v>1950</v>
      </c>
      <c r="B69" s="2" t="d">
        <v>1950-07-02</v>
      </c>
      <c r="C69" s="1" t="s">
        <v>120</v>
      </c>
      <c r="D69" s="1" t="s">
        <v>13</v>
      </c>
      <c r="E69" s="1" t="s">
        <v>117</v>
      </c>
      <c r="F69" s="1" t="s">
        <v>118</v>
      </c>
      <c r="G69" s="1" t="s">
        <v>27</v>
      </c>
      <c r="H69" s="1" t="s">
        <v>58</v>
      </c>
      <c r="I69" s="1">
        <v>2</v>
      </c>
      <c r="J69" s="1">
        <v>1</v>
      </c>
      <c r="K69" s="1" t="s">
        <v>18</v>
      </c>
      <c r="L69" s="1" t="s">
        <v>19</v>
      </c>
    </row>
    <row r="70" spans="1:12" hidden="1" x14ac:dyDescent="0.2">
      <c r="A70" s="1">
        <v>1950</v>
      </c>
      <c r="B70" s="2" t="d">
        <v>1950-07-02</v>
      </c>
      <c r="C70" s="1" t="s">
        <v>12</v>
      </c>
      <c r="D70" s="1" t="s">
        <v>25</v>
      </c>
      <c r="E70" s="1" t="s">
        <v>121</v>
      </c>
      <c r="F70" s="1" t="s">
        <v>122</v>
      </c>
      <c r="G70" s="1" t="s">
        <v>27</v>
      </c>
      <c r="H70" s="1" t="s">
        <v>35</v>
      </c>
      <c r="I70" s="1">
        <v>5</v>
      </c>
      <c r="J70" s="1">
        <v>2</v>
      </c>
      <c r="K70" s="1" t="s">
        <v>22</v>
      </c>
      <c r="L70" s="1" t="s">
        <v>19</v>
      </c>
    </row>
    <row r="71" spans="1:12" hidden="1" x14ac:dyDescent="0.2">
      <c r="A71" s="1">
        <v>1950</v>
      </c>
      <c r="B71" s="2" t="d">
        <v>1950-07-09</v>
      </c>
      <c r="C71" s="1" t="s">
        <v>12</v>
      </c>
      <c r="D71" s="12" t="s">
        <v>123</v>
      </c>
      <c r="E71" s="1" t="s">
        <v>113</v>
      </c>
      <c r="F71" s="1" t="s">
        <v>114</v>
      </c>
      <c r="G71" s="1" t="s">
        <v>27</v>
      </c>
      <c r="H71" s="1" t="s">
        <v>16</v>
      </c>
      <c r="I71" s="1">
        <v>2</v>
      </c>
      <c r="J71" s="1">
        <v>2</v>
      </c>
      <c r="K71" s="1" t="s">
        <v>68</v>
      </c>
      <c r="L71" s="1" t="s">
        <v>19</v>
      </c>
    </row>
    <row r="72" spans="1:12" hidden="1" x14ac:dyDescent="0.2">
      <c r="A72" s="1">
        <v>1950</v>
      </c>
      <c r="B72" s="2" t="d">
        <v>1950-07-09</v>
      </c>
      <c r="C72" s="1" t="s">
        <v>12</v>
      </c>
      <c r="D72" s="12" t="s">
        <v>123</v>
      </c>
      <c r="E72" s="1" t="s">
        <v>108</v>
      </c>
      <c r="F72" s="1" t="s">
        <v>109</v>
      </c>
      <c r="G72" s="1" t="s">
        <v>27</v>
      </c>
      <c r="H72" s="1" t="s">
        <v>27</v>
      </c>
      <c r="I72" s="1">
        <v>7</v>
      </c>
      <c r="J72" s="1">
        <v>1</v>
      </c>
      <c r="K72" s="1" t="s">
        <v>62</v>
      </c>
      <c r="L72" s="1" t="s">
        <v>19</v>
      </c>
    </row>
    <row r="73" spans="1:12" hidden="1" x14ac:dyDescent="0.2">
      <c r="A73" s="1">
        <v>1950</v>
      </c>
      <c r="B73" s="2" t="d">
        <v>1950-07-13</v>
      </c>
      <c r="C73" s="1" t="s">
        <v>12</v>
      </c>
      <c r="D73" s="12" t="s">
        <v>123</v>
      </c>
      <c r="E73" s="1" t="s">
        <v>108</v>
      </c>
      <c r="F73" s="1" t="s">
        <v>109</v>
      </c>
      <c r="G73" s="1" t="s">
        <v>27</v>
      </c>
      <c r="H73" s="1" t="s">
        <v>27</v>
      </c>
      <c r="I73" s="1">
        <v>6</v>
      </c>
      <c r="J73" s="1">
        <v>1</v>
      </c>
      <c r="K73" s="1" t="s">
        <v>68</v>
      </c>
      <c r="L73" s="1" t="s">
        <v>19</v>
      </c>
    </row>
    <row r="74" spans="1:12" hidden="1" x14ac:dyDescent="0.2">
      <c r="A74" s="1">
        <v>1950</v>
      </c>
      <c r="B74" s="2" t="d">
        <v>1950-07-13</v>
      </c>
      <c r="C74" s="1" t="s">
        <v>12</v>
      </c>
      <c r="D74" s="12" t="s">
        <v>123</v>
      </c>
      <c r="E74" s="1" t="s">
        <v>113</v>
      </c>
      <c r="F74" s="1" t="s">
        <v>114</v>
      </c>
      <c r="G74" s="1" t="s">
        <v>27</v>
      </c>
      <c r="H74" s="1" t="s">
        <v>16</v>
      </c>
      <c r="I74" s="1">
        <v>3</v>
      </c>
      <c r="J74" s="1">
        <v>2</v>
      </c>
      <c r="K74" s="1" t="s">
        <v>62</v>
      </c>
      <c r="L74" s="1" t="s">
        <v>19</v>
      </c>
    </row>
    <row r="75" spans="1:12" hidden="1" x14ac:dyDescent="0.2">
      <c r="A75" s="1">
        <v>1950</v>
      </c>
      <c r="B75" s="2" t="d">
        <v>1950-07-16</v>
      </c>
      <c r="C75" s="1" t="s">
        <v>12</v>
      </c>
      <c r="D75" s="12" t="s">
        <v>123</v>
      </c>
      <c r="E75" s="1" t="s">
        <v>113</v>
      </c>
      <c r="F75" s="1" t="s">
        <v>114</v>
      </c>
      <c r="G75" s="1" t="s">
        <v>27</v>
      </c>
      <c r="H75" s="1" t="s">
        <v>62</v>
      </c>
      <c r="I75" s="1">
        <v>3</v>
      </c>
      <c r="J75" s="1">
        <v>1</v>
      </c>
      <c r="K75" s="1" t="s">
        <v>68</v>
      </c>
      <c r="L75" s="1" t="s">
        <v>19</v>
      </c>
    </row>
    <row r="76" spans="1:12" x14ac:dyDescent="0.2">
      <c r="A76" s="1">
        <v>1950</v>
      </c>
      <c r="B76" s="2" t="d">
        <v>1950-07-16</v>
      </c>
      <c r="C76" s="1" t="s">
        <v>12</v>
      </c>
      <c r="D76" s="12" t="s">
        <v>123</v>
      </c>
      <c r="E76" s="1" t="s">
        <v>108</v>
      </c>
      <c r="F76" s="1" t="s">
        <v>109</v>
      </c>
      <c r="G76" s="1" t="s">
        <v>27</v>
      </c>
      <c r="H76" s="1" t="s">
        <v>16</v>
      </c>
      <c r="I76" s="1">
        <v>2</v>
      </c>
      <c r="J76" s="1">
        <v>1</v>
      </c>
      <c r="K76" s="1" t="s">
        <v>27</v>
      </c>
      <c r="L76" s="1" t="s">
        <v>19</v>
      </c>
    </row>
    <row r="77" spans="1:12" hidden="1" x14ac:dyDescent="0.2">
      <c r="A77" s="1">
        <v>1954</v>
      </c>
      <c r="B77" s="2" t="d">
        <v>1954-06-16</v>
      </c>
      <c r="C77" s="1" t="s">
        <v>75</v>
      </c>
      <c r="D77" s="1" t="s">
        <v>29</v>
      </c>
      <c r="E77" s="1" t="s">
        <v>124</v>
      </c>
      <c r="F77" s="1" t="s">
        <v>125</v>
      </c>
      <c r="G77" s="1" t="s">
        <v>58</v>
      </c>
      <c r="H77" s="1" t="s">
        <v>16</v>
      </c>
      <c r="I77" s="1">
        <v>2</v>
      </c>
      <c r="J77" s="1">
        <v>0</v>
      </c>
      <c r="K77" s="1" t="s">
        <v>73</v>
      </c>
      <c r="L77" s="1" t="s">
        <v>19</v>
      </c>
    </row>
    <row r="78" spans="1:12" hidden="1" x14ac:dyDescent="0.2">
      <c r="A78" s="1">
        <v>1954</v>
      </c>
      <c r="B78" s="2" t="d">
        <v>1954-06-16</v>
      </c>
      <c r="C78" s="1" t="s">
        <v>75</v>
      </c>
      <c r="D78" s="1" t="s">
        <v>29</v>
      </c>
      <c r="E78" s="1" t="s">
        <v>126</v>
      </c>
      <c r="F78" s="1" t="s">
        <v>127</v>
      </c>
      <c r="G78" s="1" t="s">
        <v>58</v>
      </c>
      <c r="H78" s="1" t="s">
        <v>50</v>
      </c>
      <c r="I78" s="1">
        <v>1</v>
      </c>
      <c r="J78" s="1">
        <v>0</v>
      </c>
      <c r="K78" s="1" t="s">
        <v>128</v>
      </c>
      <c r="L78" s="1" t="s">
        <v>19</v>
      </c>
    </row>
    <row r="79" spans="1:12" hidden="1" x14ac:dyDescent="0.2">
      <c r="A79" s="1">
        <v>1954</v>
      </c>
      <c r="B79" s="2" t="d">
        <v>1954-06-16</v>
      </c>
      <c r="C79" s="1" t="s">
        <v>75</v>
      </c>
      <c r="D79" s="1" t="s">
        <v>13</v>
      </c>
      <c r="E79" s="1" t="s">
        <v>129</v>
      </c>
      <c r="F79" s="1" t="s">
        <v>130</v>
      </c>
      <c r="G79" s="1" t="s">
        <v>58</v>
      </c>
      <c r="H79" s="1" t="s">
        <v>27</v>
      </c>
      <c r="I79" s="1">
        <v>5</v>
      </c>
      <c r="J79" s="1">
        <v>0</v>
      </c>
      <c r="K79" s="1" t="s">
        <v>18</v>
      </c>
      <c r="L79" s="1" t="s">
        <v>19</v>
      </c>
    </row>
    <row r="80" spans="1:12" hidden="1" x14ac:dyDescent="0.2">
      <c r="A80" s="1">
        <v>1954</v>
      </c>
      <c r="B80" s="2" t="d">
        <v>1954-06-16</v>
      </c>
      <c r="C80" s="1" t="s">
        <v>75</v>
      </c>
      <c r="D80" s="1" t="s">
        <v>13</v>
      </c>
      <c r="E80" s="1" t="s">
        <v>131</v>
      </c>
      <c r="F80" s="1" t="s">
        <v>132</v>
      </c>
      <c r="G80" s="1" t="s">
        <v>58</v>
      </c>
      <c r="H80" s="1" t="s">
        <v>26</v>
      </c>
      <c r="I80" s="1">
        <v>1</v>
      </c>
      <c r="J80" s="1">
        <v>0</v>
      </c>
      <c r="K80" s="1" t="s">
        <v>17</v>
      </c>
      <c r="L80" s="1" t="s">
        <v>19</v>
      </c>
    </row>
    <row r="81" spans="1:12" hidden="1" x14ac:dyDescent="0.2">
      <c r="A81" s="1">
        <v>1954</v>
      </c>
      <c r="B81" s="2" t="d">
        <v>1954-06-17</v>
      </c>
      <c r="C81" s="1" t="s">
        <v>75</v>
      </c>
      <c r="D81" s="1" t="s">
        <v>25</v>
      </c>
      <c r="E81" s="1" t="s">
        <v>124</v>
      </c>
      <c r="F81" s="1" t="s">
        <v>125</v>
      </c>
      <c r="G81" s="1" t="s">
        <v>58</v>
      </c>
      <c r="H81" s="1" t="s">
        <v>133</v>
      </c>
      <c r="I81" s="1">
        <v>4</v>
      </c>
      <c r="J81" s="1">
        <v>1</v>
      </c>
      <c r="K81" s="1" t="s">
        <v>134</v>
      </c>
      <c r="L81" s="1" t="s">
        <v>19</v>
      </c>
    </row>
    <row r="82" spans="1:12" hidden="1" x14ac:dyDescent="0.2">
      <c r="A82" s="1">
        <v>1954</v>
      </c>
      <c r="B82" s="2" t="d">
        <v>1954-06-17</v>
      </c>
      <c r="C82" s="1" t="s">
        <v>75</v>
      </c>
      <c r="D82" s="1" t="s">
        <v>25</v>
      </c>
      <c r="E82" s="1" t="s">
        <v>126</v>
      </c>
      <c r="F82" s="1" t="s">
        <v>127</v>
      </c>
      <c r="G82" s="1" t="s">
        <v>58</v>
      </c>
      <c r="H82" s="1" t="s">
        <v>54</v>
      </c>
      <c r="I82" s="1">
        <v>9</v>
      </c>
      <c r="J82" s="1">
        <v>0</v>
      </c>
      <c r="K82" s="1" t="s">
        <v>135</v>
      </c>
      <c r="L82" s="1" t="s">
        <v>19</v>
      </c>
    </row>
    <row r="83" spans="1:12" hidden="1" x14ac:dyDescent="0.2">
      <c r="A83" s="1">
        <v>1954</v>
      </c>
      <c r="B83" s="2" t="d">
        <v>1954-06-17</v>
      </c>
      <c r="C83" s="1" t="s">
        <v>136</v>
      </c>
      <c r="D83" s="1" t="s">
        <v>20</v>
      </c>
      <c r="E83" s="1" t="s">
        <v>137</v>
      </c>
      <c r="F83" s="1" t="s">
        <v>138</v>
      </c>
      <c r="G83" s="1" t="s">
        <v>58</v>
      </c>
      <c r="H83" s="1" t="s">
        <v>110</v>
      </c>
      <c r="I83" s="1">
        <v>4</v>
      </c>
      <c r="J83" s="1">
        <v>4</v>
      </c>
      <c r="K83" s="1" t="s">
        <v>23</v>
      </c>
      <c r="L83" s="1" t="s">
        <v>19</v>
      </c>
    </row>
    <row r="84" spans="1:12" hidden="1" x14ac:dyDescent="0.2">
      <c r="A84" s="1">
        <v>1954</v>
      </c>
      <c r="B84" s="2" t="d">
        <v>1954-06-17</v>
      </c>
      <c r="C84" s="1" t="s">
        <v>139</v>
      </c>
      <c r="D84" s="1" t="s">
        <v>20</v>
      </c>
      <c r="E84" s="1" t="s">
        <v>131</v>
      </c>
      <c r="F84" s="1" t="s">
        <v>132</v>
      </c>
      <c r="G84" s="1" t="s">
        <v>58</v>
      </c>
      <c r="H84" s="1" t="s">
        <v>58</v>
      </c>
      <c r="I84" s="1">
        <v>2</v>
      </c>
      <c r="J84" s="1">
        <v>1</v>
      </c>
      <c r="K84" s="1" t="s">
        <v>49</v>
      </c>
      <c r="L84" s="1" t="s">
        <v>19</v>
      </c>
    </row>
    <row r="85" spans="1:12" hidden="1" x14ac:dyDescent="0.2">
      <c r="A85" s="1">
        <v>1954</v>
      </c>
      <c r="B85" s="2" t="d">
        <v>1954-06-19</v>
      </c>
      <c r="C85" s="1" t="s">
        <v>140</v>
      </c>
      <c r="D85" s="1" t="s">
        <v>29</v>
      </c>
      <c r="E85" s="1" t="s">
        <v>137</v>
      </c>
      <c r="F85" s="1" t="s">
        <v>138</v>
      </c>
      <c r="G85" s="1" t="s">
        <v>58</v>
      </c>
      <c r="H85" s="1" t="s">
        <v>16</v>
      </c>
      <c r="I85" s="1">
        <v>7</v>
      </c>
      <c r="J85" s="1">
        <v>0</v>
      </c>
      <c r="K85" s="1" t="s">
        <v>128</v>
      </c>
      <c r="L85" s="1" t="s">
        <v>19</v>
      </c>
    </row>
    <row r="86" spans="1:12" hidden="1" x14ac:dyDescent="0.2">
      <c r="A86" s="1">
        <v>1954</v>
      </c>
      <c r="B86" s="2" t="d">
        <v>1954-06-19</v>
      </c>
      <c r="C86" s="1" t="s">
        <v>79</v>
      </c>
      <c r="D86" s="1" t="s">
        <v>29</v>
      </c>
      <c r="E86" s="1" t="s">
        <v>126</v>
      </c>
      <c r="F86" s="1" t="s">
        <v>127</v>
      </c>
      <c r="G86" s="1" t="s">
        <v>58</v>
      </c>
      <c r="H86" s="1" t="s">
        <v>50</v>
      </c>
      <c r="I86" s="1">
        <v>5</v>
      </c>
      <c r="J86" s="1">
        <v>0</v>
      </c>
      <c r="K86" s="1" t="s">
        <v>73</v>
      </c>
      <c r="L86" s="1" t="s">
        <v>19</v>
      </c>
    </row>
    <row r="87" spans="1:12" hidden="1" x14ac:dyDescent="0.2">
      <c r="A87" s="1">
        <v>1954</v>
      </c>
      <c r="B87" s="2" t="d">
        <v>1954-06-19</v>
      </c>
      <c r="C87" s="1" t="s">
        <v>141</v>
      </c>
      <c r="D87" s="1" t="s">
        <v>13</v>
      </c>
      <c r="E87" s="1" t="s">
        <v>129</v>
      </c>
      <c r="F87" s="1" t="s">
        <v>130</v>
      </c>
      <c r="G87" s="1" t="s">
        <v>58</v>
      </c>
      <c r="H87" s="1" t="s">
        <v>17</v>
      </c>
      <c r="I87" s="1">
        <v>3</v>
      </c>
      <c r="J87" s="1">
        <v>2</v>
      </c>
      <c r="K87" s="1" t="s">
        <v>18</v>
      </c>
      <c r="L87" s="1" t="s">
        <v>19</v>
      </c>
    </row>
    <row r="88" spans="1:12" hidden="1" x14ac:dyDescent="0.2">
      <c r="A88" s="1">
        <v>1954</v>
      </c>
      <c r="B88" s="2" t="d">
        <v>1954-06-19</v>
      </c>
      <c r="C88" s="1" t="s">
        <v>79</v>
      </c>
      <c r="D88" s="1" t="s">
        <v>13</v>
      </c>
      <c r="E88" s="1" t="s">
        <v>131</v>
      </c>
      <c r="F88" s="1" t="s">
        <v>132</v>
      </c>
      <c r="G88" s="1" t="s">
        <v>58</v>
      </c>
      <c r="H88" s="1" t="s">
        <v>27</v>
      </c>
      <c r="I88" s="1">
        <v>1</v>
      </c>
      <c r="J88" s="1">
        <v>1</v>
      </c>
      <c r="K88" s="1" t="s">
        <v>26</v>
      </c>
      <c r="L88" s="1" t="s">
        <v>19</v>
      </c>
    </row>
    <row r="89" spans="1:12" hidden="1" x14ac:dyDescent="0.2">
      <c r="A89" s="1">
        <v>1954</v>
      </c>
      <c r="B89" s="2" t="d">
        <v>1954-06-20</v>
      </c>
      <c r="C89" s="1" t="s">
        <v>140</v>
      </c>
      <c r="D89" s="1" t="s">
        <v>25</v>
      </c>
      <c r="E89" s="1" t="s">
        <v>137</v>
      </c>
      <c r="F89" s="1" t="s">
        <v>138</v>
      </c>
      <c r="G89" s="1" t="s">
        <v>58</v>
      </c>
      <c r="H89" s="1" t="s">
        <v>54</v>
      </c>
      <c r="I89" s="1">
        <v>8</v>
      </c>
      <c r="J89" s="1">
        <v>3</v>
      </c>
      <c r="K89" s="1" t="s">
        <v>133</v>
      </c>
      <c r="L89" s="1" t="s">
        <v>19</v>
      </c>
    </row>
    <row r="90" spans="1:12" hidden="1" x14ac:dyDescent="0.2">
      <c r="A90" s="1">
        <v>1954</v>
      </c>
      <c r="B90" s="2" t="d">
        <v>1954-06-20</v>
      </c>
      <c r="C90" s="1" t="s">
        <v>79</v>
      </c>
      <c r="D90" s="1" t="s">
        <v>25</v>
      </c>
      <c r="E90" s="1" t="s">
        <v>129</v>
      </c>
      <c r="F90" s="1" t="s">
        <v>130</v>
      </c>
      <c r="G90" s="1" t="s">
        <v>58</v>
      </c>
      <c r="H90" s="1" t="s">
        <v>134</v>
      </c>
      <c r="I90" s="1">
        <v>7</v>
      </c>
      <c r="J90" s="1">
        <v>0</v>
      </c>
      <c r="K90" s="1" t="s">
        <v>135</v>
      </c>
      <c r="L90" s="1" t="s">
        <v>19</v>
      </c>
    </row>
    <row r="91" spans="1:12" hidden="1" x14ac:dyDescent="0.2">
      <c r="A91" s="1">
        <v>1954</v>
      </c>
      <c r="B91" s="2" t="d">
        <v>1954-06-20</v>
      </c>
      <c r="C91" s="1" t="s">
        <v>141</v>
      </c>
      <c r="D91" s="1" t="s">
        <v>20</v>
      </c>
      <c r="E91" s="1" t="s">
        <v>124</v>
      </c>
      <c r="F91" s="1" t="s">
        <v>125</v>
      </c>
      <c r="G91" s="1" t="s">
        <v>58</v>
      </c>
      <c r="H91" s="1" t="s">
        <v>110</v>
      </c>
      <c r="I91" s="1">
        <v>2</v>
      </c>
      <c r="J91" s="1">
        <v>0</v>
      </c>
      <c r="K91" s="1" t="s">
        <v>58</v>
      </c>
      <c r="L91" s="1" t="s">
        <v>19</v>
      </c>
    </row>
    <row r="92" spans="1:12" hidden="1" x14ac:dyDescent="0.2">
      <c r="A92" s="1">
        <v>1954</v>
      </c>
      <c r="B92" s="2" t="d">
        <v>1954-06-20</v>
      </c>
      <c r="C92" s="1" t="s">
        <v>79</v>
      </c>
      <c r="D92" s="1" t="s">
        <v>20</v>
      </c>
      <c r="E92" s="1" t="s">
        <v>142</v>
      </c>
      <c r="F92" s="1" t="s">
        <v>143</v>
      </c>
      <c r="G92" s="1" t="s">
        <v>58</v>
      </c>
      <c r="H92" s="1" t="s">
        <v>49</v>
      </c>
      <c r="I92" s="1">
        <v>4</v>
      </c>
      <c r="J92" s="1">
        <v>1</v>
      </c>
      <c r="K92" s="1" t="s">
        <v>23</v>
      </c>
      <c r="L92" s="1" t="s">
        <v>19</v>
      </c>
    </row>
    <row r="93" spans="1:12" hidden="1" x14ac:dyDescent="0.2">
      <c r="A93" s="1">
        <v>1954</v>
      </c>
      <c r="B93" s="2" t="d">
        <v>1954-06-23</v>
      </c>
      <c r="C93" s="1" t="s">
        <v>75</v>
      </c>
      <c r="D93" s="1" t="s">
        <v>25</v>
      </c>
      <c r="E93" s="1" t="s">
        <v>126</v>
      </c>
      <c r="F93" s="1" t="s">
        <v>127</v>
      </c>
      <c r="G93" s="1" t="s">
        <v>58</v>
      </c>
      <c r="H93" s="1" t="s">
        <v>133</v>
      </c>
      <c r="I93" s="1">
        <v>7</v>
      </c>
      <c r="J93" s="1">
        <v>2</v>
      </c>
      <c r="K93" s="1" t="s">
        <v>134</v>
      </c>
      <c r="L93" s="1" t="s">
        <v>19</v>
      </c>
    </row>
    <row r="94" spans="1:12" hidden="1" x14ac:dyDescent="0.2">
      <c r="A94" s="1">
        <v>1954</v>
      </c>
      <c r="B94" s="2" t="d">
        <v>1954-06-23</v>
      </c>
      <c r="C94" s="1" t="s">
        <v>75</v>
      </c>
      <c r="D94" s="1" t="s">
        <v>20</v>
      </c>
      <c r="E94" s="1" t="s">
        <v>137</v>
      </c>
      <c r="F94" s="1" t="s">
        <v>138</v>
      </c>
      <c r="G94" s="1" t="s">
        <v>58</v>
      </c>
      <c r="H94" s="1" t="s">
        <v>58</v>
      </c>
      <c r="I94" s="1">
        <v>4</v>
      </c>
      <c r="J94" s="1">
        <v>1</v>
      </c>
      <c r="K94" s="1" t="s">
        <v>49</v>
      </c>
      <c r="L94" s="1" t="s">
        <v>19</v>
      </c>
    </row>
    <row r="95" spans="1:12" hidden="1" x14ac:dyDescent="0.2">
      <c r="A95" s="1">
        <v>1954</v>
      </c>
      <c r="B95" s="2" t="d">
        <v>1954-06-26</v>
      </c>
      <c r="C95" s="1" t="s">
        <v>79</v>
      </c>
      <c r="D95" s="12" t="s">
        <v>74</v>
      </c>
      <c r="E95" s="1" t="s">
        <v>137</v>
      </c>
      <c r="F95" s="1" t="s">
        <v>138</v>
      </c>
      <c r="G95" s="1" t="s">
        <v>58</v>
      </c>
      <c r="H95" s="1" t="s">
        <v>16</v>
      </c>
      <c r="I95" s="1">
        <v>4</v>
      </c>
      <c r="J95" s="1">
        <v>2</v>
      </c>
      <c r="K95" s="1" t="s">
        <v>110</v>
      </c>
      <c r="L95" s="1" t="s">
        <v>19</v>
      </c>
    </row>
    <row r="96" spans="1:12" hidden="1" x14ac:dyDescent="0.2">
      <c r="A96" s="1">
        <v>1954</v>
      </c>
      <c r="B96" s="2" t="d">
        <v>1954-06-26</v>
      </c>
      <c r="C96" s="1" t="s">
        <v>79</v>
      </c>
      <c r="D96" s="12" t="s">
        <v>74</v>
      </c>
      <c r="E96" s="1" t="s">
        <v>131</v>
      </c>
      <c r="F96" s="1" t="s">
        <v>132</v>
      </c>
      <c r="G96" s="1" t="s">
        <v>58</v>
      </c>
      <c r="H96" s="1" t="s">
        <v>50</v>
      </c>
      <c r="I96" s="1">
        <v>7</v>
      </c>
      <c r="J96" s="1">
        <v>5</v>
      </c>
      <c r="K96" s="1" t="s">
        <v>58</v>
      </c>
      <c r="L96" s="1" t="s">
        <v>19</v>
      </c>
    </row>
    <row r="97" spans="1:12" hidden="1" x14ac:dyDescent="0.2">
      <c r="A97" s="1">
        <v>1954</v>
      </c>
      <c r="B97" s="2" t="d">
        <v>1954-06-27</v>
      </c>
      <c r="C97" s="1" t="s">
        <v>79</v>
      </c>
      <c r="D97" s="12" t="s">
        <v>74</v>
      </c>
      <c r="E97" s="1" t="s">
        <v>129</v>
      </c>
      <c r="F97" s="1" t="s">
        <v>130</v>
      </c>
      <c r="G97" s="1" t="s">
        <v>58</v>
      </c>
      <c r="H97" s="1" t="s">
        <v>133</v>
      </c>
      <c r="I97" s="1">
        <v>2</v>
      </c>
      <c r="J97" s="1">
        <v>0</v>
      </c>
      <c r="K97" s="1" t="s">
        <v>26</v>
      </c>
      <c r="L97" s="1" t="s">
        <v>19</v>
      </c>
    </row>
    <row r="98" spans="1:12" x14ac:dyDescent="0.2">
      <c r="A98" s="1">
        <v>1954</v>
      </c>
      <c r="B98" s="2" t="d">
        <v>1954-06-27</v>
      </c>
      <c r="C98" s="1" t="s">
        <v>79</v>
      </c>
      <c r="D98" s="12" t="s">
        <v>74</v>
      </c>
      <c r="E98" s="1" t="s">
        <v>124</v>
      </c>
      <c r="F98" s="1" t="s">
        <v>125</v>
      </c>
      <c r="G98" s="1" t="s">
        <v>58</v>
      </c>
      <c r="H98" s="1" t="s">
        <v>54</v>
      </c>
      <c r="I98" s="1">
        <v>4</v>
      </c>
      <c r="J98" s="1">
        <v>2</v>
      </c>
      <c r="K98" s="1" t="s">
        <v>27</v>
      </c>
      <c r="L98" s="1" t="s">
        <v>19</v>
      </c>
    </row>
    <row r="99" spans="1:12" hidden="1" x14ac:dyDescent="0.2">
      <c r="A99" s="1">
        <v>1954</v>
      </c>
      <c r="B99" s="2" t="d">
        <v>1954-06-30</v>
      </c>
      <c r="C99" s="1" t="s">
        <v>75</v>
      </c>
      <c r="D99" s="12" t="s">
        <v>42</v>
      </c>
      <c r="E99" s="1" t="s">
        <v>137</v>
      </c>
      <c r="F99" s="1" t="s">
        <v>138</v>
      </c>
      <c r="G99" s="1" t="s">
        <v>58</v>
      </c>
      <c r="H99" s="1" t="s">
        <v>133</v>
      </c>
      <c r="I99" s="1">
        <v>6</v>
      </c>
      <c r="J99" s="1">
        <v>1</v>
      </c>
      <c r="K99" s="1" t="s">
        <v>50</v>
      </c>
      <c r="L99" s="1" t="s">
        <v>19</v>
      </c>
    </row>
    <row r="100" spans="1:12" hidden="1" x14ac:dyDescent="0.2">
      <c r="A100" s="1">
        <v>1954</v>
      </c>
      <c r="B100" s="2" t="d">
        <v>1954-06-30</v>
      </c>
      <c r="C100" s="1" t="s">
        <v>75</v>
      </c>
      <c r="D100" s="12" t="s">
        <v>42</v>
      </c>
      <c r="E100" s="1" t="s">
        <v>131</v>
      </c>
      <c r="F100" s="1" t="s">
        <v>132</v>
      </c>
      <c r="G100" s="1" t="s">
        <v>58</v>
      </c>
      <c r="H100" s="1" t="s">
        <v>54</v>
      </c>
      <c r="I100" s="1">
        <v>4</v>
      </c>
      <c r="J100" s="1">
        <v>2</v>
      </c>
      <c r="K100" s="1" t="s">
        <v>16</v>
      </c>
      <c r="L100" s="1" t="s">
        <v>144</v>
      </c>
    </row>
    <row r="101" spans="1:12" hidden="1" x14ac:dyDescent="0.2">
      <c r="A101" s="1">
        <v>1954</v>
      </c>
      <c r="B101" s="2" t="d">
        <v>1954-07-03</v>
      </c>
      <c r="C101" s="1" t="s">
        <v>79</v>
      </c>
      <c r="D101" s="12" t="s">
        <v>76</v>
      </c>
      <c r="E101" s="1" t="s">
        <v>126</v>
      </c>
      <c r="F101" s="1" t="s">
        <v>127</v>
      </c>
      <c r="G101" s="1" t="s">
        <v>58</v>
      </c>
      <c r="H101" s="1" t="s">
        <v>50</v>
      </c>
      <c r="I101" s="1">
        <v>3</v>
      </c>
      <c r="J101" s="1">
        <v>1</v>
      </c>
      <c r="K101" s="1" t="s">
        <v>16</v>
      </c>
      <c r="L101" s="1" t="s">
        <v>19</v>
      </c>
    </row>
    <row r="102" spans="1:12" hidden="1" x14ac:dyDescent="0.2">
      <c r="A102" s="1">
        <v>1954</v>
      </c>
      <c r="B102" s="2" t="d">
        <v>1954-07-04</v>
      </c>
      <c r="C102" s="1" t="s">
        <v>79</v>
      </c>
      <c r="D102" s="12" t="s">
        <v>44</v>
      </c>
      <c r="E102" s="1" t="s">
        <v>124</v>
      </c>
      <c r="F102" s="1" t="s">
        <v>125</v>
      </c>
      <c r="G102" s="1" t="s">
        <v>58</v>
      </c>
      <c r="H102" s="1" t="s">
        <v>133</v>
      </c>
      <c r="I102" s="1">
        <v>3</v>
      </c>
      <c r="J102" s="1">
        <v>2</v>
      </c>
      <c r="K102" s="1" t="s">
        <v>54</v>
      </c>
      <c r="L102" s="1" t="s">
        <v>19</v>
      </c>
    </row>
    <row r="103" spans="1:12" hidden="1" x14ac:dyDescent="0.2">
      <c r="A103" s="1">
        <v>1958</v>
      </c>
      <c r="B103" s="2" t="d">
        <v>1958-06-08</v>
      </c>
      <c r="C103" s="1" t="s">
        <v>145</v>
      </c>
      <c r="D103" s="1" t="s">
        <v>29</v>
      </c>
      <c r="E103" s="1" t="s">
        <v>146</v>
      </c>
      <c r="F103" s="1" t="s">
        <v>147</v>
      </c>
      <c r="G103" s="1" t="s">
        <v>62</v>
      </c>
      <c r="H103" s="1" t="s">
        <v>62</v>
      </c>
      <c r="I103" s="1">
        <v>3</v>
      </c>
      <c r="J103" s="1">
        <v>0</v>
      </c>
      <c r="K103" s="1" t="s">
        <v>18</v>
      </c>
      <c r="L103" s="1" t="s">
        <v>19</v>
      </c>
    </row>
    <row r="104" spans="1:12" hidden="1" x14ac:dyDescent="0.2">
      <c r="A104" s="1">
        <v>1958</v>
      </c>
      <c r="B104" s="2" t="d">
        <v>1958-06-08</v>
      </c>
      <c r="C104" s="1" t="s">
        <v>148</v>
      </c>
      <c r="D104" s="1" t="s">
        <v>20</v>
      </c>
      <c r="E104" s="1" t="s">
        <v>149</v>
      </c>
      <c r="F104" s="1" t="s">
        <v>150</v>
      </c>
      <c r="G104" s="1" t="s">
        <v>62</v>
      </c>
      <c r="H104" s="1" t="s">
        <v>151</v>
      </c>
      <c r="I104" s="1">
        <v>2</v>
      </c>
      <c r="J104" s="1">
        <v>2</v>
      </c>
      <c r="K104" s="1" t="s">
        <v>110</v>
      </c>
      <c r="L104" s="1" t="s">
        <v>19</v>
      </c>
    </row>
    <row r="105" spans="1:12" hidden="1" x14ac:dyDescent="0.2">
      <c r="A105" s="1">
        <v>1958</v>
      </c>
      <c r="B105" s="2" t="d">
        <v>1958-06-08</v>
      </c>
      <c r="C105" s="1" t="s">
        <v>148</v>
      </c>
      <c r="D105" s="1" t="s">
        <v>13</v>
      </c>
      <c r="E105" s="1" t="s">
        <v>152</v>
      </c>
      <c r="F105" s="1" t="s">
        <v>153</v>
      </c>
      <c r="G105" s="1" t="s">
        <v>62</v>
      </c>
      <c r="H105" s="1" t="s">
        <v>33</v>
      </c>
      <c r="I105" s="1">
        <v>1</v>
      </c>
      <c r="J105" s="1">
        <v>3</v>
      </c>
      <c r="K105" s="1" t="s">
        <v>133</v>
      </c>
      <c r="L105" s="1" t="s">
        <v>19</v>
      </c>
    </row>
    <row r="106" spans="1:12" hidden="1" x14ac:dyDescent="0.2">
      <c r="A106" s="1">
        <v>1958</v>
      </c>
      <c r="B106" s="2" t="d">
        <v>1958-06-08</v>
      </c>
      <c r="C106" s="1" t="s">
        <v>148</v>
      </c>
      <c r="D106" s="1" t="s">
        <v>29</v>
      </c>
      <c r="E106" s="1" t="s">
        <v>154</v>
      </c>
      <c r="F106" s="1" t="s">
        <v>155</v>
      </c>
      <c r="G106" s="1" t="s">
        <v>62</v>
      </c>
      <c r="H106" s="1" t="s">
        <v>54</v>
      </c>
      <c r="I106" s="1">
        <v>1</v>
      </c>
      <c r="J106" s="1">
        <v>1</v>
      </c>
      <c r="K106" s="1" t="s">
        <v>156</v>
      </c>
      <c r="L106" s="1" t="s">
        <v>19</v>
      </c>
    </row>
    <row r="107" spans="1:12" hidden="1" x14ac:dyDescent="0.2">
      <c r="A107" s="1">
        <v>1958</v>
      </c>
      <c r="B107" s="2" t="d">
        <v>1958-06-08</v>
      </c>
      <c r="C107" s="1" t="s">
        <v>148</v>
      </c>
      <c r="D107" s="1" t="s">
        <v>25</v>
      </c>
      <c r="E107" s="1" t="s">
        <v>157</v>
      </c>
      <c r="F107" s="1" t="s">
        <v>158</v>
      </c>
      <c r="G107" s="1" t="s">
        <v>62</v>
      </c>
      <c r="H107" s="1" t="s">
        <v>17</v>
      </c>
      <c r="I107" s="1">
        <v>7</v>
      </c>
      <c r="J107" s="1">
        <v>3</v>
      </c>
      <c r="K107" s="1" t="s">
        <v>37</v>
      </c>
      <c r="L107" s="1" t="s">
        <v>19</v>
      </c>
    </row>
    <row r="108" spans="1:12" hidden="1" x14ac:dyDescent="0.2">
      <c r="A108" s="1">
        <v>1958</v>
      </c>
      <c r="B108" s="2" t="d">
        <v>1958-06-08</v>
      </c>
      <c r="C108" s="1" t="s">
        <v>148</v>
      </c>
      <c r="D108" s="1" t="s">
        <v>25</v>
      </c>
      <c r="E108" s="1" t="s">
        <v>159</v>
      </c>
      <c r="F108" s="1" t="s">
        <v>160</v>
      </c>
      <c r="G108" s="1" t="s">
        <v>62</v>
      </c>
      <c r="H108" s="1" t="s">
        <v>26</v>
      </c>
      <c r="I108" s="1">
        <v>1</v>
      </c>
      <c r="J108" s="1">
        <v>1</v>
      </c>
      <c r="K108" s="1" t="s">
        <v>128</v>
      </c>
      <c r="L108" s="1" t="s">
        <v>19</v>
      </c>
    </row>
    <row r="109" spans="1:12" hidden="1" x14ac:dyDescent="0.2">
      <c r="A109" s="1">
        <v>1958</v>
      </c>
      <c r="B109" s="2" t="d">
        <v>1958-06-08</v>
      </c>
      <c r="C109" s="1" t="s">
        <v>148</v>
      </c>
      <c r="D109" s="1" t="s">
        <v>20</v>
      </c>
      <c r="E109" s="1" t="s">
        <v>161</v>
      </c>
      <c r="F109" s="1" t="s">
        <v>162</v>
      </c>
      <c r="G109" s="1" t="s">
        <v>62</v>
      </c>
      <c r="H109" s="1" t="s">
        <v>27</v>
      </c>
      <c r="I109" s="1">
        <v>3</v>
      </c>
      <c r="J109" s="1">
        <v>0</v>
      </c>
      <c r="K109" s="1" t="s">
        <v>50</v>
      </c>
      <c r="L109" s="1" t="s">
        <v>19</v>
      </c>
    </row>
    <row r="110" spans="1:12" hidden="1" x14ac:dyDescent="0.2">
      <c r="A110" s="1">
        <v>1958</v>
      </c>
      <c r="B110" s="2" t="d">
        <v>1958-06-08</v>
      </c>
      <c r="C110" s="1" t="s">
        <v>148</v>
      </c>
      <c r="D110" s="1" t="s">
        <v>13</v>
      </c>
      <c r="E110" s="1" t="s">
        <v>163</v>
      </c>
      <c r="F110" s="1" t="s">
        <v>164</v>
      </c>
      <c r="G110" s="1" t="s">
        <v>62</v>
      </c>
      <c r="H110" s="1" t="s">
        <v>165</v>
      </c>
      <c r="I110" s="1">
        <v>1</v>
      </c>
      <c r="J110" s="1">
        <v>0</v>
      </c>
      <c r="K110" s="1" t="s">
        <v>73</v>
      </c>
      <c r="L110" s="1" t="s">
        <v>19</v>
      </c>
    </row>
    <row r="111" spans="1:12" hidden="1" x14ac:dyDescent="0.2">
      <c r="A111" s="1">
        <v>1958</v>
      </c>
      <c r="B111" s="2" t="d">
        <v>1958-06-11</v>
      </c>
      <c r="C111" s="1" t="s">
        <v>148</v>
      </c>
      <c r="D111" s="1" t="s">
        <v>20</v>
      </c>
      <c r="E111" s="1" t="s">
        <v>149</v>
      </c>
      <c r="F111" s="1" t="s">
        <v>150</v>
      </c>
      <c r="G111" s="1" t="s">
        <v>62</v>
      </c>
      <c r="H111" s="1" t="s">
        <v>27</v>
      </c>
      <c r="I111" s="1">
        <v>0</v>
      </c>
      <c r="J111" s="1">
        <v>0</v>
      </c>
      <c r="K111" s="1" t="s">
        <v>110</v>
      </c>
      <c r="L111" s="1" t="s">
        <v>19</v>
      </c>
    </row>
    <row r="112" spans="1:12" hidden="1" x14ac:dyDescent="0.2">
      <c r="A112" s="1">
        <v>1958</v>
      </c>
      <c r="B112" s="2" t="d">
        <v>1958-06-11</v>
      </c>
      <c r="C112" s="1" t="s">
        <v>148</v>
      </c>
      <c r="D112" s="1" t="s">
        <v>29</v>
      </c>
      <c r="E112" s="1" t="s">
        <v>146</v>
      </c>
      <c r="F112" s="1" t="s">
        <v>147</v>
      </c>
      <c r="G112" s="1" t="s">
        <v>62</v>
      </c>
      <c r="H112" s="1" t="s">
        <v>18</v>
      </c>
      <c r="I112" s="1">
        <v>1</v>
      </c>
      <c r="J112" s="1">
        <v>1</v>
      </c>
      <c r="K112" s="1" t="s">
        <v>156</v>
      </c>
      <c r="L112" s="1" t="s">
        <v>19</v>
      </c>
    </row>
    <row r="113" spans="1:12" hidden="1" x14ac:dyDescent="0.2">
      <c r="A113" s="1">
        <v>1958</v>
      </c>
      <c r="B113" s="2" t="d">
        <v>1958-06-11</v>
      </c>
      <c r="C113" s="1" t="s">
        <v>148</v>
      </c>
      <c r="D113" s="1" t="s">
        <v>25</v>
      </c>
      <c r="E113" s="1" t="s">
        <v>157</v>
      </c>
      <c r="F113" s="1" t="s">
        <v>158</v>
      </c>
      <c r="G113" s="1" t="s">
        <v>62</v>
      </c>
      <c r="H113" s="1" t="s">
        <v>37</v>
      </c>
      <c r="I113" s="1">
        <v>3</v>
      </c>
      <c r="J113" s="1">
        <v>2</v>
      </c>
      <c r="K113" s="1" t="s">
        <v>128</v>
      </c>
      <c r="L113" s="1" t="s">
        <v>19</v>
      </c>
    </row>
    <row r="114" spans="1:12" hidden="1" x14ac:dyDescent="0.2">
      <c r="A114" s="1">
        <v>1958</v>
      </c>
      <c r="B114" s="2" t="d">
        <v>1958-06-11</v>
      </c>
      <c r="C114" s="1" t="s">
        <v>148</v>
      </c>
      <c r="D114" s="1" t="s">
        <v>25</v>
      </c>
      <c r="E114" s="1" t="s">
        <v>159</v>
      </c>
      <c r="F114" s="1" t="s">
        <v>160</v>
      </c>
      <c r="G114" s="1" t="s">
        <v>62</v>
      </c>
      <c r="H114" s="1" t="s">
        <v>26</v>
      </c>
      <c r="I114" s="1">
        <v>3</v>
      </c>
      <c r="J114" s="1">
        <v>2</v>
      </c>
      <c r="K114" s="1" t="s">
        <v>17</v>
      </c>
      <c r="L114" s="1" t="s">
        <v>19</v>
      </c>
    </row>
    <row r="115" spans="1:12" hidden="1" x14ac:dyDescent="0.2">
      <c r="A115" s="1">
        <v>1958</v>
      </c>
      <c r="B115" s="2" t="d">
        <v>1958-06-11</v>
      </c>
      <c r="C115" s="1" t="s">
        <v>148</v>
      </c>
      <c r="D115" s="1" t="s">
        <v>20</v>
      </c>
      <c r="E115" s="1" t="s">
        <v>166</v>
      </c>
      <c r="F115" s="1" t="s">
        <v>167</v>
      </c>
      <c r="G115" s="1" t="s">
        <v>62</v>
      </c>
      <c r="H115" s="1" t="s">
        <v>151</v>
      </c>
      <c r="I115" s="1">
        <v>2</v>
      </c>
      <c r="J115" s="1">
        <v>0</v>
      </c>
      <c r="K115" s="1" t="s">
        <v>50</v>
      </c>
      <c r="L115" s="1" t="s">
        <v>19</v>
      </c>
    </row>
    <row r="116" spans="1:12" hidden="1" x14ac:dyDescent="0.2">
      <c r="A116" s="1">
        <v>1958</v>
      </c>
      <c r="B116" s="2" t="d">
        <v>1958-06-11</v>
      </c>
      <c r="C116" s="1" t="s">
        <v>148</v>
      </c>
      <c r="D116" s="1" t="s">
        <v>13</v>
      </c>
      <c r="E116" s="1" t="s">
        <v>168</v>
      </c>
      <c r="F116" s="1" t="s">
        <v>169</v>
      </c>
      <c r="G116" s="1" t="s">
        <v>62</v>
      </c>
      <c r="H116" s="1" t="s">
        <v>133</v>
      </c>
      <c r="I116" s="1">
        <v>2</v>
      </c>
      <c r="J116" s="1">
        <v>2</v>
      </c>
      <c r="K116" s="1" t="s">
        <v>73</v>
      </c>
      <c r="L116" s="1" t="s">
        <v>19</v>
      </c>
    </row>
    <row r="117" spans="1:12" hidden="1" x14ac:dyDescent="0.2">
      <c r="A117" s="1">
        <v>1958</v>
      </c>
      <c r="B117" s="2" t="d">
        <v>1958-06-11</v>
      </c>
      <c r="C117" s="1" t="s">
        <v>148</v>
      </c>
      <c r="D117" s="1" t="s">
        <v>13</v>
      </c>
      <c r="E117" s="1" t="s">
        <v>163</v>
      </c>
      <c r="F117" s="1" t="s">
        <v>164</v>
      </c>
      <c r="G117" s="1" t="s">
        <v>62</v>
      </c>
      <c r="H117" s="1" t="s">
        <v>33</v>
      </c>
      <c r="I117" s="1">
        <v>3</v>
      </c>
      <c r="J117" s="1">
        <v>1</v>
      </c>
      <c r="K117" s="1" t="s">
        <v>165</v>
      </c>
      <c r="L117" s="1" t="s">
        <v>19</v>
      </c>
    </row>
    <row r="118" spans="1:12" hidden="1" x14ac:dyDescent="0.2">
      <c r="A118" s="1">
        <v>1958</v>
      </c>
      <c r="B118" s="2" t="d">
        <v>1958-06-12</v>
      </c>
      <c r="C118" s="1" t="s">
        <v>148</v>
      </c>
      <c r="D118" s="1" t="s">
        <v>29</v>
      </c>
      <c r="E118" s="1" t="s">
        <v>146</v>
      </c>
      <c r="F118" s="1" t="s">
        <v>147</v>
      </c>
      <c r="G118" s="1" t="s">
        <v>62</v>
      </c>
      <c r="H118" s="1" t="s">
        <v>62</v>
      </c>
      <c r="I118" s="1">
        <v>2</v>
      </c>
      <c r="J118" s="1">
        <v>1</v>
      </c>
      <c r="K118" s="1" t="s">
        <v>54</v>
      </c>
      <c r="L118" s="1" t="s">
        <v>19</v>
      </c>
    </row>
    <row r="119" spans="1:12" hidden="1" x14ac:dyDescent="0.2">
      <c r="A119" s="1">
        <v>1958</v>
      </c>
      <c r="B119" s="2" t="d">
        <v>1958-06-15</v>
      </c>
      <c r="C119" s="1" t="s">
        <v>145</v>
      </c>
      <c r="D119" s="1" t="s">
        <v>29</v>
      </c>
      <c r="E119" s="1" t="s">
        <v>146</v>
      </c>
      <c r="F119" s="1" t="s">
        <v>147</v>
      </c>
      <c r="G119" s="1" t="s">
        <v>62</v>
      </c>
      <c r="H119" s="1" t="s">
        <v>62</v>
      </c>
      <c r="I119" s="1">
        <v>0</v>
      </c>
      <c r="J119" s="1">
        <v>0</v>
      </c>
      <c r="K119" s="1" t="s">
        <v>156</v>
      </c>
      <c r="L119" s="1" t="s">
        <v>19</v>
      </c>
    </row>
    <row r="120" spans="1:12" hidden="1" x14ac:dyDescent="0.2">
      <c r="A120" s="1">
        <v>1958</v>
      </c>
      <c r="B120" s="2" t="d">
        <v>1958-06-15</v>
      </c>
      <c r="C120" s="1" t="s">
        <v>148</v>
      </c>
      <c r="D120" s="1" t="s">
        <v>20</v>
      </c>
      <c r="E120" s="1" t="s">
        <v>149</v>
      </c>
      <c r="F120" s="1" t="s">
        <v>150</v>
      </c>
      <c r="G120" s="1" t="s">
        <v>62</v>
      </c>
      <c r="H120" s="1" t="s">
        <v>27</v>
      </c>
      <c r="I120" s="1">
        <v>2</v>
      </c>
      <c r="J120" s="1">
        <v>0</v>
      </c>
      <c r="K120" s="1" t="s">
        <v>151</v>
      </c>
      <c r="L120" s="1" t="s">
        <v>19</v>
      </c>
    </row>
    <row r="121" spans="1:12" hidden="1" x14ac:dyDescent="0.2">
      <c r="A121" s="1">
        <v>1958</v>
      </c>
      <c r="B121" s="2" t="d">
        <v>1958-06-15</v>
      </c>
      <c r="C121" s="1" t="s">
        <v>148</v>
      </c>
      <c r="D121" s="1" t="s">
        <v>13</v>
      </c>
      <c r="E121" s="1" t="s">
        <v>152</v>
      </c>
      <c r="F121" s="1" t="s">
        <v>153</v>
      </c>
      <c r="G121" s="1" t="s">
        <v>62</v>
      </c>
      <c r="H121" s="1" t="s">
        <v>133</v>
      </c>
      <c r="I121" s="1">
        <v>2</v>
      </c>
      <c r="J121" s="1">
        <v>2</v>
      </c>
      <c r="K121" s="1" t="s">
        <v>165</v>
      </c>
      <c r="L121" s="1" t="s">
        <v>19</v>
      </c>
    </row>
    <row r="122" spans="1:12" hidden="1" x14ac:dyDescent="0.2">
      <c r="A122" s="1">
        <v>1958</v>
      </c>
      <c r="B122" s="2" t="d">
        <v>1958-06-15</v>
      </c>
      <c r="C122" s="1" t="s">
        <v>148</v>
      </c>
      <c r="D122" s="1" t="s">
        <v>29</v>
      </c>
      <c r="E122" s="1" t="s">
        <v>154</v>
      </c>
      <c r="F122" s="1" t="s">
        <v>155</v>
      </c>
      <c r="G122" s="1" t="s">
        <v>62</v>
      </c>
      <c r="H122" s="1" t="s">
        <v>54</v>
      </c>
      <c r="I122" s="1">
        <v>4</v>
      </c>
      <c r="J122" s="1">
        <v>0</v>
      </c>
      <c r="K122" s="1" t="s">
        <v>18</v>
      </c>
      <c r="L122" s="1" t="s">
        <v>19</v>
      </c>
    </row>
    <row r="123" spans="1:12" hidden="1" x14ac:dyDescent="0.2">
      <c r="A123" s="1">
        <v>1958</v>
      </c>
      <c r="B123" s="2" t="d">
        <v>1958-06-15</v>
      </c>
      <c r="C123" s="1" t="s">
        <v>148</v>
      </c>
      <c r="D123" s="1" t="s">
        <v>25</v>
      </c>
      <c r="E123" s="1" t="s">
        <v>170</v>
      </c>
      <c r="F123" s="1" t="s">
        <v>171</v>
      </c>
      <c r="G123" s="1" t="s">
        <v>62</v>
      </c>
      <c r="H123" s="1" t="s">
        <v>37</v>
      </c>
      <c r="I123" s="1">
        <v>3</v>
      </c>
      <c r="J123" s="1">
        <v>3</v>
      </c>
      <c r="K123" s="1" t="s">
        <v>26</v>
      </c>
      <c r="L123" s="1" t="s">
        <v>19</v>
      </c>
    </row>
    <row r="124" spans="1:12" hidden="1" x14ac:dyDescent="0.2">
      <c r="A124" s="1">
        <v>1958</v>
      </c>
      <c r="B124" s="2" t="d">
        <v>1958-06-15</v>
      </c>
      <c r="C124" s="1" t="s">
        <v>148</v>
      </c>
      <c r="D124" s="1" t="s">
        <v>25</v>
      </c>
      <c r="E124" s="1" t="s">
        <v>172</v>
      </c>
      <c r="F124" s="1" t="s">
        <v>173</v>
      </c>
      <c r="G124" s="1" t="s">
        <v>62</v>
      </c>
      <c r="H124" s="1" t="s">
        <v>17</v>
      </c>
      <c r="I124" s="1">
        <v>2</v>
      </c>
      <c r="J124" s="1">
        <v>1</v>
      </c>
      <c r="K124" s="1" t="s">
        <v>128</v>
      </c>
      <c r="L124" s="1" t="s">
        <v>19</v>
      </c>
    </row>
    <row r="125" spans="1:12" hidden="1" x14ac:dyDescent="0.2">
      <c r="A125" s="1">
        <v>1958</v>
      </c>
      <c r="B125" s="2" t="d">
        <v>1958-06-15</v>
      </c>
      <c r="C125" s="1" t="s">
        <v>148</v>
      </c>
      <c r="D125" s="1" t="s">
        <v>20</v>
      </c>
      <c r="E125" s="1" t="s">
        <v>166</v>
      </c>
      <c r="F125" s="1" t="s">
        <v>167</v>
      </c>
      <c r="G125" s="1" t="s">
        <v>62</v>
      </c>
      <c r="H125" s="1" t="s">
        <v>110</v>
      </c>
      <c r="I125" s="1">
        <v>2</v>
      </c>
      <c r="J125" s="1">
        <v>2</v>
      </c>
      <c r="K125" s="1" t="s">
        <v>50</v>
      </c>
      <c r="L125" s="1" t="s">
        <v>19</v>
      </c>
    </row>
    <row r="126" spans="1:12" hidden="1" x14ac:dyDescent="0.2">
      <c r="A126" s="1">
        <v>1958</v>
      </c>
      <c r="B126" s="2" t="d">
        <v>1958-06-15</v>
      </c>
      <c r="C126" s="1" t="s">
        <v>148</v>
      </c>
      <c r="D126" s="1" t="s">
        <v>13</v>
      </c>
      <c r="E126" s="1" t="s">
        <v>168</v>
      </c>
      <c r="F126" s="1" t="s">
        <v>169</v>
      </c>
      <c r="G126" s="1" t="s">
        <v>62</v>
      </c>
      <c r="H126" s="1" t="s">
        <v>73</v>
      </c>
      <c r="I126" s="1">
        <v>6</v>
      </c>
      <c r="J126" s="1">
        <v>1</v>
      </c>
      <c r="K126" s="1" t="s">
        <v>33</v>
      </c>
      <c r="L126" s="1" t="s">
        <v>19</v>
      </c>
    </row>
    <row r="127" spans="1:12" hidden="1" x14ac:dyDescent="0.2">
      <c r="A127" s="1">
        <v>1958</v>
      </c>
      <c r="B127" s="2" t="d">
        <v>1958-06-17</v>
      </c>
      <c r="C127" s="1" t="s">
        <v>148</v>
      </c>
      <c r="D127" s="1" t="s">
        <v>20</v>
      </c>
      <c r="E127" s="1" t="s">
        <v>149</v>
      </c>
      <c r="F127" s="1" t="s">
        <v>150</v>
      </c>
      <c r="G127" s="1" t="s">
        <v>62</v>
      </c>
      <c r="H127" s="1" t="s">
        <v>151</v>
      </c>
      <c r="I127" s="1">
        <v>1</v>
      </c>
      <c r="J127" s="1">
        <v>0</v>
      </c>
      <c r="K127" s="1" t="s">
        <v>110</v>
      </c>
      <c r="L127" s="1" t="s">
        <v>19</v>
      </c>
    </row>
    <row r="128" spans="1:12" hidden="1" x14ac:dyDescent="0.2">
      <c r="A128" s="1">
        <v>1958</v>
      </c>
      <c r="B128" s="2" t="d">
        <v>1958-06-17</v>
      </c>
      <c r="C128" s="1" t="s">
        <v>148</v>
      </c>
      <c r="D128" s="1" t="s">
        <v>13</v>
      </c>
      <c r="E128" s="1" t="s">
        <v>152</v>
      </c>
      <c r="F128" s="1" t="s">
        <v>153</v>
      </c>
      <c r="G128" s="1" t="s">
        <v>62</v>
      </c>
      <c r="H128" s="1" t="s">
        <v>165</v>
      </c>
      <c r="I128" s="1">
        <v>2</v>
      </c>
      <c r="J128" s="1">
        <v>1</v>
      </c>
      <c r="K128" s="1" t="s">
        <v>73</v>
      </c>
      <c r="L128" s="1" t="s">
        <v>174</v>
      </c>
    </row>
    <row r="129" spans="1:12" hidden="1" x14ac:dyDescent="0.2">
      <c r="A129" s="1">
        <v>1958</v>
      </c>
      <c r="B129" s="2" t="d">
        <v>1958-06-17</v>
      </c>
      <c r="C129" s="1" t="s">
        <v>148</v>
      </c>
      <c r="D129" s="1" t="s">
        <v>29</v>
      </c>
      <c r="E129" s="1" t="s">
        <v>146</v>
      </c>
      <c r="F129" s="1" t="s">
        <v>147</v>
      </c>
      <c r="G129" s="1" t="s">
        <v>62</v>
      </c>
      <c r="H129" s="1" t="s">
        <v>156</v>
      </c>
      <c r="I129" s="1">
        <v>2</v>
      </c>
      <c r="J129" s="1">
        <v>1</v>
      </c>
      <c r="K129" s="1" t="s">
        <v>54</v>
      </c>
      <c r="L129" s="1" t="s">
        <v>19</v>
      </c>
    </row>
    <row r="130" spans="1:12" hidden="1" x14ac:dyDescent="0.2">
      <c r="A130" s="1">
        <v>1958</v>
      </c>
      <c r="B130" s="2" t="d">
        <v>1958-06-19</v>
      </c>
      <c r="C130" s="1" t="s">
        <v>148</v>
      </c>
      <c r="D130" s="12" t="s">
        <v>74</v>
      </c>
      <c r="E130" s="1" t="s">
        <v>149</v>
      </c>
      <c r="F130" s="1" t="s">
        <v>150</v>
      </c>
      <c r="G130" s="1" t="s">
        <v>62</v>
      </c>
      <c r="H130" s="1" t="s">
        <v>27</v>
      </c>
      <c r="I130" s="1">
        <v>1</v>
      </c>
      <c r="J130" s="1">
        <v>0</v>
      </c>
      <c r="K130" s="1" t="s">
        <v>156</v>
      </c>
      <c r="L130" s="1" t="s">
        <v>19</v>
      </c>
    </row>
    <row r="131" spans="1:12" hidden="1" x14ac:dyDescent="0.2">
      <c r="A131" s="1">
        <v>1958</v>
      </c>
      <c r="B131" s="2" t="d">
        <v>1958-06-19</v>
      </c>
      <c r="C131" s="1" t="s">
        <v>148</v>
      </c>
      <c r="D131" s="12" t="s">
        <v>74</v>
      </c>
      <c r="E131" s="1" t="s">
        <v>152</v>
      </c>
      <c r="F131" s="1" t="s">
        <v>153</v>
      </c>
      <c r="G131" s="1" t="s">
        <v>62</v>
      </c>
      <c r="H131" s="1" t="s">
        <v>133</v>
      </c>
      <c r="I131" s="1">
        <v>1</v>
      </c>
      <c r="J131" s="1">
        <v>0</v>
      </c>
      <c r="K131" s="1" t="s">
        <v>26</v>
      </c>
      <c r="L131" s="1" t="s">
        <v>19</v>
      </c>
    </row>
    <row r="132" spans="1:12" hidden="1" x14ac:dyDescent="0.2">
      <c r="A132" s="1">
        <v>1958</v>
      </c>
      <c r="B132" s="2" t="d">
        <v>1958-06-19</v>
      </c>
      <c r="C132" s="1" t="s">
        <v>148</v>
      </c>
      <c r="D132" s="12" t="s">
        <v>74</v>
      </c>
      <c r="E132" s="1" t="s">
        <v>146</v>
      </c>
      <c r="F132" s="1" t="s">
        <v>147</v>
      </c>
      <c r="G132" s="1" t="s">
        <v>62</v>
      </c>
      <c r="H132" s="1" t="s">
        <v>62</v>
      </c>
      <c r="I132" s="1">
        <v>2</v>
      </c>
      <c r="J132" s="1">
        <v>0</v>
      </c>
      <c r="K132" s="1" t="s">
        <v>151</v>
      </c>
      <c r="L132" s="1" t="s">
        <v>19</v>
      </c>
    </row>
    <row r="133" spans="1:12" hidden="1" x14ac:dyDescent="0.2">
      <c r="A133" s="1">
        <v>1958</v>
      </c>
      <c r="B133" s="2" t="d">
        <v>1958-06-19</v>
      </c>
      <c r="C133" s="1" t="s">
        <v>148</v>
      </c>
      <c r="D133" s="12" t="s">
        <v>74</v>
      </c>
      <c r="E133" s="1" t="s">
        <v>157</v>
      </c>
      <c r="F133" s="1" t="s">
        <v>158</v>
      </c>
      <c r="G133" s="1" t="s">
        <v>62</v>
      </c>
      <c r="H133" s="1" t="s">
        <v>17</v>
      </c>
      <c r="I133" s="1">
        <v>4</v>
      </c>
      <c r="J133" s="1">
        <v>0</v>
      </c>
      <c r="K133" s="1" t="s">
        <v>165</v>
      </c>
      <c r="L133" s="1" t="s">
        <v>19</v>
      </c>
    </row>
    <row r="134" spans="1:12" hidden="1" x14ac:dyDescent="0.2">
      <c r="A134" s="1">
        <v>1958</v>
      </c>
      <c r="B134" s="2" t="d">
        <v>1958-06-24</v>
      </c>
      <c r="C134" s="1" t="s">
        <v>148</v>
      </c>
      <c r="D134" s="12" t="s">
        <v>42</v>
      </c>
      <c r="E134" s="1" t="s">
        <v>149</v>
      </c>
      <c r="F134" s="1" t="s">
        <v>150</v>
      </c>
      <c r="G134" s="1" t="s">
        <v>62</v>
      </c>
      <c r="H134" s="1" t="s">
        <v>62</v>
      </c>
      <c r="I134" s="1">
        <v>3</v>
      </c>
      <c r="J134" s="1">
        <v>1</v>
      </c>
      <c r="K134" s="1" t="s">
        <v>133</v>
      </c>
      <c r="L134" s="1" t="s">
        <v>19</v>
      </c>
    </row>
    <row r="135" spans="1:12" hidden="1" x14ac:dyDescent="0.2">
      <c r="A135" s="1">
        <v>1958</v>
      </c>
      <c r="B135" s="2" t="d">
        <v>1958-06-24</v>
      </c>
      <c r="C135" s="1" t="s">
        <v>148</v>
      </c>
      <c r="D135" s="12" t="s">
        <v>42</v>
      </c>
      <c r="E135" s="1" t="s">
        <v>146</v>
      </c>
      <c r="F135" s="1" t="s">
        <v>147</v>
      </c>
      <c r="G135" s="1" t="s">
        <v>62</v>
      </c>
      <c r="H135" s="1" t="s">
        <v>27</v>
      </c>
      <c r="I135" s="1">
        <v>5</v>
      </c>
      <c r="J135" s="1">
        <v>2</v>
      </c>
      <c r="K135" s="1" t="s">
        <v>17</v>
      </c>
      <c r="L135" s="1" t="s">
        <v>19</v>
      </c>
    </row>
    <row r="136" spans="1:12" hidden="1" x14ac:dyDescent="0.2">
      <c r="A136" s="1">
        <v>1958</v>
      </c>
      <c r="B136" s="2" t="d">
        <v>1958-06-28</v>
      </c>
      <c r="C136" s="1" t="s">
        <v>79</v>
      </c>
      <c r="D136" s="12" t="s">
        <v>76</v>
      </c>
      <c r="E136" s="1" t="s">
        <v>149</v>
      </c>
      <c r="F136" s="1" t="s">
        <v>150</v>
      </c>
      <c r="G136" s="1" t="s">
        <v>62</v>
      </c>
      <c r="H136" s="1" t="s">
        <v>17</v>
      </c>
      <c r="I136" s="1">
        <v>6</v>
      </c>
      <c r="J136" s="1">
        <v>3</v>
      </c>
      <c r="K136" s="1" t="s">
        <v>133</v>
      </c>
      <c r="L136" s="1" t="s">
        <v>19</v>
      </c>
    </row>
    <row r="137" spans="1:12" hidden="1" x14ac:dyDescent="0.2">
      <c r="A137" s="1">
        <v>1958</v>
      </c>
      <c r="B137" s="2" t="d">
        <v>1958-06-29</v>
      </c>
      <c r="C137" s="1" t="s">
        <v>12</v>
      </c>
      <c r="D137" s="12" t="s">
        <v>44</v>
      </c>
      <c r="E137" s="1" t="s">
        <v>146</v>
      </c>
      <c r="F137" s="1" t="s">
        <v>147</v>
      </c>
      <c r="G137" s="1" t="s">
        <v>62</v>
      </c>
      <c r="H137" s="1" t="s">
        <v>27</v>
      </c>
      <c r="I137" s="1">
        <v>5</v>
      </c>
      <c r="J137" s="1">
        <v>2</v>
      </c>
      <c r="K137" s="1" t="s">
        <v>62</v>
      </c>
      <c r="L137" s="1" t="s">
        <v>19</v>
      </c>
    </row>
    <row r="138" spans="1:12" hidden="1" x14ac:dyDescent="0.2">
      <c r="A138" s="1">
        <v>1962</v>
      </c>
      <c r="B138" s="2" t="d">
        <v>1962-05-30</v>
      </c>
      <c r="C138" s="1" t="s">
        <v>12</v>
      </c>
      <c r="D138" s="1" t="s">
        <v>13</v>
      </c>
      <c r="E138" s="1" t="s">
        <v>175</v>
      </c>
      <c r="F138" s="1" t="s">
        <v>176</v>
      </c>
      <c r="G138" s="1" t="s">
        <v>35</v>
      </c>
      <c r="H138" s="1" t="s">
        <v>16</v>
      </c>
      <c r="I138" s="1">
        <v>2</v>
      </c>
      <c r="J138" s="1">
        <v>1</v>
      </c>
      <c r="K138" s="1" t="s">
        <v>177</v>
      </c>
      <c r="L138" s="1" t="s">
        <v>19</v>
      </c>
    </row>
    <row r="139" spans="1:12" hidden="1" x14ac:dyDescent="0.2">
      <c r="A139" s="1">
        <v>1962</v>
      </c>
      <c r="B139" s="2" t="d">
        <v>1962-05-30</v>
      </c>
      <c r="C139" s="1" t="s">
        <v>12</v>
      </c>
      <c r="D139" s="1" t="s">
        <v>29</v>
      </c>
      <c r="E139" s="1" t="s">
        <v>178</v>
      </c>
      <c r="F139" s="1" t="s">
        <v>179</v>
      </c>
      <c r="G139" s="1" t="s">
        <v>35</v>
      </c>
      <c r="H139" s="1" t="s">
        <v>27</v>
      </c>
      <c r="I139" s="1">
        <v>2</v>
      </c>
      <c r="J139" s="1">
        <v>0</v>
      </c>
      <c r="K139" s="1" t="s">
        <v>18</v>
      </c>
      <c r="L139" s="1" t="s">
        <v>19</v>
      </c>
    </row>
    <row r="140" spans="1:12" hidden="1" x14ac:dyDescent="0.2">
      <c r="A140" s="1">
        <v>1962</v>
      </c>
      <c r="B140" s="2" t="d">
        <v>1962-05-30</v>
      </c>
      <c r="C140" s="1" t="s">
        <v>12</v>
      </c>
      <c r="D140" s="1" t="s">
        <v>20</v>
      </c>
      <c r="E140" s="1" t="s">
        <v>180</v>
      </c>
      <c r="F140" s="1" t="s">
        <v>181</v>
      </c>
      <c r="G140" s="1" t="s">
        <v>35</v>
      </c>
      <c r="H140" s="1" t="s">
        <v>33</v>
      </c>
      <c r="I140" s="1">
        <v>1</v>
      </c>
      <c r="J140" s="1">
        <v>0</v>
      </c>
      <c r="K140" s="1" t="s">
        <v>182</v>
      </c>
      <c r="L140" s="1" t="s">
        <v>19</v>
      </c>
    </row>
    <row r="141" spans="1:12" hidden="1" x14ac:dyDescent="0.2">
      <c r="A141" s="1">
        <v>1962</v>
      </c>
      <c r="B141" s="2" t="d">
        <v>1962-05-30</v>
      </c>
      <c r="C141" s="1" t="s">
        <v>12</v>
      </c>
      <c r="D141" s="1" t="s">
        <v>25</v>
      </c>
      <c r="E141" s="1" t="s">
        <v>183</v>
      </c>
      <c r="F141" s="1" t="s">
        <v>184</v>
      </c>
      <c r="G141" s="1" t="s">
        <v>35</v>
      </c>
      <c r="H141" s="1" t="s">
        <v>35</v>
      </c>
      <c r="I141" s="1">
        <v>3</v>
      </c>
      <c r="J141" s="1">
        <v>1</v>
      </c>
      <c r="K141" s="1" t="s">
        <v>58</v>
      </c>
      <c r="L141" s="1" t="s">
        <v>19</v>
      </c>
    </row>
    <row r="142" spans="1:12" hidden="1" x14ac:dyDescent="0.2">
      <c r="A142" s="1">
        <v>1962</v>
      </c>
      <c r="B142" s="2" t="d">
        <v>1962-05-31</v>
      </c>
      <c r="C142" s="1" t="s">
        <v>12</v>
      </c>
      <c r="D142" s="1" t="s">
        <v>13</v>
      </c>
      <c r="E142" s="1" t="s">
        <v>175</v>
      </c>
      <c r="F142" s="1" t="s">
        <v>176</v>
      </c>
      <c r="G142" s="1" t="s">
        <v>35</v>
      </c>
      <c r="H142" s="1" t="s">
        <v>151</v>
      </c>
      <c r="I142" s="1">
        <v>2</v>
      </c>
      <c r="J142" s="1">
        <v>0</v>
      </c>
      <c r="K142" s="1" t="s">
        <v>26</v>
      </c>
      <c r="L142" s="1" t="s">
        <v>19</v>
      </c>
    </row>
    <row r="143" spans="1:12" hidden="1" x14ac:dyDescent="0.2">
      <c r="A143" s="1">
        <v>1962</v>
      </c>
      <c r="B143" s="2" t="d">
        <v>1962-05-31</v>
      </c>
      <c r="C143" s="1" t="s">
        <v>12</v>
      </c>
      <c r="D143" s="1" t="s">
        <v>29</v>
      </c>
      <c r="E143" s="1" t="s">
        <v>178</v>
      </c>
      <c r="F143" s="1" t="s">
        <v>179</v>
      </c>
      <c r="G143" s="1" t="s">
        <v>35</v>
      </c>
      <c r="H143" s="1" t="s">
        <v>73</v>
      </c>
      <c r="I143" s="1">
        <v>1</v>
      </c>
      <c r="J143" s="1">
        <v>0</v>
      </c>
      <c r="K143" s="1" t="s">
        <v>68</v>
      </c>
      <c r="L143" s="1" t="s">
        <v>19</v>
      </c>
    </row>
    <row r="144" spans="1:12" hidden="1" x14ac:dyDescent="0.2">
      <c r="A144" s="1">
        <v>1962</v>
      </c>
      <c r="B144" s="2" t="d">
        <v>1962-05-31</v>
      </c>
      <c r="C144" s="1" t="s">
        <v>12</v>
      </c>
      <c r="D144" s="1" t="s">
        <v>20</v>
      </c>
      <c r="E144" s="1" t="s">
        <v>180</v>
      </c>
      <c r="F144" s="1" t="s">
        <v>181</v>
      </c>
      <c r="G144" s="1" t="s">
        <v>35</v>
      </c>
      <c r="H144" s="1" t="s">
        <v>54</v>
      </c>
      <c r="I144" s="1">
        <v>2</v>
      </c>
      <c r="J144" s="1">
        <v>1</v>
      </c>
      <c r="K144" s="1" t="s">
        <v>110</v>
      </c>
      <c r="L144" s="1" t="s">
        <v>19</v>
      </c>
    </row>
    <row r="145" spans="1:12" hidden="1" x14ac:dyDescent="0.2">
      <c r="A145" s="1">
        <v>1962</v>
      </c>
      <c r="B145" s="2" t="d">
        <v>1962-05-31</v>
      </c>
      <c r="C145" s="1" t="s">
        <v>12</v>
      </c>
      <c r="D145" s="1" t="s">
        <v>25</v>
      </c>
      <c r="E145" s="1" t="s">
        <v>183</v>
      </c>
      <c r="F145" s="1" t="s">
        <v>184</v>
      </c>
      <c r="G145" s="1" t="s">
        <v>35</v>
      </c>
      <c r="H145" s="1" t="s">
        <v>133</v>
      </c>
      <c r="I145" s="1">
        <v>0</v>
      </c>
      <c r="J145" s="1">
        <v>0</v>
      </c>
      <c r="K145" s="1" t="s">
        <v>49</v>
      </c>
      <c r="L145" s="1" t="s">
        <v>19</v>
      </c>
    </row>
    <row r="146" spans="1:12" hidden="1" x14ac:dyDescent="0.2">
      <c r="A146" s="1">
        <v>1962</v>
      </c>
      <c r="B146" s="2" t="d">
        <v>1962-06-02</v>
      </c>
      <c r="C146" s="1" t="s">
        <v>12</v>
      </c>
      <c r="D146" s="1" t="s">
        <v>13</v>
      </c>
      <c r="E146" s="1" t="s">
        <v>175</v>
      </c>
      <c r="F146" s="1" t="s">
        <v>176</v>
      </c>
      <c r="G146" s="1" t="s">
        <v>35</v>
      </c>
      <c r="H146" s="1" t="s">
        <v>26</v>
      </c>
      <c r="I146" s="1">
        <v>3</v>
      </c>
      <c r="J146" s="1">
        <v>1</v>
      </c>
      <c r="K146" s="1" t="s">
        <v>16</v>
      </c>
      <c r="L146" s="1" t="s">
        <v>19</v>
      </c>
    </row>
    <row r="147" spans="1:12" hidden="1" x14ac:dyDescent="0.2">
      <c r="A147" s="1">
        <v>1962</v>
      </c>
      <c r="B147" s="2" t="d">
        <v>1962-06-02</v>
      </c>
      <c r="C147" s="1" t="s">
        <v>12</v>
      </c>
      <c r="D147" s="1" t="s">
        <v>29</v>
      </c>
      <c r="E147" s="1" t="s">
        <v>178</v>
      </c>
      <c r="F147" s="1" t="s">
        <v>179</v>
      </c>
      <c r="G147" s="1" t="s">
        <v>35</v>
      </c>
      <c r="H147" s="1" t="s">
        <v>27</v>
      </c>
      <c r="I147" s="1">
        <v>0</v>
      </c>
      <c r="J147" s="1">
        <v>0</v>
      </c>
      <c r="K147" s="1" t="s">
        <v>73</v>
      </c>
      <c r="L147" s="1" t="s">
        <v>19</v>
      </c>
    </row>
    <row r="148" spans="1:12" hidden="1" x14ac:dyDescent="0.2">
      <c r="A148" s="1">
        <v>1962</v>
      </c>
      <c r="B148" s="2" t="d">
        <v>1962-06-02</v>
      </c>
      <c r="C148" s="1" t="s">
        <v>12</v>
      </c>
      <c r="D148" s="1" t="s">
        <v>20</v>
      </c>
      <c r="E148" s="1" t="s">
        <v>180</v>
      </c>
      <c r="F148" s="1" t="s">
        <v>181</v>
      </c>
      <c r="G148" s="1" t="s">
        <v>35</v>
      </c>
      <c r="H148" s="1" t="s">
        <v>110</v>
      </c>
      <c r="I148" s="1">
        <v>3</v>
      </c>
      <c r="J148" s="1">
        <v>1</v>
      </c>
      <c r="K148" s="1" t="s">
        <v>33</v>
      </c>
      <c r="L148" s="1" t="s">
        <v>19</v>
      </c>
    </row>
    <row r="149" spans="1:12" hidden="1" x14ac:dyDescent="0.2">
      <c r="A149" s="1">
        <v>1962</v>
      </c>
      <c r="B149" s="2" t="d">
        <v>1962-06-02</v>
      </c>
      <c r="C149" s="1" t="s">
        <v>12</v>
      </c>
      <c r="D149" s="1" t="s">
        <v>25</v>
      </c>
      <c r="E149" s="1" t="s">
        <v>183</v>
      </c>
      <c r="F149" s="1" t="s">
        <v>184</v>
      </c>
      <c r="G149" s="1" t="s">
        <v>35</v>
      </c>
      <c r="H149" s="1" t="s">
        <v>35</v>
      </c>
      <c r="I149" s="1">
        <v>2</v>
      </c>
      <c r="J149" s="1">
        <v>0</v>
      </c>
      <c r="K149" s="1" t="s">
        <v>49</v>
      </c>
      <c r="L149" s="1" t="s">
        <v>19</v>
      </c>
    </row>
    <row r="150" spans="1:12" hidden="1" x14ac:dyDescent="0.2">
      <c r="A150" s="1">
        <v>1962</v>
      </c>
      <c r="B150" s="2" t="d">
        <v>1962-06-03</v>
      </c>
      <c r="C150" s="1" t="s">
        <v>12</v>
      </c>
      <c r="D150" s="1" t="s">
        <v>13</v>
      </c>
      <c r="E150" s="1" t="s">
        <v>175</v>
      </c>
      <c r="F150" s="1" t="s">
        <v>176</v>
      </c>
      <c r="G150" s="1" t="s">
        <v>35</v>
      </c>
      <c r="H150" s="1" t="s">
        <v>151</v>
      </c>
      <c r="I150" s="1">
        <v>4</v>
      </c>
      <c r="J150" s="1">
        <v>4</v>
      </c>
      <c r="K150" s="1" t="s">
        <v>177</v>
      </c>
      <c r="L150" s="1" t="s">
        <v>19</v>
      </c>
    </row>
    <row r="151" spans="1:12" hidden="1" x14ac:dyDescent="0.2">
      <c r="A151" s="1">
        <v>1962</v>
      </c>
      <c r="B151" s="2" t="d">
        <v>1962-06-03</v>
      </c>
      <c r="C151" s="1" t="s">
        <v>12</v>
      </c>
      <c r="D151" s="1" t="s">
        <v>29</v>
      </c>
      <c r="E151" s="1" t="s">
        <v>178</v>
      </c>
      <c r="F151" s="1" t="s">
        <v>179</v>
      </c>
      <c r="G151" s="1" t="s">
        <v>35</v>
      </c>
      <c r="H151" s="1" t="s">
        <v>68</v>
      </c>
      <c r="I151" s="1">
        <v>1</v>
      </c>
      <c r="J151" s="1">
        <v>0</v>
      </c>
      <c r="K151" s="1" t="s">
        <v>18</v>
      </c>
      <c r="L151" s="1" t="s">
        <v>19</v>
      </c>
    </row>
    <row r="152" spans="1:12" hidden="1" x14ac:dyDescent="0.2">
      <c r="A152" s="1">
        <v>1962</v>
      </c>
      <c r="B152" s="2" t="d">
        <v>1962-06-03</v>
      </c>
      <c r="C152" s="1" t="s">
        <v>12</v>
      </c>
      <c r="D152" s="1" t="s">
        <v>20</v>
      </c>
      <c r="E152" s="1" t="s">
        <v>180</v>
      </c>
      <c r="F152" s="1" t="s">
        <v>181</v>
      </c>
      <c r="G152" s="1" t="s">
        <v>35</v>
      </c>
      <c r="H152" s="1" t="s">
        <v>54</v>
      </c>
      <c r="I152" s="1">
        <v>6</v>
      </c>
      <c r="J152" s="1">
        <v>1</v>
      </c>
      <c r="K152" s="1" t="s">
        <v>182</v>
      </c>
      <c r="L152" s="1" t="s">
        <v>19</v>
      </c>
    </row>
    <row r="153" spans="1:12" hidden="1" x14ac:dyDescent="0.2">
      <c r="A153" s="1">
        <v>1962</v>
      </c>
      <c r="B153" s="2" t="d">
        <v>1962-06-03</v>
      </c>
      <c r="C153" s="1" t="s">
        <v>12</v>
      </c>
      <c r="D153" s="1" t="s">
        <v>25</v>
      </c>
      <c r="E153" s="1" t="s">
        <v>183</v>
      </c>
      <c r="F153" s="1" t="s">
        <v>184</v>
      </c>
      <c r="G153" s="1" t="s">
        <v>35</v>
      </c>
      <c r="H153" s="1" t="s">
        <v>133</v>
      </c>
      <c r="I153" s="1">
        <v>2</v>
      </c>
      <c r="J153" s="1">
        <v>1</v>
      </c>
      <c r="K153" s="1" t="s">
        <v>58</v>
      </c>
      <c r="L153" s="1" t="s">
        <v>19</v>
      </c>
    </row>
    <row r="154" spans="1:12" hidden="1" x14ac:dyDescent="0.2">
      <c r="A154" s="1">
        <v>1962</v>
      </c>
      <c r="B154" s="2" t="d">
        <v>1962-06-06</v>
      </c>
      <c r="C154" s="1" t="s">
        <v>12</v>
      </c>
      <c r="D154" s="1" t="s">
        <v>13</v>
      </c>
      <c r="E154" s="1" t="s">
        <v>175</v>
      </c>
      <c r="F154" s="1" t="s">
        <v>176</v>
      </c>
      <c r="G154" s="1" t="s">
        <v>35</v>
      </c>
      <c r="H154" s="1" t="s">
        <v>151</v>
      </c>
      <c r="I154" s="1">
        <v>2</v>
      </c>
      <c r="J154" s="1">
        <v>1</v>
      </c>
      <c r="K154" s="1" t="s">
        <v>16</v>
      </c>
      <c r="L154" s="1" t="s">
        <v>19</v>
      </c>
    </row>
    <row r="155" spans="1:12" hidden="1" x14ac:dyDescent="0.2">
      <c r="A155" s="1">
        <v>1962</v>
      </c>
      <c r="B155" s="2" t="d">
        <v>1962-06-06</v>
      </c>
      <c r="C155" s="1" t="s">
        <v>12</v>
      </c>
      <c r="D155" s="1" t="s">
        <v>29</v>
      </c>
      <c r="E155" s="1" t="s">
        <v>178</v>
      </c>
      <c r="F155" s="1" t="s">
        <v>179</v>
      </c>
      <c r="G155" s="1" t="s">
        <v>35</v>
      </c>
      <c r="H155" s="1" t="s">
        <v>27</v>
      </c>
      <c r="I155" s="1">
        <v>2</v>
      </c>
      <c r="J155" s="1">
        <v>1</v>
      </c>
      <c r="K155" s="1" t="s">
        <v>68</v>
      </c>
      <c r="L155" s="1" t="s">
        <v>19</v>
      </c>
    </row>
    <row r="156" spans="1:12" hidden="1" x14ac:dyDescent="0.2">
      <c r="A156" s="1">
        <v>1962</v>
      </c>
      <c r="B156" s="2" t="d">
        <v>1962-06-06</v>
      </c>
      <c r="C156" s="1" t="s">
        <v>12</v>
      </c>
      <c r="D156" s="1" t="s">
        <v>20</v>
      </c>
      <c r="E156" s="1" t="s">
        <v>180</v>
      </c>
      <c r="F156" s="1" t="s">
        <v>181</v>
      </c>
      <c r="G156" s="1" t="s">
        <v>35</v>
      </c>
      <c r="H156" s="1" t="s">
        <v>54</v>
      </c>
      <c r="I156" s="1">
        <v>0</v>
      </c>
      <c r="J156" s="1">
        <v>0</v>
      </c>
      <c r="K156" s="1" t="s">
        <v>33</v>
      </c>
      <c r="L156" s="1" t="s">
        <v>19</v>
      </c>
    </row>
    <row r="157" spans="1:12" hidden="1" x14ac:dyDescent="0.2">
      <c r="A157" s="1">
        <v>1962</v>
      </c>
      <c r="B157" s="2" t="d">
        <v>1962-06-06</v>
      </c>
      <c r="C157" s="1" t="s">
        <v>12</v>
      </c>
      <c r="D157" s="1" t="s">
        <v>25</v>
      </c>
      <c r="E157" s="1" t="s">
        <v>183</v>
      </c>
      <c r="F157" s="1" t="s">
        <v>184</v>
      </c>
      <c r="G157" s="1" t="s">
        <v>35</v>
      </c>
      <c r="H157" s="1" t="s">
        <v>133</v>
      </c>
      <c r="I157" s="1">
        <v>2</v>
      </c>
      <c r="J157" s="1">
        <v>0</v>
      </c>
      <c r="K157" s="1" t="s">
        <v>35</v>
      </c>
      <c r="L157" s="1" t="s">
        <v>19</v>
      </c>
    </row>
    <row r="158" spans="1:12" hidden="1" x14ac:dyDescent="0.2">
      <c r="A158" s="1">
        <v>1962</v>
      </c>
      <c r="B158" s="2" t="d">
        <v>1962-06-07</v>
      </c>
      <c r="C158" s="1" t="s">
        <v>12</v>
      </c>
      <c r="D158" s="1" t="s">
        <v>13</v>
      </c>
      <c r="E158" s="1" t="s">
        <v>175</v>
      </c>
      <c r="F158" s="1" t="s">
        <v>176</v>
      </c>
      <c r="G158" s="1" t="s">
        <v>35</v>
      </c>
      <c r="H158" s="1" t="s">
        <v>26</v>
      </c>
      <c r="I158" s="1">
        <v>5</v>
      </c>
      <c r="J158" s="1">
        <v>0</v>
      </c>
      <c r="K158" s="1" t="s">
        <v>177</v>
      </c>
      <c r="L158" s="1" t="s">
        <v>19</v>
      </c>
    </row>
    <row r="159" spans="1:12" hidden="1" x14ac:dyDescent="0.2">
      <c r="A159" s="1">
        <v>1962</v>
      </c>
      <c r="B159" s="2" t="d">
        <v>1962-06-07</v>
      </c>
      <c r="C159" s="1" t="s">
        <v>12</v>
      </c>
      <c r="D159" s="1" t="s">
        <v>29</v>
      </c>
      <c r="E159" s="1" t="s">
        <v>178</v>
      </c>
      <c r="F159" s="1" t="s">
        <v>179</v>
      </c>
      <c r="G159" s="1" t="s">
        <v>35</v>
      </c>
      <c r="H159" s="1" t="s">
        <v>18</v>
      </c>
      <c r="I159" s="1">
        <v>3</v>
      </c>
      <c r="J159" s="1">
        <v>1</v>
      </c>
      <c r="K159" s="1" t="s">
        <v>73</v>
      </c>
      <c r="L159" s="1" t="s">
        <v>19</v>
      </c>
    </row>
    <row r="160" spans="1:12" hidden="1" x14ac:dyDescent="0.2">
      <c r="A160" s="1">
        <v>1962</v>
      </c>
      <c r="B160" s="2" t="d">
        <v>1962-06-07</v>
      </c>
      <c r="C160" s="1" t="s">
        <v>12</v>
      </c>
      <c r="D160" s="1" t="s">
        <v>20</v>
      </c>
      <c r="E160" s="1" t="s">
        <v>180</v>
      </c>
      <c r="F160" s="1" t="s">
        <v>181</v>
      </c>
      <c r="G160" s="1" t="s">
        <v>35</v>
      </c>
      <c r="H160" s="1" t="s">
        <v>110</v>
      </c>
      <c r="I160" s="1">
        <v>0</v>
      </c>
      <c r="J160" s="1">
        <v>0</v>
      </c>
      <c r="K160" s="1" t="s">
        <v>182</v>
      </c>
      <c r="L160" s="1" t="s">
        <v>19</v>
      </c>
    </row>
    <row r="161" spans="1:12" hidden="1" x14ac:dyDescent="0.2">
      <c r="A161" s="1">
        <v>1962</v>
      </c>
      <c r="B161" s="2" t="d">
        <v>1962-06-07</v>
      </c>
      <c r="C161" s="1" t="s">
        <v>12</v>
      </c>
      <c r="D161" s="1" t="s">
        <v>25</v>
      </c>
      <c r="E161" s="1" t="s">
        <v>183</v>
      </c>
      <c r="F161" s="1" t="s">
        <v>184</v>
      </c>
      <c r="G161" s="1" t="s">
        <v>35</v>
      </c>
      <c r="H161" s="1" t="s">
        <v>49</v>
      </c>
      <c r="I161" s="1">
        <v>3</v>
      </c>
      <c r="J161" s="1">
        <v>0</v>
      </c>
      <c r="K161" s="1" t="s">
        <v>58</v>
      </c>
      <c r="L161" s="1" t="s">
        <v>19</v>
      </c>
    </row>
    <row r="162" spans="1:12" hidden="1" x14ac:dyDescent="0.2">
      <c r="A162" s="1">
        <v>1962</v>
      </c>
      <c r="B162" s="2" t="d">
        <v>1962-06-10</v>
      </c>
      <c r="C162" s="1" t="s">
        <v>38</v>
      </c>
      <c r="D162" s="12" t="s">
        <v>74</v>
      </c>
      <c r="E162" s="1" t="s">
        <v>175</v>
      </c>
      <c r="F162" s="1" t="s">
        <v>176</v>
      </c>
      <c r="G162" s="1" t="s">
        <v>35</v>
      </c>
      <c r="H162" s="1" t="s">
        <v>35</v>
      </c>
      <c r="I162" s="1">
        <v>2</v>
      </c>
      <c r="J162" s="1">
        <v>1</v>
      </c>
      <c r="K162" s="1" t="s">
        <v>151</v>
      </c>
      <c r="L162" s="1" t="s">
        <v>19</v>
      </c>
    </row>
    <row r="163" spans="1:12" hidden="1" x14ac:dyDescent="0.2">
      <c r="A163" s="1">
        <v>1962</v>
      </c>
      <c r="B163" s="2" t="d">
        <v>1962-06-10</v>
      </c>
      <c r="C163" s="1" t="s">
        <v>38</v>
      </c>
      <c r="D163" s="12" t="s">
        <v>74</v>
      </c>
      <c r="E163" s="1" t="s">
        <v>178</v>
      </c>
      <c r="F163" s="1" t="s">
        <v>179</v>
      </c>
      <c r="G163" s="1" t="s">
        <v>35</v>
      </c>
      <c r="H163" s="1" t="s">
        <v>27</v>
      </c>
      <c r="I163" s="1">
        <v>3</v>
      </c>
      <c r="J163" s="1">
        <v>1</v>
      </c>
      <c r="K163" s="1" t="s">
        <v>110</v>
      </c>
      <c r="L163" s="1" t="s">
        <v>19</v>
      </c>
    </row>
    <row r="164" spans="1:12" hidden="1" x14ac:dyDescent="0.2">
      <c r="A164" s="1">
        <v>1962</v>
      </c>
      <c r="B164" s="2" t="d">
        <v>1962-06-10</v>
      </c>
      <c r="C164" s="1" t="s">
        <v>38</v>
      </c>
      <c r="D164" s="12" t="s">
        <v>74</v>
      </c>
      <c r="E164" s="1" t="s">
        <v>180</v>
      </c>
      <c r="F164" s="1" t="s">
        <v>181</v>
      </c>
      <c r="G164" s="1" t="s">
        <v>35</v>
      </c>
      <c r="H164" s="1" t="s">
        <v>73</v>
      </c>
      <c r="I164" s="1">
        <v>1</v>
      </c>
      <c r="J164" s="1">
        <v>0</v>
      </c>
      <c r="K164" s="1" t="s">
        <v>54</v>
      </c>
      <c r="L164" s="1" t="s">
        <v>19</v>
      </c>
    </row>
    <row r="165" spans="1:12" hidden="1" x14ac:dyDescent="0.2">
      <c r="A165" s="1">
        <v>1962</v>
      </c>
      <c r="B165" s="2" t="d">
        <v>1962-06-10</v>
      </c>
      <c r="C165" s="1" t="s">
        <v>38</v>
      </c>
      <c r="D165" s="12" t="s">
        <v>74</v>
      </c>
      <c r="E165" s="1" t="s">
        <v>183</v>
      </c>
      <c r="F165" s="1" t="s">
        <v>184</v>
      </c>
      <c r="G165" s="1" t="s">
        <v>35</v>
      </c>
      <c r="H165" s="1" t="s">
        <v>26</v>
      </c>
      <c r="I165" s="1">
        <v>1</v>
      </c>
      <c r="J165" s="1">
        <v>0</v>
      </c>
      <c r="K165" s="1" t="s">
        <v>133</v>
      </c>
      <c r="L165" s="1" t="s">
        <v>19</v>
      </c>
    </row>
    <row r="166" spans="1:12" hidden="1" x14ac:dyDescent="0.2">
      <c r="A166" s="1">
        <v>1962</v>
      </c>
      <c r="B166" s="2" t="d">
        <v>1962-06-13</v>
      </c>
      <c r="C166" s="1" t="s">
        <v>38</v>
      </c>
      <c r="D166" s="12" t="s">
        <v>42</v>
      </c>
      <c r="E166" s="1" t="s">
        <v>178</v>
      </c>
      <c r="F166" s="1" t="s">
        <v>179</v>
      </c>
      <c r="G166" s="1" t="s">
        <v>35</v>
      </c>
      <c r="H166" s="1" t="s">
        <v>73</v>
      </c>
      <c r="I166" s="1">
        <v>3</v>
      </c>
      <c r="J166" s="1">
        <v>1</v>
      </c>
      <c r="K166" s="1" t="s">
        <v>26</v>
      </c>
      <c r="L166" s="1" t="s">
        <v>19</v>
      </c>
    </row>
    <row r="167" spans="1:12" hidden="1" x14ac:dyDescent="0.2">
      <c r="A167" s="1">
        <v>1962</v>
      </c>
      <c r="B167" s="2" t="d">
        <v>1962-06-13</v>
      </c>
      <c r="C167" s="1" t="s">
        <v>38</v>
      </c>
      <c r="D167" s="12" t="s">
        <v>42</v>
      </c>
      <c r="E167" s="1" t="s">
        <v>183</v>
      </c>
      <c r="F167" s="1" t="s">
        <v>184</v>
      </c>
      <c r="G167" s="1" t="s">
        <v>35</v>
      </c>
      <c r="H167" s="1" t="s">
        <v>27</v>
      </c>
      <c r="I167" s="1">
        <v>4</v>
      </c>
      <c r="J167" s="1">
        <v>2</v>
      </c>
      <c r="K167" s="1" t="s">
        <v>35</v>
      </c>
      <c r="L167" s="1" t="s">
        <v>19</v>
      </c>
    </row>
    <row r="168" spans="1:12" hidden="1" x14ac:dyDescent="0.2">
      <c r="A168" s="1">
        <v>1962</v>
      </c>
      <c r="B168" s="2" t="d">
        <v>1962-06-16</v>
      </c>
      <c r="C168" s="1" t="s">
        <v>38</v>
      </c>
      <c r="D168" s="12" t="s">
        <v>76</v>
      </c>
      <c r="E168" s="1" t="s">
        <v>183</v>
      </c>
      <c r="F168" s="1" t="s">
        <v>184</v>
      </c>
      <c r="G168" s="1" t="s">
        <v>35</v>
      </c>
      <c r="H168" s="1" t="s">
        <v>35</v>
      </c>
      <c r="I168" s="1">
        <v>1</v>
      </c>
      <c r="J168" s="1">
        <v>0</v>
      </c>
      <c r="K168" s="1" t="s">
        <v>26</v>
      </c>
      <c r="L168" s="1" t="s">
        <v>19</v>
      </c>
    </row>
    <row r="169" spans="1:12" hidden="1" x14ac:dyDescent="0.2">
      <c r="A169" s="1">
        <v>1962</v>
      </c>
      <c r="B169" s="2" t="d">
        <v>1962-06-17</v>
      </c>
      <c r="C169" s="1" t="s">
        <v>38</v>
      </c>
      <c r="D169" s="12" t="s">
        <v>44</v>
      </c>
      <c r="E169" s="1" t="s">
        <v>183</v>
      </c>
      <c r="F169" s="1" t="s">
        <v>184</v>
      </c>
      <c r="G169" s="1" t="s">
        <v>35</v>
      </c>
      <c r="H169" s="1" t="s">
        <v>27</v>
      </c>
      <c r="I169" s="1">
        <v>3</v>
      </c>
      <c r="J169" s="1">
        <v>1</v>
      </c>
      <c r="K169" s="1" t="s">
        <v>73</v>
      </c>
      <c r="L169" s="1" t="s">
        <v>19</v>
      </c>
    </row>
    <row r="170" spans="1:12" hidden="1" x14ac:dyDescent="0.2">
      <c r="A170" s="1">
        <v>1966</v>
      </c>
      <c r="B170" s="2" t="d">
        <v>1966-07-11</v>
      </c>
      <c r="C170" s="1" t="s">
        <v>185</v>
      </c>
      <c r="D170" s="1" t="s">
        <v>13</v>
      </c>
      <c r="E170" s="1" t="s">
        <v>186</v>
      </c>
      <c r="F170" s="1" t="s">
        <v>187</v>
      </c>
      <c r="G170" s="1" t="s">
        <v>110</v>
      </c>
      <c r="H170" s="1" t="s">
        <v>110</v>
      </c>
      <c r="I170" s="1">
        <v>0</v>
      </c>
      <c r="J170" s="1">
        <v>0</v>
      </c>
      <c r="K170" s="1" t="s">
        <v>16</v>
      </c>
      <c r="L170" s="1" t="s">
        <v>19</v>
      </c>
    </row>
    <row r="171" spans="1:12" hidden="1" x14ac:dyDescent="0.2">
      <c r="A171" s="1">
        <v>1966</v>
      </c>
      <c r="B171" s="2" t="d">
        <v>1966-07-12</v>
      </c>
      <c r="C171" s="1" t="s">
        <v>185</v>
      </c>
      <c r="D171" s="1" t="s">
        <v>25</v>
      </c>
      <c r="E171" s="1" t="s">
        <v>188</v>
      </c>
      <c r="F171" s="1" t="s">
        <v>189</v>
      </c>
      <c r="G171" s="1" t="s">
        <v>110</v>
      </c>
      <c r="H171" s="1" t="s">
        <v>133</v>
      </c>
      <c r="I171" s="1">
        <v>5</v>
      </c>
      <c r="J171" s="1">
        <v>0</v>
      </c>
      <c r="K171" s="1" t="s">
        <v>58</v>
      </c>
      <c r="L171" s="1" t="s">
        <v>19</v>
      </c>
    </row>
    <row r="172" spans="1:12" hidden="1" x14ac:dyDescent="0.2">
      <c r="A172" s="1">
        <v>1966</v>
      </c>
      <c r="B172" s="2" t="d">
        <v>1966-07-12</v>
      </c>
      <c r="C172" s="1" t="s">
        <v>185</v>
      </c>
      <c r="D172" s="1" t="s">
        <v>29</v>
      </c>
      <c r="E172" s="1" t="s">
        <v>190</v>
      </c>
      <c r="F172" s="1" t="s">
        <v>191</v>
      </c>
      <c r="G172" s="1" t="s">
        <v>110</v>
      </c>
      <c r="H172" s="1" t="s">
        <v>27</v>
      </c>
      <c r="I172" s="1">
        <v>2</v>
      </c>
      <c r="J172" s="1">
        <v>0</v>
      </c>
      <c r="K172" s="1" t="s">
        <v>182</v>
      </c>
      <c r="L172" s="1" t="s">
        <v>19</v>
      </c>
    </row>
    <row r="173" spans="1:12" hidden="1" x14ac:dyDescent="0.2">
      <c r="A173" s="1">
        <v>1966</v>
      </c>
      <c r="B173" s="2" t="d">
        <v>1966-07-12</v>
      </c>
      <c r="C173" s="1" t="s">
        <v>185</v>
      </c>
      <c r="D173" s="1" t="s">
        <v>20</v>
      </c>
      <c r="E173" s="1" t="s">
        <v>192</v>
      </c>
      <c r="F173" s="1" t="s">
        <v>193</v>
      </c>
      <c r="G173" s="1" t="s">
        <v>110</v>
      </c>
      <c r="H173" s="1" t="s">
        <v>151</v>
      </c>
      <c r="I173" s="1">
        <v>3</v>
      </c>
      <c r="J173" s="1">
        <v>0</v>
      </c>
      <c r="K173" s="1" t="s">
        <v>194</v>
      </c>
      <c r="L173" s="1" t="s">
        <v>19</v>
      </c>
    </row>
    <row r="174" spans="1:12" hidden="1" x14ac:dyDescent="0.2">
      <c r="A174" s="1">
        <v>1966</v>
      </c>
      <c r="B174" s="2" t="d">
        <v>1966-07-13</v>
      </c>
      <c r="C174" s="1" t="s">
        <v>185</v>
      </c>
      <c r="D174" s="1" t="s">
        <v>13</v>
      </c>
      <c r="E174" s="1" t="s">
        <v>186</v>
      </c>
      <c r="F174" s="1" t="s">
        <v>187</v>
      </c>
      <c r="G174" s="1" t="s">
        <v>110</v>
      </c>
      <c r="H174" s="1" t="s">
        <v>17</v>
      </c>
      <c r="I174" s="1">
        <v>1</v>
      </c>
      <c r="J174" s="1">
        <v>1</v>
      </c>
      <c r="K174" s="1" t="s">
        <v>18</v>
      </c>
      <c r="L174" s="1" t="s">
        <v>19</v>
      </c>
    </row>
    <row r="175" spans="1:12" hidden="1" x14ac:dyDescent="0.2">
      <c r="A175" s="1">
        <v>1966</v>
      </c>
      <c r="B175" s="2" t="d">
        <v>1966-07-13</v>
      </c>
      <c r="C175" s="1" t="s">
        <v>185</v>
      </c>
      <c r="D175" s="1" t="s">
        <v>29</v>
      </c>
      <c r="E175" s="1" t="s">
        <v>195</v>
      </c>
      <c r="F175" s="1" t="s">
        <v>196</v>
      </c>
      <c r="G175" s="1" t="s">
        <v>110</v>
      </c>
      <c r="H175" s="1" t="s">
        <v>197</v>
      </c>
      <c r="I175" s="1">
        <v>3</v>
      </c>
      <c r="J175" s="1">
        <v>1</v>
      </c>
      <c r="K175" s="1" t="s">
        <v>54</v>
      </c>
      <c r="L175" s="1" t="s">
        <v>19</v>
      </c>
    </row>
    <row r="176" spans="1:12" hidden="1" x14ac:dyDescent="0.2">
      <c r="A176" s="1">
        <v>1966</v>
      </c>
      <c r="B176" s="2" t="d">
        <v>1966-07-13</v>
      </c>
      <c r="C176" s="1" t="s">
        <v>185</v>
      </c>
      <c r="D176" s="1" t="s">
        <v>25</v>
      </c>
      <c r="E176" s="1" t="s">
        <v>198</v>
      </c>
      <c r="F176" s="1" t="s">
        <v>199</v>
      </c>
      <c r="G176" s="1" t="s">
        <v>110</v>
      </c>
      <c r="H176" s="1" t="s">
        <v>33</v>
      </c>
      <c r="I176" s="1">
        <v>2</v>
      </c>
      <c r="J176" s="1">
        <v>1</v>
      </c>
      <c r="K176" s="1" t="s">
        <v>68</v>
      </c>
      <c r="L176" s="1" t="s">
        <v>19</v>
      </c>
    </row>
    <row r="177" spans="1:12" hidden="1" x14ac:dyDescent="0.2">
      <c r="A177" s="1">
        <v>1966</v>
      </c>
      <c r="B177" s="2" t="d">
        <v>1966-07-13</v>
      </c>
      <c r="C177" s="1" t="s">
        <v>185</v>
      </c>
      <c r="D177" s="1" t="s">
        <v>20</v>
      </c>
      <c r="E177" s="1" t="s">
        <v>200</v>
      </c>
      <c r="F177" s="1" t="s">
        <v>201</v>
      </c>
      <c r="G177" s="1" t="s">
        <v>110</v>
      </c>
      <c r="H177" s="1" t="s">
        <v>49</v>
      </c>
      <c r="I177" s="1">
        <v>2</v>
      </c>
      <c r="J177" s="1">
        <v>0</v>
      </c>
      <c r="K177" s="1" t="s">
        <v>35</v>
      </c>
      <c r="L177" s="1" t="s">
        <v>19</v>
      </c>
    </row>
    <row r="178" spans="1:12" hidden="1" x14ac:dyDescent="0.2">
      <c r="A178" s="1">
        <v>1966</v>
      </c>
      <c r="B178" s="2" t="d">
        <v>1966-07-15</v>
      </c>
      <c r="C178" s="1" t="s">
        <v>185</v>
      </c>
      <c r="D178" s="1" t="s">
        <v>13</v>
      </c>
      <c r="E178" s="1" t="s">
        <v>202</v>
      </c>
      <c r="F178" s="1" t="s">
        <v>187</v>
      </c>
      <c r="G178" s="1" t="s">
        <v>110</v>
      </c>
      <c r="H178" s="1" t="s">
        <v>16</v>
      </c>
      <c r="I178" s="1">
        <v>2</v>
      </c>
      <c r="J178" s="1">
        <v>1</v>
      </c>
      <c r="K178" s="1" t="s">
        <v>17</v>
      </c>
      <c r="L178" s="1" t="s">
        <v>19</v>
      </c>
    </row>
    <row r="179" spans="1:12" hidden="1" x14ac:dyDescent="0.2">
      <c r="A179" s="1">
        <v>1966</v>
      </c>
      <c r="B179" s="2" t="d">
        <v>1966-07-15</v>
      </c>
      <c r="C179" s="1" t="s">
        <v>185</v>
      </c>
      <c r="D179" s="1" t="s">
        <v>25</v>
      </c>
      <c r="E179" s="1" t="s">
        <v>188</v>
      </c>
      <c r="F179" s="1" t="s">
        <v>189</v>
      </c>
      <c r="G179" s="1" t="s">
        <v>110</v>
      </c>
      <c r="H179" s="1" t="s">
        <v>68</v>
      </c>
      <c r="I179" s="1">
        <v>2</v>
      </c>
      <c r="J179" s="1">
        <v>1</v>
      </c>
      <c r="K179" s="1" t="s">
        <v>58</v>
      </c>
      <c r="L179" s="1" t="s">
        <v>19</v>
      </c>
    </row>
    <row r="180" spans="1:12" x14ac:dyDescent="0.2">
      <c r="A180" s="1">
        <v>1966</v>
      </c>
      <c r="B180" s="2" t="d">
        <v>1966-07-15</v>
      </c>
      <c r="C180" s="1" t="s">
        <v>185</v>
      </c>
      <c r="D180" s="1" t="s">
        <v>29</v>
      </c>
      <c r="E180" s="1" t="s">
        <v>190</v>
      </c>
      <c r="F180" s="1" t="s">
        <v>191</v>
      </c>
      <c r="G180" s="1" t="s">
        <v>110</v>
      </c>
      <c r="H180" s="1" t="s">
        <v>54</v>
      </c>
      <c r="I180" s="1">
        <v>3</v>
      </c>
      <c r="J180" s="1">
        <v>1</v>
      </c>
      <c r="K180" s="1" t="s">
        <v>27</v>
      </c>
      <c r="L180" s="1" t="s">
        <v>19</v>
      </c>
    </row>
    <row r="181" spans="1:12" hidden="1" x14ac:dyDescent="0.2">
      <c r="A181" s="1">
        <v>1966</v>
      </c>
      <c r="B181" s="2" t="d">
        <v>1966-07-15</v>
      </c>
      <c r="C181" s="1" t="s">
        <v>185</v>
      </c>
      <c r="D181" s="1" t="s">
        <v>20</v>
      </c>
      <c r="E181" s="1" t="s">
        <v>192</v>
      </c>
      <c r="F181" s="1" t="s">
        <v>193</v>
      </c>
      <c r="G181" s="1" t="s">
        <v>110</v>
      </c>
      <c r="H181" s="1" t="s">
        <v>194</v>
      </c>
      <c r="I181" s="1">
        <v>1</v>
      </c>
      <c r="J181" s="1">
        <v>1</v>
      </c>
      <c r="K181" s="1" t="s">
        <v>35</v>
      </c>
      <c r="L181" s="1" t="s">
        <v>19</v>
      </c>
    </row>
    <row r="182" spans="1:12" hidden="1" x14ac:dyDescent="0.2">
      <c r="A182" s="1">
        <v>1966</v>
      </c>
      <c r="B182" s="2" t="d">
        <v>1966-07-16</v>
      </c>
      <c r="C182" s="1" t="s">
        <v>12</v>
      </c>
      <c r="D182" s="1" t="s">
        <v>29</v>
      </c>
      <c r="E182" s="1" t="s">
        <v>195</v>
      </c>
      <c r="F182" s="1" t="s">
        <v>196</v>
      </c>
      <c r="G182" s="1" t="s">
        <v>110</v>
      </c>
      <c r="H182" s="1" t="s">
        <v>197</v>
      </c>
      <c r="I182" s="1">
        <v>3</v>
      </c>
      <c r="J182" s="1">
        <v>0</v>
      </c>
      <c r="K182" s="1" t="s">
        <v>182</v>
      </c>
      <c r="L182" s="1" t="s">
        <v>19</v>
      </c>
    </row>
    <row r="183" spans="1:12" hidden="1" x14ac:dyDescent="0.2">
      <c r="A183" s="1">
        <v>1966</v>
      </c>
      <c r="B183" s="2" t="d">
        <v>1966-07-16</v>
      </c>
      <c r="C183" s="1" t="s">
        <v>12</v>
      </c>
      <c r="D183" s="1" t="s">
        <v>25</v>
      </c>
      <c r="E183" s="1" t="s">
        <v>198</v>
      </c>
      <c r="F183" s="1" t="s">
        <v>199</v>
      </c>
      <c r="G183" s="1" t="s">
        <v>110</v>
      </c>
      <c r="H183" s="1" t="s">
        <v>133</v>
      </c>
      <c r="I183" s="1">
        <v>0</v>
      </c>
      <c r="J183" s="1">
        <v>0</v>
      </c>
      <c r="K183" s="1" t="s">
        <v>33</v>
      </c>
      <c r="L183" s="1" t="s">
        <v>19</v>
      </c>
    </row>
    <row r="184" spans="1:12" hidden="1" x14ac:dyDescent="0.2">
      <c r="A184" s="1">
        <v>1966</v>
      </c>
      <c r="B184" s="2" t="d">
        <v>1966-07-16</v>
      </c>
      <c r="C184" s="1" t="s">
        <v>12</v>
      </c>
      <c r="D184" s="1" t="s">
        <v>20</v>
      </c>
      <c r="E184" s="1" t="s">
        <v>200</v>
      </c>
      <c r="F184" s="1" t="s">
        <v>201</v>
      </c>
      <c r="G184" s="1" t="s">
        <v>110</v>
      </c>
      <c r="H184" s="1" t="s">
        <v>151</v>
      </c>
      <c r="I184" s="1">
        <v>1</v>
      </c>
      <c r="J184" s="1">
        <v>0</v>
      </c>
      <c r="K184" s="1" t="s">
        <v>49</v>
      </c>
      <c r="L184" s="1" t="s">
        <v>19</v>
      </c>
    </row>
    <row r="185" spans="1:12" hidden="1" x14ac:dyDescent="0.2">
      <c r="A185" s="1">
        <v>1966</v>
      </c>
      <c r="B185" s="2" t="d">
        <v>1966-07-16</v>
      </c>
      <c r="C185" s="1" t="s">
        <v>185</v>
      </c>
      <c r="D185" s="1" t="s">
        <v>13</v>
      </c>
      <c r="E185" s="1" t="s">
        <v>186</v>
      </c>
      <c r="F185" s="1" t="s">
        <v>187</v>
      </c>
      <c r="G185" s="1" t="s">
        <v>110</v>
      </c>
      <c r="H185" s="1" t="s">
        <v>110</v>
      </c>
      <c r="I185" s="1">
        <v>2</v>
      </c>
      <c r="J185" s="1">
        <v>0</v>
      </c>
      <c r="K185" s="1" t="s">
        <v>18</v>
      </c>
      <c r="L185" s="1" t="s">
        <v>19</v>
      </c>
    </row>
    <row r="186" spans="1:12" hidden="1" x14ac:dyDescent="0.2">
      <c r="A186" s="1">
        <v>1966</v>
      </c>
      <c r="B186" s="2" t="d">
        <v>1966-07-19</v>
      </c>
      <c r="C186" s="1" t="s">
        <v>45</v>
      </c>
      <c r="D186" s="1" t="s">
        <v>13</v>
      </c>
      <c r="E186" s="1" t="s">
        <v>186</v>
      </c>
      <c r="F186" s="1" t="s">
        <v>187</v>
      </c>
      <c r="G186" s="1" t="s">
        <v>110</v>
      </c>
      <c r="H186" s="1" t="s">
        <v>16</v>
      </c>
      <c r="I186" s="1">
        <v>0</v>
      </c>
      <c r="J186" s="1">
        <v>0</v>
      </c>
      <c r="K186" s="1" t="s">
        <v>18</v>
      </c>
      <c r="L186" s="1" t="s">
        <v>19</v>
      </c>
    </row>
    <row r="187" spans="1:12" hidden="1" x14ac:dyDescent="0.2">
      <c r="A187" s="1">
        <v>1966</v>
      </c>
      <c r="B187" s="2" t="d">
        <v>1966-07-19</v>
      </c>
      <c r="C187" s="1" t="s">
        <v>185</v>
      </c>
      <c r="D187" s="1" t="s">
        <v>25</v>
      </c>
      <c r="E187" s="1" t="s">
        <v>188</v>
      </c>
      <c r="F187" s="1" t="s">
        <v>189</v>
      </c>
      <c r="G187" s="1" t="s">
        <v>110</v>
      </c>
      <c r="H187" s="1" t="s">
        <v>33</v>
      </c>
      <c r="I187" s="1">
        <v>2</v>
      </c>
      <c r="J187" s="1">
        <v>0</v>
      </c>
      <c r="K187" s="1" t="s">
        <v>58</v>
      </c>
      <c r="L187" s="1" t="s">
        <v>19</v>
      </c>
    </row>
    <row r="188" spans="1:12" x14ac:dyDescent="0.2">
      <c r="A188" s="1">
        <v>1966</v>
      </c>
      <c r="B188" s="2" t="d">
        <v>1966-07-19</v>
      </c>
      <c r="C188" s="1" t="s">
        <v>185</v>
      </c>
      <c r="D188" s="1" t="s">
        <v>29</v>
      </c>
      <c r="E188" s="1" t="s">
        <v>190</v>
      </c>
      <c r="F188" s="1" t="s">
        <v>191</v>
      </c>
      <c r="G188" s="1" t="s">
        <v>110</v>
      </c>
      <c r="H188" s="1" t="s">
        <v>197</v>
      </c>
      <c r="I188" s="1">
        <v>3</v>
      </c>
      <c r="J188" s="1">
        <v>1</v>
      </c>
      <c r="K188" s="1" t="s">
        <v>27</v>
      </c>
      <c r="L188" s="1" t="s">
        <v>19</v>
      </c>
    </row>
    <row r="189" spans="1:12" hidden="1" x14ac:dyDescent="0.2">
      <c r="A189" s="1">
        <v>1966</v>
      </c>
      <c r="B189" s="2" t="d">
        <v>1966-07-19</v>
      </c>
      <c r="C189" s="1" t="s">
        <v>185</v>
      </c>
      <c r="D189" s="1" t="s">
        <v>20</v>
      </c>
      <c r="E189" s="1" t="s">
        <v>192</v>
      </c>
      <c r="F189" s="1" t="s">
        <v>193</v>
      </c>
      <c r="G189" s="1" t="s">
        <v>110</v>
      </c>
      <c r="H189" s="1" t="s">
        <v>194</v>
      </c>
      <c r="I189" s="1">
        <v>1</v>
      </c>
      <c r="J189" s="1">
        <v>0</v>
      </c>
      <c r="K189" s="1" t="s">
        <v>49</v>
      </c>
      <c r="L189" s="1" t="s">
        <v>19</v>
      </c>
    </row>
    <row r="190" spans="1:12" hidden="1" x14ac:dyDescent="0.2">
      <c r="A190" s="1">
        <v>1966</v>
      </c>
      <c r="B190" s="2" t="d">
        <v>1966-07-20</v>
      </c>
      <c r="C190" s="1" t="s">
        <v>185</v>
      </c>
      <c r="D190" s="1" t="s">
        <v>13</v>
      </c>
      <c r="E190" s="1" t="s">
        <v>186</v>
      </c>
      <c r="F190" s="1" t="s">
        <v>187</v>
      </c>
      <c r="G190" s="1" t="s">
        <v>110</v>
      </c>
      <c r="H190" s="1" t="s">
        <v>110</v>
      </c>
      <c r="I190" s="1">
        <v>2</v>
      </c>
      <c r="J190" s="1">
        <v>0</v>
      </c>
      <c r="K190" s="1" t="s">
        <v>17</v>
      </c>
      <c r="L190" s="1" t="s">
        <v>19</v>
      </c>
    </row>
    <row r="191" spans="1:12" hidden="1" x14ac:dyDescent="0.2">
      <c r="A191" s="1">
        <v>1966</v>
      </c>
      <c r="B191" s="2" t="d">
        <v>1966-07-20</v>
      </c>
      <c r="C191" s="1" t="s">
        <v>185</v>
      </c>
      <c r="D191" s="1" t="s">
        <v>29</v>
      </c>
      <c r="E191" s="1" t="s">
        <v>195</v>
      </c>
      <c r="F191" s="1" t="s">
        <v>196</v>
      </c>
      <c r="G191" s="1" t="s">
        <v>110</v>
      </c>
      <c r="H191" s="1" t="s">
        <v>54</v>
      </c>
      <c r="I191" s="1">
        <v>3</v>
      </c>
      <c r="J191" s="1">
        <v>1</v>
      </c>
      <c r="K191" s="1" t="s">
        <v>182</v>
      </c>
      <c r="L191" s="1" t="s">
        <v>19</v>
      </c>
    </row>
    <row r="192" spans="1:12" hidden="1" x14ac:dyDescent="0.2">
      <c r="A192" s="1">
        <v>1966</v>
      </c>
      <c r="B192" s="2" t="d">
        <v>1966-07-20</v>
      </c>
      <c r="C192" s="1" t="s">
        <v>185</v>
      </c>
      <c r="D192" s="1" t="s">
        <v>25</v>
      </c>
      <c r="E192" s="1" t="s">
        <v>198</v>
      </c>
      <c r="F192" s="1" t="s">
        <v>199</v>
      </c>
      <c r="G192" s="1" t="s">
        <v>110</v>
      </c>
      <c r="H192" s="1" t="s">
        <v>133</v>
      </c>
      <c r="I192" s="1">
        <v>2</v>
      </c>
      <c r="J192" s="1">
        <v>1</v>
      </c>
      <c r="K192" s="1" t="s">
        <v>68</v>
      </c>
      <c r="L192" s="1" t="s">
        <v>19</v>
      </c>
    </row>
    <row r="193" spans="1:12" hidden="1" x14ac:dyDescent="0.2">
      <c r="A193" s="1">
        <v>1966</v>
      </c>
      <c r="B193" s="2" t="d">
        <v>1966-07-20</v>
      </c>
      <c r="C193" s="1" t="s">
        <v>185</v>
      </c>
      <c r="D193" s="1" t="s">
        <v>20</v>
      </c>
      <c r="E193" s="1" t="s">
        <v>200</v>
      </c>
      <c r="F193" s="1" t="s">
        <v>201</v>
      </c>
      <c r="G193" s="1" t="s">
        <v>110</v>
      </c>
      <c r="H193" s="1" t="s">
        <v>151</v>
      </c>
      <c r="I193" s="1">
        <v>2</v>
      </c>
      <c r="J193" s="1">
        <v>1</v>
      </c>
      <c r="K193" s="1" t="s">
        <v>35</v>
      </c>
      <c r="L193" s="1" t="s">
        <v>19</v>
      </c>
    </row>
    <row r="194" spans="1:12" hidden="1" x14ac:dyDescent="0.2">
      <c r="A194" s="1">
        <v>1966</v>
      </c>
      <c r="B194" s="2" t="d">
        <v>1966-07-23</v>
      </c>
      <c r="C194" s="1" t="s">
        <v>12</v>
      </c>
      <c r="D194" s="12" t="s">
        <v>74</v>
      </c>
      <c r="E194" s="1" t="s">
        <v>186</v>
      </c>
      <c r="F194" s="1" t="s">
        <v>187</v>
      </c>
      <c r="G194" s="1" t="s">
        <v>110</v>
      </c>
      <c r="H194" s="1" t="s">
        <v>110</v>
      </c>
      <c r="I194" s="1">
        <v>1</v>
      </c>
      <c r="J194" s="1">
        <v>0</v>
      </c>
      <c r="K194" s="1" t="s">
        <v>33</v>
      </c>
      <c r="L194" s="1" t="s">
        <v>19</v>
      </c>
    </row>
    <row r="195" spans="1:12" hidden="1" x14ac:dyDescent="0.2">
      <c r="A195" s="1">
        <v>1966</v>
      </c>
      <c r="B195" s="2" t="d">
        <v>1966-07-23</v>
      </c>
      <c r="C195" s="1" t="s">
        <v>12</v>
      </c>
      <c r="D195" s="12" t="s">
        <v>74</v>
      </c>
      <c r="E195" s="1" t="s">
        <v>188</v>
      </c>
      <c r="F195" s="1" t="s">
        <v>189</v>
      </c>
      <c r="G195" s="1" t="s">
        <v>110</v>
      </c>
      <c r="H195" s="1" t="s">
        <v>133</v>
      </c>
      <c r="I195" s="1">
        <v>4</v>
      </c>
      <c r="J195" s="1">
        <v>0</v>
      </c>
      <c r="K195" s="1" t="s">
        <v>16</v>
      </c>
      <c r="L195" s="1" t="s">
        <v>19</v>
      </c>
    </row>
    <row r="196" spans="1:12" hidden="1" x14ac:dyDescent="0.2">
      <c r="A196" s="1">
        <v>1966</v>
      </c>
      <c r="B196" s="2" t="d">
        <v>1966-07-23</v>
      </c>
      <c r="C196" s="1" t="s">
        <v>12</v>
      </c>
      <c r="D196" s="12" t="s">
        <v>74</v>
      </c>
      <c r="E196" s="1" t="s">
        <v>200</v>
      </c>
      <c r="F196" s="1" t="s">
        <v>201</v>
      </c>
      <c r="G196" s="1" t="s">
        <v>110</v>
      </c>
      <c r="H196" s="1" t="s">
        <v>151</v>
      </c>
      <c r="I196" s="1">
        <v>2</v>
      </c>
      <c r="J196" s="1">
        <v>1</v>
      </c>
      <c r="K196" s="1" t="s">
        <v>54</v>
      </c>
      <c r="L196" s="1" t="s">
        <v>19</v>
      </c>
    </row>
    <row r="197" spans="1:12" hidden="1" x14ac:dyDescent="0.2">
      <c r="A197" s="1">
        <v>1966</v>
      </c>
      <c r="B197" s="2" t="d">
        <v>1966-07-23</v>
      </c>
      <c r="C197" s="1" t="s">
        <v>12</v>
      </c>
      <c r="D197" s="12" t="s">
        <v>74</v>
      </c>
      <c r="E197" s="1" t="s">
        <v>190</v>
      </c>
      <c r="F197" s="1" t="s">
        <v>191</v>
      </c>
      <c r="G197" s="1" t="s">
        <v>110</v>
      </c>
      <c r="H197" s="1" t="s">
        <v>197</v>
      </c>
      <c r="I197" s="1">
        <v>5</v>
      </c>
      <c r="J197" s="1">
        <v>3</v>
      </c>
      <c r="K197" s="1" t="s">
        <v>194</v>
      </c>
      <c r="L197" s="1" t="s">
        <v>19</v>
      </c>
    </row>
    <row r="198" spans="1:12" hidden="1" x14ac:dyDescent="0.2">
      <c r="A198" s="1">
        <v>1966</v>
      </c>
      <c r="B198" s="2" t="d">
        <v>1966-07-25</v>
      </c>
      <c r="C198" s="1" t="s">
        <v>185</v>
      </c>
      <c r="D198" s="12" t="s">
        <v>42</v>
      </c>
      <c r="E198" s="1" t="s">
        <v>190</v>
      </c>
      <c r="F198" s="1" t="s">
        <v>191</v>
      </c>
      <c r="G198" s="1" t="s">
        <v>110</v>
      </c>
      <c r="H198" s="1" t="s">
        <v>133</v>
      </c>
      <c r="I198" s="1">
        <v>2</v>
      </c>
      <c r="J198" s="1">
        <v>1</v>
      </c>
      <c r="K198" s="1" t="s">
        <v>151</v>
      </c>
      <c r="L198" s="1" t="s">
        <v>19</v>
      </c>
    </row>
    <row r="199" spans="1:12" hidden="1" x14ac:dyDescent="0.2">
      <c r="A199" s="1">
        <v>1966</v>
      </c>
      <c r="B199" s="2" t="d">
        <v>1966-07-26</v>
      </c>
      <c r="C199" s="1" t="s">
        <v>185</v>
      </c>
      <c r="D199" s="12" t="s">
        <v>42</v>
      </c>
      <c r="E199" s="1" t="s">
        <v>186</v>
      </c>
      <c r="F199" s="1" t="s">
        <v>187</v>
      </c>
      <c r="G199" s="1" t="s">
        <v>110</v>
      </c>
      <c r="H199" s="1" t="s">
        <v>110</v>
      </c>
      <c r="I199" s="1">
        <v>2</v>
      </c>
      <c r="J199" s="1">
        <v>1</v>
      </c>
      <c r="K199" s="1" t="s">
        <v>197</v>
      </c>
      <c r="L199" s="1" t="s">
        <v>19</v>
      </c>
    </row>
    <row r="200" spans="1:12" hidden="1" x14ac:dyDescent="0.2">
      <c r="A200" s="1">
        <v>1966</v>
      </c>
      <c r="B200" s="2" t="d">
        <v>1966-07-28</v>
      </c>
      <c r="C200" s="1" t="s">
        <v>185</v>
      </c>
      <c r="D200" s="12" t="s">
        <v>76</v>
      </c>
      <c r="E200" s="1" t="s">
        <v>186</v>
      </c>
      <c r="F200" s="1" t="s">
        <v>187</v>
      </c>
      <c r="G200" s="1" t="s">
        <v>110</v>
      </c>
      <c r="H200" s="1" t="s">
        <v>197</v>
      </c>
      <c r="I200" s="1">
        <v>2</v>
      </c>
      <c r="J200" s="1">
        <v>1</v>
      </c>
      <c r="K200" s="1" t="s">
        <v>151</v>
      </c>
      <c r="L200" s="1" t="s">
        <v>19</v>
      </c>
    </row>
    <row r="201" spans="1:12" hidden="1" x14ac:dyDescent="0.2">
      <c r="A201" s="1">
        <v>1966</v>
      </c>
      <c r="B201" s="2" t="d">
        <v>1966-07-30</v>
      </c>
      <c r="C201" s="1" t="s">
        <v>12</v>
      </c>
      <c r="D201" s="12" t="s">
        <v>44</v>
      </c>
      <c r="E201" s="1" t="s">
        <v>186</v>
      </c>
      <c r="F201" s="1" t="s">
        <v>187</v>
      </c>
      <c r="G201" s="1" t="s">
        <v>110</v>
      </c>
      <c r="H201" s="1" t="s">
        <v>110</v>
      </c>
      <c r="I201" s="1">
        <v>4</v>
      </c>
      <c r="J201" s="1">
        <v>2</v>
      </c>
      <c r="K201" s="1" t="s">
        <v>133</v>
      </c>
      <c r="L201" s="1" t="s">
        <v>203</v>
      </c>
    </row>
    <row r="202" spans="1:12" hidden="1" x14ac:dyDescent="0.2">
      <c r="A202" s="1">
        <v>1970</v>
      </c>
      <c r="B202" s="2" t="d">
        <v>1970-05-31</v>
      </c>
      <c r="C202" s="1" t="s">
        <v>204</v>
      </c>
      <c r="D202" s="1" t="s">
        <v>13</v>
      </c>
      <c r="E202" s="1" t="s">
        <v>205</v>
      </c>
      <c r="F202" s="1" t="s">
        <v>206</v>
      </c>
      <c r="G202" s="1" t="s">
        <v>18</v>
      </c>
      <c r="H202" s="1" t="s">
        <v>18</v>
      </c>
      <c r="I202" s="1">
        <v>0</v>
      </c>
      <c r="J202" s="1">
        <v>0</v>
      </c>
      <c r="K202" s="1" t="s">
        <v>151</v>
      </c>
      <c r="L202" s="1" t="s">
        <v>19</v>
      </c>
    </row>
    <row r="203" spans="1:12" hidden="1" x14ac:dyDescent="0.2">
      <c r="A203" s="1">
        <v>1970</v>
      </c>
      <c r="B203" s="2" t="d">
        <v>1970-06-02</v>
      </c>
      <c r="C203" s="1" t="s">
        <v>32</v>
      </c>
      <c r="D203" s="1" t="s">
        <v>25</v>
      </c>
      <c r="E203" s="1" t="s">
        <v>207</v>
      </c>
      <c r="F203" s="1" t="s">
        <v>208</v>
      </c>
      <c r="G203" s="1" t="s">
        <v>18</v>
      </c>
      <c r="H203" s="1" t="s">
        <v>16</v>
      </c>
      <c r="I203" s="1">
        <v>2</v>
      </c>
      <c r="J203" s="1">
        <v>0</v>
      </c>
      <c r="K203" s="1" t="s">
        <v>209</v>
      </c>
      <c r="L203" s="1" t="s">
        <v>19</v>
      </c>
    </row>
    <row r="204" spans="1:12" hidden="1" x14ac:dyDescent="0.2">
      <c r="A204" s="1">
        <v>1970</v>
      </c>
      <c r="B204" s="2" t="d">
        <v>1970-06-02</v>
      </c>
      <c r="C204" s="1" t="s">
        <v>32</v>
      </c>
      <c r="D204" s="1" t="s">
        <v>20</v>
      </c>
      <c r="E204" s="1" t="s">
        <v>210</v>
      </c>
      <c r="F204" s="1" t="s">
        <v>211</v>
      </c>
      <c r="G204" s="1" t="s">
        <v>18</v>
      </c>
      <c r="H204" s="1" t="s">
        <v>31</v>
      </c>
      <c r="I204" s="1">
        <v>3</v>
      </c>
      <c r="J204" s="1">
        <v>2</v>
      </c>
      <c r="K204" s="1" t="s">
        <v>182</v>
      </c>
      <c r="L204" s="1" t="s">
        <v>19</v>
      </c>
    </row>
    <row r="205" spans="1:12" hidden="1" x14ac:dyDescent="0.2">
      <c r="A205" s="1">
        <v>1970</v>
      </c>
      <c r="B205" s="2" t="d">
        <v>1970-06-02</v>
      </c>
      <c r="C205" s="1" t="s">
        <v>32</v>
      </c>
      <c r="D205" s="1" t="s">
        <v>29</v>
      </c>
      <c r="E205" s="1" t="s">
        <v>212</v>
      </c>
      <c r="F205" s="1" t="s">
        <v>213</v>
      </c>
      <c r="G205" s="1" t="s">
        <v>18</v>
      </c>
      <c r="H205" s="1" t="s">
        <v>110</v>
      </c>
      <c r="I205" s="1">
        <v>1</v>
      </c>
      <c r="J205" s="1">
        <v>0</v>
      </c>
      <c r="K205" s="1" t="s">
        <v>30</v>
      </c>
      <c r="L205" s="1" t="s">
        <v>19</v>
      </c>
    </row>
    <row r="206" spans="1:12" hidden="1" x14ac:dyDescent="0.2">
      <c r="A206" s="1">
        <v>1970</v>
      </c>
      <c r="B206" s="2" t="d">
        <v>1970-06-03</v>
      </c>
      <c r="C206" s="1" t="s">
        <v>32</v>
      </c>
      <c r="D206" s="1" t="s">
        <v>25</v>
      </c>
      <c r="E206" s="1" t="s">
        <v>214</v>
      </c>
      <c r="F206" s="1" t="s">
        <v>215</v>
      </c>
      <c r="G206" s="1" t="s">
        <v>18</v>
      </c>
      <c r="H206" s="1" t="s">
        <v>49</v>
      </c>
      <c r="I206" s="1">
        <v>1</v>
      </c>
      <c r="J206" s="1">
        <v>0</v>
      </c>
      <c r="K206" s="1" t="s">
        <v>62</v>
      </c>
      <c r="L206" s="1" t="s">
        <v>19</v>
      </c>
    </row>
    <row r="207" spans="1:12" hidden="1" x14ac:dyDescent="0.2">
      <c r="A207" s="1">
        <v>1970</v>
      </c>
      <c r="B207" s="2" t="d">
        <v>1970-06-03</v>
      </c>
      <c r="C207" s="1" t="s">
        <v>32</v>
      </c>
      <c r="D207" s="1" t="s">
        <v>20</v>
      </c>
      <c r="E207" s="1" t="s">
        <v>210</v>
      </c>
      <c r="F207" s="1" t="s">
        <v>211</v>
      </c>
      <c r="G207" s="1" t="s">
        <v>18</v>
      </c>
      <c r="H207" s="1" t="s">
        <v>133</v>
      </c>
      <c r="I207" s="1">
        <v>2</v>
      </c>
      <c r="J207" s="1">
        <v>1</v>
      </c>
      <c r="K207" s="1" t="s">
        <v>216</v>
      </c>
      <c r="L207" s="1" t="s">
        <v>19</v>
      </c>
    </row>
    <row r="208" spans="1:12" hidden="1" x14ac:dyDescent="0.2">
      <c r="A208" s="1">
        <v>1970</v>
      </c>
      <c r="B208" s="2" t="d">
        <v>1970-06-03</v>
      </c>
      <c r="C208" s="1" t="s">
        <v>32</v>
      </c>
      <c r="D208" s="1" t="s">
        <v>29</v>
      </c>
      <c r="E208" s="1" t="s">
        <v>212</v>
      </c>
      <c r="F208" s="1" t="s">
        <v>213</v>
      </c>
      <c r="G208" s="1" t="s">
        <v>18</v>
      </c>
      <c r="H208" s="1" t="s">
        <v>27</v>
      </c>
      <c r="I208" s="1">
        <v>4</v>
      </c>
      <c r="J208" s="1">
        <v>1</v>
      </c>
      <c r="K208" s="1" t="s">
        <v>73</v>
      </c>
      <c r="L208" s="1" t="s">
        <v>19</v>
      </c>
    </row>
    <row r="209" spans="1:12" hidden="1" x14ac:dyDescent="0.2">
      <c r="A209" s="1">
        <v>1970</v>
      </c>
      <c r="B209" s="2" t="d">
        <v>1970-06-03</v>
      </c>
      <c r="C209" s="1" t="s">
        <v>32</v>
      </c>
      <c r="D209" s="1" t="s">
        <v>13</v>
      </c>
      <c r="E209" s="1" t="s">
        <v>205</v>
      </c>
      <c r="F209" s="1" t="s">
        <v>206</v>
      </c>
      <c r="G209" s="1" t="s">
        <v>18</v>
      </c>
      <c r="H209" s="1" t="s">
        <v>23</v>
      </c>
      <c r="I209" s="1">
        <v>3</v>
      </c>
      <c r="J209" s="1">
        <v>0</v>
      </c>
      <c r="K209" s="1" t="s">
        <v>217</v>
      </c>
      <c r="L209" s="1" t="s">
        <v>19</v>
      </c>
    </row>
    <row r="210" spans="1:12" hidden="1" x14ac:dyDescent="0.2">
      <c r="A210" s="1">
        <v>1970</v>
      </c>
      <c r="B210" s="2" t="d">
        <v>1970-06-06</v>
      </c>
      <c r="C210" s="1" t="s">
        <v>32</v>
      </c>
      <c r="D210" s="1" t="s">
        <v>25</v>
      </c>
      <c r="E210" s="1" t="s">
        <v>207</v>
      </c>
      <c r="F210" s="1" t="s">
        <v>208</v>
      </c>
      <c r="G210" s="1" t="s">
        <v>18</v>
      </c>
      <c r="H210" s="1" t="s">
        <v>16</v>
      </c>
      <c r="I210" s="1">
        <v>0</v>
      </c>
      <c r="J210" s="1">
        <v>0</v>
      </c>
      <c r="K210" s="1" t="s">
        <v>49</v>
      </c>
      <c r="L210" s="1" t="s">
        <v>19</v>
      </c>
    </row>
    <row r="211" spans="1:12" hidden="1" x14ac:dyDescent="0.2">
      <c r="A211" s="1">
        <v>1970</v>
      </c>
      <c r="B211" s="2" t="d">
        <v>1970-06-06</v>
      </c>
      <c r="C211" s="1" t="s">
        <v>32</v>
      </c>
      <c r="D211" s="1" t="s">
        <v>20</v>
      </c>
      <c r="E211" s="1" t="s">
        <v>210</v>
      </c>
      <c r="F211" s="1" t="s">
        <v>211</v>
      </c>
      <c r="G211" s="1" t="s">
        <v>18</v>
      </c>
      <c r="H211" s="1" t="s">
        <v>31</v>
      </c>
      <c r="I211" s="1">
        <v>3</v>
      </c>
      <c r="J211" s="1">
        <v>0</v>
      </c>
      <c r="K211" s="1" t="s">
        <v>216</v>
      </c>
      <c r="L211" s="1" t="s">
        <v>19</v>
      </c>
    </row>
    <row r="212" spans="1:12" hidden="1" x14ac:dyDescent="0.2">
      <c r="A212" s="1">
        <v>1970</v>
      </c>
      <c r="B212" s="2" t="d">
        <v>1970-06-06</v>
      </c>
      <c r="C212" s="1" t="s">
        <v>32</v>
      </c>
      <c r="D212" s="1" t="s">
        <v>29</v>
      </c>
      <c r="E212" s="1" t="s">
        <v>212</v>
      </c>
      <c r="F212" s="1" t="s">
        <v>213</v>
      </c>
      <c r="G212" s="1" t="s">
        <v>18</v>
      </c>
      <c r="H212" s="1" t="s">
        <v>30</v>
      </c>
      <c r="I212" s="1">
        <v>2</v>
      </c>
      <c r="J212" s="1">
        <v>1</v>
      </c>
      <c r="K212" s="1" t="s">
        <v>73</v>
      </c>
      <c r="L212" s="1" t="s">
        <v>19</v>
      </c>
    </row>
    <row r="213" spans="1:12" hidden="1" x14ac:dyDescent="0.2">
      <c r="A213" s="1">
        <v>1970</v>
      </c>
      <c r="B213" s="2" t="d">
        <v>1970-06-06</v>
      </c>
      <c r="C213" s="1" t="s">
        <v>32</v>
      </c>
      <c r="D213" s="1" t="s">
        <v>13</v>
      </c>
      <c r="E213" s="1" t="s">
        <v>205</v>
      </c>
      <c r="F213" s="1" t="s">
        <v>206</v>
      </c>
      <c r="G213" s="1" t="s">
        <v>18</v>
      </c>
      <c r="H213" s="1" t="s">
        <v>151</v>
      </c>
      <c r="I213" s="1">
        <v>4</v>
      </c>
      <c r="J213" s="1">
        <v>1</v>
      </c>
      <c r="K213" s="1" t="s">
        <v>23</v>
      </c>
      <c r="L213" s="1" t="s">
        <v>19</v>
      </c>
    </row>
    <row r="214" spans="1:12" hidden="1" x14ac:dyDescent="0.2">
      <c r="A214" s="1">
        <v>1970</v>
      </c>
      <c r="B214" s="2" t="d">
        <v>1970-06-07</v>
      </c>
      <c r="C214" s="1" t="s">
        <v>204</v>
      </c>
      <c r="D214" s="1" t="s">
        <v>25</v>
      </c>
      <c r="E214" s="1" t="s">
        <v>214</v>
      </c>
      <c r="F214" s="1" t="s">
        <v>215</v>
      </c>
      <c r="G214" s="1" t="s">
        <v>18</v>
      </c>
      <c r="H214" s="1" t="s">
        <v>62</v>
      </c>
      <c r="I214" s="1">
        <v>1</v>
      </c>
      <c r="J214" s="1">
        <v>1</v>
      </c>
      <c r="K214" s="1" t="s">
        <v>209</v>
      </c>
      <c r="L214" s="1" t="s">
        <v>19</v>
      </c>
    </row>
    <row r="215" spans="1:12" hidden="1" x14ac:dyDescent="0.2">
      <c r="A215" s="1">
        <v>1970</v>
      </c>
      <c r="B215" s="2" t="d">
        <v>1970-06-07</v>
      </c>
      <c r="C215" s="1" t="s">
        <v>204</v>
      </c>
      <c r="D215" s="1" t="s">
        <v>20</v>
      </c>
      <c r="E215" s="1" t="s">
        <v>210</v>
      </c>
      <c r="F215" s="1" t="s">
        <v>211</v>
      </c>
      <c r="G215" s="1" t="s">
        <v>18</v>
      </c>
      <c r="H215" s="1" t="s">
        <v>133</v>
      </c>
      <c r="I215" s="1">
        <v>5</v>
      </c>
      <c r="J215" s="1">
        <v>2</v>
      </c>
      <c r="K215" s="1" t="s">
        <v>182</v>
      </c>
      <c r="L215" s="1" t="s">
        <v>19</v>
      </c>
    </row>
    <row r="216" spans="1:12" hidden="1" x14ac:dyDescent="0.2">
      <c r="A216" s="1">
        <v>1970</v>
      </c>
      <c r="B216" s="2" t="d">
        <v>1970-06-07</v>
      </c>
      <c r="C216" s="1" t="s">
        <v>204</v>
      </c>
      <c r="D216" s="1" t="s">
        <v>29</v>
      </c>
      <c r="E216" s="1" t="s">
        <v>212</v>
      </c>
      <c r="F216" s="1" t="s">
        <v>213</v>
      </c>
      <c r="G216" s="1" t="s">
        <v>18</v>
      </c>
      <c r="H216" s="1" t="s">
        <v>27</v>
      </c>
      <c r="I216" s="1">
        <v>1</v>
      </c>
      <c r="J216" s="1">
        <v>0</v>
      </c>
      <c r="K216" s="1" t="s">
        <v>110</v>
      </c>
      <c r="L216" s="1" t="s">
        <v>19</v>
      </c>
    </row>
    <row r="217" spans="1:12" hidden="1" x14ac:dyDescent="0.2">
      <c r="A217" s="1">
        <v>1970</v>
      </c>
      <c r="B217" s="2" t="d">
        <v>1970-06-07</v>
      </c>
      <c r="C217" s="1" t="s">
        <v>204</v>
      </c>
      <c r="D217" s="1" t="s">
        <v>13</v>
      </c>
      <c r="E217" s="1" t="s">
        <v>205</v>
      </c>
      <c r="F217" s="1" t="s">
        <v>206</v>
      </c>
      <c r="G217" s="1" t="s">
        <v>18</v>
      </c>
      <c r="H217" s="1" t="s">
        <v>18</v>
      </c>
      <c r="I217" s="1">
        <v>4</v>
      </c>
      <c r="J217" s="1">
        <v>0</v>
      </c>
      <c r="K217" s="1" t="s">
        <v>217</v>
      </c>
      <c r="L217" s="1" t="s">
        <v>19</v>
      </c>
    </row>
    <row r="218" spans="1:12" hidden="1" x14ac:dyDescent="0.2">
      <c r="A218" s="1">
        <v>1970</v>
      </c>
      <c r="B218" s="2" t="d">
        <v>1970-06-10</v>
      </c>
      <c r="C218" s="1" t="s">
        <v>32</v>
      </c>
      <c r="D218" s="1" t="s">
        <v>25</v>
      </c>
      <c r="E218" s="1" t="s">
        <v>207</v>
      </c>
      <c r="F218" s="1" t="s">
        <v>208</v>
      </c>
      <c r="G218" s="1" t="s">
        <v>18</v>
      </c>
      <c r="H218" s="1" t="s">
        <v>62</v>
      </c>
      <c r="I218" s="1">
        <v>1</v>
      </c>
      <c r="J218" s="1">
        <v>0</v>
      </c>
      <c r="K218" s="1" t="s">
        <v>16</v>
      </c>
      <c r="L218" s="1" t="s">
        <v>19</v>
      </c>
    </row>
    <row r="219" spans="1:12" hidden="1" x14ac:dyDescent="0.2">
      <c r="A219" s="1">
        <v>1970</v>
      </c>
      <c r="B219" s="2" t="d">
        <v>1970-06-10</v>
      </c>
      <c r="C219" s="1" t="s">
        <v>32</v>
      </c>
      <c r="D219" s="1" t="s">
        <v>20</v>
      </c>
      <c r="E219" s="1" t="s">
        <v>210</v>
      </c>
      <c r="F219" s="1" t="s">
        <v>211</v>
      </c>
      <c r="G219" s="1" t="s">
        <v>18</v>
      </c>
      <c r="H219" s="1" t="s">
        <v>133</v>
      </c>
      <c r="I219" s="1">
        <v>3</v>
      </c>
      <c r="J219" s="1">
        <v>1</v>
      </c>
      <c r="K219" s="1" t="s">
        <v>31</v>
      </c>
      <c r="L219" s="1" t="s">
        <v>19</v>
      </c>
    </row>
    <row r="220" spans="1:12" hidden="1" x14ac:dyDescent="0.2">
      <c r="A220" s="1">
        <v>1970</v>
      </c>
      <c r="B220" s="2" t="d">
        <v>1970-06-10</v>
      </c>
      <c r="C220" s="1" t="s">
        <v>32</v>
      </c>
      <c r="D220" s="1" t="s">
        <v>29</v>
      </c>
      <c r="E220" s="1" t="s">
        <v>212</v>
      </c>
      <c r="F220" s="1" t="s">
        <v>213</v>
      </c>
      <c r="G220" s="1" t="s">
        <v>18</v>
      </c>
      <c r="H220" s="1" t="s">
        <v>27</v>
      </c>
      <c r="I220" s="1">
        <v>3</v>
      </c>
      <c r="J220" s="1">
        <v>2</v>
      </c>
      <c r="K220" s="1" t="s">
        <v>30</v>
      </c>
      <c r="L220" s="1" t="s">
        <v>19</v>
      </c>
    </row>
    <row r="221" spans="1:12" hidden="1" x14ac:dyDescent="0.2">
      <c r="A221" s="1">
        <v>1970</v>
      </c>
      <c r="B221" s="2" t="d">
        <v>1970-06-10</v>
      </c>
      <c r="C221" s="1" t="s">
        <v>32</v>
      </c>
      <c r="D221" s="1" t="s">
        <v>13</v>
      </c>
      <c r="E221" s="1" t="s">
        <v>205</v>
      </c>
      <c r="F221" s="1" t="s">
        <v>206</v>
      </c>
      <c r="G221" s="1" t="s">
        <v>18</v>
      </c>
      <c r="H221" s="1" t="s">
        <v>151</v>
      </c>
      <c r="I221" s="1">
        <v>2</v>
      </c>
      <c r="J221" s="1">
        <v>0</v>
      </c>
      <c r="K221" s="1" t="s">
        <v>217</v>
      </c>
      <c r="L221" s="1" t="s">
        <v>19</v>
      </c>
    </row>
    <row r="222" spans="1:12" hidden="1" x14ac:dyDescent="0.2">
      <c r="A222" s="1">
        <v>1970</v>
      </c>
      <c r="B222" s="2" t="d">
        <v>1970-06-11</v>
      </c>
      <c r="C222" s="1" t="s">
        <v>32</v>
      </c>
      <c r="D222" s="1" t="s">
        <v>25</v>
      </c>
      <c r="E222" s="1" t="s">
        <v>214</v>
      </c>
      <c r="F222" s="1" t="s">
        <v>215</v>
      </c>
      <c r="G222" s="1" t="s">
        <v>18</v>
      </c>
      <c r="H222" s="1" t="s">
        <v>49</v>
      </c>
      <c r="I222" s="1">
        <v>0</v>
      </c>
      <c r="J222" s="1">
        <v>0</v>
      </c>
      <c r="K222" s="1" t="s">
        <v>209</v>
      </c>
      <c r="L222" s="1" t="s">
        <v>19</v>
      </c>
    </row>
    <row r="223" spans="1:12" hidden="1" x14ac:dyDescent="0.2">
      <c r="A223" s="1">
        <v>1970</v>
      </c>
      <c r="B223" s="2" t="d">
        <v>1970-06-11</v>
      </c>
      <c r="C223" s="1" t="s">
        <v>32</v>
      </c>
      <c r="D223" s="1" t="s">
        <v>20</v>
      </c>
      <c r="E223" s="1" t="s">
        <v>210</v>
      </c>
      <c r="F223" s="1" t="s">
        <v>211</v>
      </c>
      <c r="G223" s="1" t="s">
        <v>18</v>
      </c>
      <c r="H223" s="1" t="s">
        <v>182</v>
      </c>
      <c r="I223" s="1">
        <v>1</v>
      </c>
      <c r="J223" s="1">
        <v>1</v>
      </c>
      <c r="K223" s="1" t="s">
        <v>216</v>
      </c>
      <c r="L223" s="1" t="s">
        <v>19</v>
      </c>
    </row>
    <row r="224" spans="1:12" hidden="1" x14ac:dyDescent="0.2">
      <c r="A224" s="1">
        <v>1970</v>
      </c>
      <c r="B224" s="2" t="d">
        <v>1970-06-11</v>
      </c>
      <c r="C224" s="1" t="s">
        <v>32</v>
      </c>
      <c r="D224" s="1" t="s">
        <v>29</v>
      </c>
      <c r="E224" s="1" t="s">
        <v>212</v>
      </c>
      <c r="F224" s="1" t="s">
        <v>213</v>
      </c>
      <c r="G224" s="1" t="s">
        <v>18</v>
      </c>
      <c r="H224" s="1" t="s">
        <v>110</v>
      </c>
      <c r="I224" s="1">
        <v>1</v>
      </c>
      <c r="J224" s="1">
        <v>0</v>
      </c>
      <c r="K224" s="1" t="s">
        <v>73</v>
      </c>
      <c r="L224" s="1" t="s">
        <v>19</v>
      </c>
    </row>
    <row r="225" spans="1:12" hidden="1" x14ac:dyDescent="0.2">
      <c r="A225" s="1">
        <v>1970</v>
      </c>
      <c r="B225" s="2" t="d">
        <v>1970-06-11</v>
      </c>
      <c r="C225" s="1" t="s">
        <v>32</v>
      </c>
      <c r="D225" s="1" t="s">
        <v>13</v>
      </c>
      <c r="E225" s="1" t="s">
        <v>205</v>
      </c>
      <c r="F225" s="1" t="s">
        <v>206</v>
      </c>
      <c r="G225" s="1" t="s">
        <v>18</v>
      </c>
      <c r="H225" s="1" t="s">
        <v>18</v>
      </c>
      <c r="I225" s="1">
        <v>1</v>
      </c>
      <c r="J225" s="1">
        <v>0</v>
      </c>
      <c r="K225" s="1" t="s">
        <v>23</v>
      </c>
      <c r="L225" s="1" t="s">
        <v>19</v>
      </c>
    </row>
    <row r="226" spans="1:12" hidden="1" x14ac:dyDescent="0.2">
      <c r="A226" s="1">
        <v>1970</v>
      </c>
      <c r="B226" s="2" t="d">
        <v>1970-06-14</v>
      </c>
      <c r="C226" s="1" t="s">
        <v>204</v>
      </c>
      <c r="D226" s="12" t="s">
        <v>74</v>
      </c>
      <c r="E226" s="1" t="s">
        <v>214</v>
      </c>
      <c r="F226" s="1" t="s">
        <v>215</v>
      </c>
      <c r="G226" s="1" t="s">
        <v>18</v>
      </c>
      <c r="H226" s="1" t="s">
        <v>49</v>
      </c>
      <c r="I226" s="1">
        <v>4</v>
      </c>
      <c r="J226" s="1">
        <v>1</v>
      </c>
      <c r="K226" s="1" t="s">
        <v>18</v>
      </c>
      <c r="L226" s="1" t="s">
        <v>19</v>
      </c>
    </row>
    <row r="227" spans="1:12" hidden="1" x14ac:dyDescent="0.2">
      <c r="A227" s="1">
        <v>1970</v>
      </c>
      <c r="B227" s="2" t="d">
        <v>1970-06-14</v>
      </c>
      <c r="C227" s="1" t="s">
        <v>204</v>
      </c>
      <c r="D227" s="12" t="s">
        <v>74</v>
      </c>
      <c r="E227" s="1" t="s">
        <v>210</v>
      </c>
      <c r="F227" s="1" t="s">
        <v>211</v>
      </c>
      <c r="G227" s="1" t="s">
        <v>18</v>
      </c>
      <c r="H227" s="1" t="s">
        <v>133</v>
      </c>
      <c r="I227" s="1">
        <v>3</v>
      </c>
      <c r="J227" s="1">
        <v>2</v>
      </c>
      <c r="K227" s="1" t="s">
        <v>110</v>
      </c>
      <c r="L227" s="1" t="s">
        <v>218</v>
      </c>
    </row>
    <row r="228" spans="1:12" hidden="1" x14ac:dyDescent="0.2">
      <c r="A228" s="1">
        <v>1970</v>
      </c>
      <c r="B228" s="2" t="d">
        <v>1970-06-14</v>
      </c>
      <c r="C228" s="1" t="s">
        <v>204</v>
      </c>
      <c r="D228" s="12" t="s">
        <v>74</v>
      </c>
      <c r="E228" s="1" t="s">
        <v>212</v>
      </c>
      <c r="F228" s="1" t="s">
        <v>213</v>
      </c>
      <c r="G228" s="1" t="s">
        <v>18</v>
      </c>
      <c r="H228" s="1" t="s">
        <v>27</v>
      </c>
      <c r="I228" s="1">
        <v>4</v>
      </c>
      <c r="J228" s="1">
        <v>2</v>
      </c>
      <c r="K228" s="1" t="s">
        <v>31</v>
      </c>
      <c r="L228" s="1" t="s">
        <v>19</v>
      </c>
    </row>
    <row r="229" spans="1:12" hidden="1" x14ac:dyDescent="0.2">
      <c r="A229" s="1">
        <v>1970</v>
      </c>
      <c r="B229" s="2" t="d">
        <v>1970-06-14</v>
      </c>
      <c r="C229" s="1" t="s">
        <v>204</v>
      </c>
      <c r="D229" s="12" t="s">
        <v>74</v>
      </c>
      <c r="E229" s="1" t="s">
        <v>205</v>
      </c>
      <c r="F229" s="1" t="s">
        <v>206</v>
      </c>
      <c r="G229" s="1" t="s">
        <v>18</v>
      </c>
      <c r="H229" s="1" t="s">
        <v>16</v>
      </c>
      <c r="I229" s="1">
        <v>1</v>
      </c>
      <c r="J229" s="1">
        <v>0</v>
      </c>
      <c r="K229" s="1" t="s">
        <v>151</v>
      </c>
      <c r="L229" s="1" t="s">
        <v>219</v>
      </c>
    </row>
    <row r="230" spans="1:12" hidden="1" x14ac:dyDescent="0.2">
      <c r="A230" s="1">
        <v>1970</v>
      </c>
      <c r="B230" s="2" t="d">
        <v>1970-06-17</v>
      </c>
      <c r="C230" s="1" t="s">
        <v>32</v>
      </c>
      <c r="D230" s="12" t="s">
        <v>42</v>
      </c>
      <c r="E230" s="1" t="s">
        <v>212</v>
      </c>
      <c r="F230" s="1" t="s">
        <v>213</v>
      </c>
      <c r="G230" s="1" t="s">
        <v>18</v>
      </c>
      <c r="H230" s="1" t="s">
        <v>27</v>
      </c>
      <c r="I230" s="1">
        <v>3</v>
      </c>
      <c r="J230" s="1">
        <v>1</v>
      </c>
      <c r="K230" s="1" t="s">
        <v>16</v>
      </c>
      <c r="L230" s="1" t="s">
        <v>19</v>
      </c>
    </row>
    <row r="231" spans="1:12" hidden="1" x14ac:dyDescent="0.2">
      <c r="A231" s="1">
        <v>1970</v>
      </c>
      <c r="B231" s="2" t="d">
        <v>1970-06-17</v>
      </c>
      <c r="C231" s="1" t="s">
        <v>32</v>
      </c>
      <c r="D231" s="12" t="s">
        <v>42</v>
      </c>
      <c r="E231" s="1" t="s">
        <v>205</v>
      </c>
      <c r="F231" s="1" t="s">
        <v>206</v>
      </c>
      <c r="G231" s="1" t="s">
        <v>18</v>
      </c>
      <c r="H231" s="1" t="s">
        <v>49</v>
      </c>
      <c r="I231" s="1">
        <v>4</v>
      </c>
      <c r="J231" s="1">
        <v>3</v>
      </c>
      <c r="K231" s="1" t="s">
        <v>133</v>
      </c>
      <c r="L231" s="1" t="s">
        <v>78</v>
      </c>
    </row>
    <row r="232" spans="1:12" hidden="1" x14ac:dyDescent="0.2">
      <c r="A232" s="1">
        <v>1970</v>
      </c>
      <c r="B232" s="2" t="d">
        <v>1970-06-20</v>
      </c>
      <c r="C232" s="1" t="s">
        <v>32</v>
      </c>
      <c r="D232" s="12" t="s">
        <v>76</v>
      </c>
      <c r="E232" s="1" t="s">
        <v>205</v>
      </c>
      <c r="F232" s="1" t="s">
        <v>206</v>
      </c>
      <c r="G232" s="1" t="s">
        <v>18</v>
      </c>
      <c r="H232" s="1" t="s">
        <v>133</v>
      </c>
      <c r="I232" s="1">
        <v>1</v>
      </c>
      <c r="J232" s="1">
        <v>0</v>
      </c>
      <c r="K232" s="1" t="s">
        <v>16</v>
      </c>
      <c r="L232" s="1" t="s">
        <v>19</v>
      </c>
    </row>
    <row r="233" spans="1:12" hidden="1" x14ac:dyDescent="0.2">
      <c r="A233" s="1">
        <v>1970</v>
      </c>
      <c r="B233" s="2" t="d">
        <v>1970-06-21</v>
      </c>
      <c r="C233" s="1" t="s">
        <v>204</v>
      </c>
      <c r="D233" s="12" t="s">
        <v>44</v>
      </c>
      <c r="E233" s="1" t="s">
        <v>205</v>
      </c>
      <c r="F233" s="1" t="s">
        <v>206</v>
      </c>
      <c r="G233" s="1" t="s">
        <v>18</v>
      </c>
      <c r="H233" s="1" t="s">
        <v>27</v>
      </c>
      <c r="I233" s="1">
        <v>4</v>
      </c>
      <c r="J233" s="1">
        <v>1</v>
      </c>
      <c r="K233" s="1" t="s">
        <v>49</v>
      </c>
      <c r="L233" s="1" t="s">
        <v>19</v>
      </c>
    </row>
    <row r="234" spans="1:12" hidden="1" x14ac:dyDescent="0.2">
      <c r="A234" s="1">
        <v>1974</v>
      </c>
      <c r="B234" s="2" t="d">
        <v>1974-06-13</v>
      </c>
      <c r="C234" s="1" t="s">
        <v>79</v>
      </c>
      <c r="D234" s="1" t="s">
        <v>25</v>
      </c>
      <c r="E234" s="1" t="s">
        <v>220</v>
      </c>
      <c r="F234" s="1" t="s">
        <v>221</v>
      </c>
      <c r="G234" s="1" t="s">
        <v>65</v>
      </c>
      <c r="H234" s="1" t="s">
        <v>27</v>
      </c>
      <c r="I234" s="1">
        <v>0</v>
      </c>
      <c r="J234" s="1">
        <v>0</v>
      </c>
      <c r="K234" s="1" t="s">
        <v>26</v>
      </c>
      <c r="L234" s="1" t="s">
        <v>19</v>
      </c>
    </row>
    <row r="235" spans="1:12" hidden="1" x14ac:dyDescent="0.2">
      <c r="A235" s="1">
        <v>1974</v>
      </c>
      <c r="B235" s="2" t="d">
        <v>1974-06-14</v>
      </c>
      <c r="C235" s="1" t="s">
        <v>32</v>
      </c>
      <c r="D235" s="1" t="s">
        <v>13</v>
      </c>
      <c r="E235" s="1" t="s">
        <v>222</v>
      </c>
      <c r="F235" s="1" t="s">
        <v>223</v>
      </c>
      <c r="G235" s="1" t="s">
        <v>65</v>
      </c>
      <c r="H235" s="1" t="s">
        <v>133</v>
      </c>
      <c r="I235" s="1">
        <v>1</v>
      </c>
      <c r="J235" s="1">
        <v>0</v>
      </c>
      <c r="K235" s="1" t="s">
        <v>35</v>
      </c>
      <c r="L235" s="1" t="s">
        <v>19</v>
      </c>
    </row>
    <row r="236" spans="1:12" hidden="1" x14ac:dyDescent="0.2">
      <c r="A236" s="1">
        <v>1974</v>
      </c>
      <c r="B236" s="2" t="d">
        <v>1974-06-14</v>
      </c>
      <c r="C236" s="1" t="s">
        <v>185</v>
      </c>
      <c r="D236" s="1" t="s">
        <v>13</v>
      </c>
      <c r="E236" s="1" t="s">
        <v>224</v>
      </c>
      <c r="F236" s="1" t="s">
        <v>225</v>
      </c>
      <c r="G236" s="1" t="s">
        <v>65</v>
      </c>
      <c r="H236" s="1" t="s">
        <v>226</v>
      </c>
      <c r="I236" s="1">
        <v>2</v>
      </c>
      <c r="J236" s="1">
        <v>0</v>
      </c>
      <c r="K236" s="1" t="s">
        <v>227</v>
      </c>
      <c r="L236" s="1" t="s">
        <v>19</v>
      </c>
    </row>
    <row r="237" spans="1:12" hidden="1" x14ac:dyDescent="0.2">
      <c r="A237" s="1">
        <v>1974</v>
      </c>
      <c r="B237" s="2" t="d">
        <v>1974-06-14</v>
      </c>
      <c r="C237" s="1" t="s">
        <v>185</v>
      </c>
      <c r="D237" s="1" t="s">
        <v>25</v>
      </c>
      <c r="E237" s="1" t="s">
        <v>228</v>
      </c>
      <c r="F237" s="1" t="s">
        <v>229</v>
      </c>
      <c r="G237" s="1" t="s">
        <v>65</v>
      </c>
      <c r="H237" s="1" t="s">
        <v>230</v>
      </c>
      <c r="I237" s="1">
        <v>0</v>
      </c>
      <c r="J237" s="1">
        <v>2</v>
      </c>
      <c r="K237" s="1" t="s">
        <v>128</v>
      </c>
      <c r="L237" s="1" t="s">
        <v>19</v>
      </c>
    </row>
    <row r="238" spans="1:12" hidden="1" x14ac:dyDescent="0.2">
      <c r="A238" s="1">
        <v>1974</v>
      </c>
      <c r="B238" s="2" t="d">
        <v>1974-06-15</v>
      </c>
      <c r="C238" s="1" t="s">
        <v>32</v>
      </c>
      <c r="D238" s="1" t="s">
        <v>29</v>
      </c>
      <c r="E238" s="1" t="s">
        <v>231</v>
      </c>
      <c r="F238" s="1" t="s">
        <v>232</v>
      </c>
      <c r="G238" s="1" t="s">
        <v>65</v>
      </c>
      <c r="H238" s="1" t="s">
        <v>16</v>
      </c>
      <c r="I238" s="1">
        <v>0</v>
      </c>
      <c r="J238" s="1">
        <v>2</v>
      </c>
      <c r="K238" s="1" t="s">
        <v>59</v>
      </c>
      <c r="L238" s="1" t="s">
        <v>19</v>
      </c>
    </row>
    <row r="239" spans="1:12" hidden="1" x14ac:dyDescent="0.2">
      <c r="A239" s="1">
        <v>1974</v>
      </c>
      <c r="B239" s="2" t="d">
        <v>1974-06-15</v>
      </c>
      <c r="C239" s="1" t="s">
        <v>32</v>
      </c>
      <c r="D239" s="1" t="s">
        <v>29</v>
      </c>
      <c r="E239" s="1" t="s">
        <v>233</v>
      </c>
      <c r="F239" s="1" t="s">
        <v>234</v>
      </c>
      <c r="G239" s="1" t="s">
        <v>65</v>
      </c>
      <c r="H239" s="1" t="s">
        <v>62</v>
      </c>
      <c r="I239" s="1">
        <v>0</v>
      </c>
      <c r="J239" s="1">
        <v>0</v>
      </c>
      <c r="K239" s="1" t="s">
        <v>182</v>
      </c>
      <c r="L239" s="1" t="s">
        <v>19</v>
      </c>
    </row>
    <row r="240" spans="1:12" hidden="1" x14ac:dyDescent="0.2">
      <c r="A240" s="1">
        <v>1974</v>
      </c>
      <c r="B240" s="2" t="d">
        <v>1974-06-15</v>
      </c>
      <c r="C240" s="1" t="s">
        <v>75</v>
      </c>
      <c r="D240" s="1" t="s">
        <v>20</v>
      </c>
      <c r="E240" s="1" t="s">
        <v>222</v>
      </c>
      <c r="F240" s="1" t="s">
        <v>235</v>
      </c>
      <c r="G240" s="1" t="s">
        <v>65</v>
      </c>
      <c r="H240" s="1" t="s">
        <v>49</v>
      </c>
      <c r="I240" s="1">
        <v>3</v>
      </c>
      <c r="J240" s="1">
        <v>1</v>
      </c>
      <c r="K240" s="1" t="s">
        <v>236</v>
      </c>
      <c r="L240" s="1" t="s">
        <v>19</v>
      </c>
    </row>
    <row r="241" spans="1:12" hidden="1" x14ac:dyDescent="0.2">
      <c r="A241" s="1">
        <v>1974</v>
      </c>
      <c r="B241" s="2" t="d">
        <v>1974-06-15</v>
      </c>
      <c r="C241" s="1" t="s">
        <v>75</v>
      </c>
      <c r="D241" s="1" t="s">
        <v>20</v>
      </c>
      <c r="E241" s="1" t="s">
        <v>237</v>
      </c>
      <c r="F241" s="1" t="s">
        <v>238</v>
      </c>
      <c r="G241" s="1" t="s">
        <v>65</v>
      </c>
      <c r="H241" s="1" t="s">
        <v>96</v>
      </c>
      <c r="I241" s="1">
        <v>3</v>
      </c>
      <c r="J241" s="1">
        <v>2</v>
      </c>
      <c r="K241" s="1" t="s">
        <v>33</v>
      </c>
      <c r="L241" s="1" t="s">
        <v>19</v>
      </c>
    </row>
    <row r="242" spans="1:12" hidden="1" x14ac:dyDescent="0.2">
      <c r="A242" s="1">
        <v>1974</v>
      </c>
      <c r="B242" s="2" t="d">
        <v>1974-06-18</v>
      </c>
      <c r="C242" s="1" t="s">
        <v>32</v>
      </c>
      <c r="D242" s="1" t="s">
        <v>13</v>
      </c>
      <c r="E242" s="1" t="s">
        <v>224</v>
      </c>
      <c r="F242" s="1" t="s">
        <v>225</v>
      </c>
      <c r="G242" s="1" t="s">
        <v>65</v>
      </c>
      <c r="H242" s="1" t="s">
        <v>227</v>
      </c>
      <c r="I242" s="1">
        <v>0</v>
      </c>
      <c r="J242" s="1">
        <v>3</v>
      </c>
      <c r="K242" s="1" t="s">
        <v>133</v>
      </c>
      <c r="L242" s="1" t="s">
        <v>19</v>
      </c>
    </row>
    <row r="243" spans="1:12" x14ac:dyDescent="0.2">
      <c r="A243" s="1">
        <v>1974</v>
      </c>
      <c r="B243" s="2" t="d">
        <v>1974-06-18</v>
      </c>
      <c r="C243" s="1" t="s">
        <v>185</v>
      </c>
      <c r="D243" s="1" t="s">
        <v>25</v>
      </c>
      <c r="E243" s="1" t="s">
        <v>220</v>
      </c>
      <c r="F243" s="1" t="s">
        <v>221</v>
      </c>
      <c r="G243" s="1" t="s">
        <v>65</v>
      </c>
      <c r="H243" s="1" t="s">
        <v>128</v>
      </c>
      <c r="I243" s="1">
        <v>0</v>
      </c>
      <c r="J243" s="1">
        <v>0</v>
      </c>
      <c r="K243" s="1" t="s">
        <v>27</v>
      </c>
      <c r="L243" s="1" t="s">
        <v>19</v>
      </c>
    </row>
    <row r="244" spans="1:12" hidden="1" x14ac:dyDescent="0.2">
      <c r="A244" s="1">
        <v>1974</v>
      </c>
      <c r="B244" s="2" t="d">
        <v>1974-06-18</v>
      </c>
      <c r="C244" s="1" t="s">
        <v>185</v>
      </c>
      <c r="D244" s="1" t="s">
        <v>13</v>
      </c>
      <c r="E244" s="1" t="s">
        <v>222</v>
      </c>
      <c r="F244" s="1" t="s">
        <v>223</v>
      </c>
      <c r="G244" s="1" t="s">
        <v>65</v>
      </c>
      <c r="H244" s="1" t="s">
        <v>35</v>
      </c>
      <c r="I244" s="1">
        <v>1</v>
      </c>
      <c r="J244" s="1">
        <v>1</v>
      </c>
      <c r="K244" s="1" t="s">
        <v>226</v>
      </c>
      <c r="L244" s="1" t="s">
        <v>19</v>
      </c>
    </row>
    <row r="245" spans="1:12" hidden="1" x14ac:dyDescent="0.2">
      <c r="A245" s="1">
        <v>1974</v>
      </c>
      <c r="B245" s="2" t="d">
        <v>1974-06-18</v>
      </c>
      <c r="C245" s="1" t="s">
        <v>185</v>
      </c>
      <c r="D245" s="1" t="s">
        <v>25</v>
      </c>
      <c r="E245" s="1" t="s">
        <v>239</v>
      </c>
      <c r="F245" s="1" t="s">
        <v>240</v>
      </c>
      <c r="G245" s="1" t="s">
        <v>65</v>
      </c>
      <c r="H245" s="1" t="s">
        <v>26</v>
      </c>
      <c r="I245" s="1">
        <v>9</v>
      </c>
      <c r="J245" s="1">
        <v>0</v>
      </c>
      <c r="K245" s="1" t="s">
        <v>230</v>
      </c>
      <c r="L245" s="1" t="s">
        <v>19</v>
      </c>
    </row>
    <row r="246" spans="1:12" hidden="1" x14ac:dyDescent="0.2">
      <c r="A246" s="1">
        <v>1974</v>
      </c>
      <c r="B246" s="2" t="d">
        <v>1974-06-19</v>
      </c>
      <c r="C246" s="1" t="s">
        <v>185</v>
      </c>
      <c r="D246" s="1" t="s">
        <v>29</v>
      </c>
      <c r="E246" s="1" t="s">
        <v>228</v>
      </c>
      <c r="F246" s="1" t="s">
        <v>229</v>
      </c>
      <c r="G246" s="1" t="s">
        <v>65</v>
      </c>
      <c r="H246" s="1" t="s">
        <v>59</v>
      </c>
      <c r="I246" s="1">
        <v>0</v>
      </c>
      <c r="J246" s="1">
        <v>0</v>
      </c>
      <c r="K246" s="1" t="s">
        <v>62</v>
      </c>
      <c r="L246" s="1" t="s">
        <v>19</v>
      </c>
    </row>
    <row r="247" spans="1:12" hidden="1" x14ac:dyDescent="0.2">
      <c r="A247" s="1">
        <v>1974</v>
      </c>
      <c r="B247" s="2" t="d">
        <v>1974-06-19</v>
      </c>
      <c r="C247" s="1" t="s">
        <v>185</v>
      </c>
      <c r="D247" s="1" t="s">
        <v>29</v>
      </c>
      <c r="E247" s="1" t="s">
        <v>231</v>
      </c>
      <c r="F247" s="1" t="s">
        <v>232</v>
      </c>
      <c r="G247" s="1" t="s">
        <v>65</v>
      </c>
      <c r="H247" s="1" t="s">
        <v>182</v>
      </c>
      <c r="I247" s="1">
        <v>1</v>
      </c>
      <c r="J247" s="1">
        <v>1</v>
      </c>
      <c r="K247" s="1" t="s">
        <v>16</v>
      </c>
      <c r="L247" s="1" t="s">
        <v>19</v>
      </c>
    </row>
    <row r="248" spans="1:12" hidden="1" x14ac:dyDescent="0.2">
      <c r="A248" s="1">
        <v>1974</v>
      </c>
      <c r="B248" s="2" t="d">
        <v>1974-06-19</v>
      </c>
      <c r="C248" s="1" t="s">
        <v>185</v>
      </c>
      <c r="D248" s="1" t="s">
        <v>20</v>
      </c>
      <c r="E248" s="1" t="s">
        <v>222</v>
      </c>
      <c r="F248" s="1" t="s">
        <v>235</v>
      </c>
      <c r="G248" s="1" t="s">
        <v>65</v>
      </c>
      <c r="H248" s="1" t="s">
        <v>236</v>
      </c>
      <c r="I248" s="1">
        <v>0</v>
      </c>
      <c r="J248" s="1">
        <v>7</v>
      </c>
      <c r="K248" s="1" t="s">
        <v>96</v>
      </c>
      <c r="L248" s="1" t="s">
        <v>19</v>
      </c>
    </row>
    <row r="249" spans="1:12" hidden="1" x14ac:dyDescent="0.2">
      <c r="A249" s="1">
        <v>1974</v>
      </c>
      <c r="B249" s="2" t="d">
        <v>1974-06-19</v>
      </c>
      <c r="C249" s="1" t="s">
        <v>185</v>
      </c>
      <c r="D249" s="1" t="s">
        <v>20</v>
      </c>
      <c r="E249" s="1" t="s">
        <v>237</v>
      </c>
      <c r="F249" s="1" t="s">
        <v>238</v>
      </c>
      <c r="G249" s="1" t="s">
        <v>65</v>
      </c>
      <c r="H249" s="1" t="s">
        <v>33</v>
      </c>
      <c r="I249" s="1">
        <v>1</v>
      </c>
      <c r="J249" s="1">
        <v>1</v>
      </c>
      <c r="K249" s="1" t="s">
        <v>49</v>
      </c>
      <c r="L249" s="1" t="s">
        <v>19</v>
      </c>
    </row>
    <row r="250" spans="1:12" hidden="1" x14ac:dyDescent="0.2">
      <c r="A250" s="1">
        <v>1974</v>
      </c>
      <c r="B250" s="2" t="d">
        <v>1974-06-22</v>
      </c>
      <c r="C250" s="1" t="s">
        <v>32</v>
      </c>
      <c r="D250" s="1" t="s">
        <v>25</v>
      </c>
      <c r="E250" s="1" t="s">
        <v>220</v>
      </c>
      <c r="F250" s="1" t="s">
        <v>221</v>
      </c>
      <c r="G250" s="1" t="s">
        <v>65</v>
      </c>
      <c r="H250" s="1" t="s">
        <v>128</v>
      </c>
      <c r="I250" s="1">
        <v>1</v>
      </c>
      <c r="J250" s="1">
        <v>1</v>
      </c>
      <c r="K250" s="1" t="s">
        <v>26</v>
      </c>
      <c r="L250" s="1" t="s">
        <v>19</v>
      </c>
    </row>
    <row r="251" spans="1:12" hidden="1" x14ac:dyDescent="0.2">
      <c r="A251" s="1">
        <v>1974</v>
      </c>
      <c r="B251" s="2" t="d">
        <v>1974-06-22</v>
      </c>
      <c r="C251" s="1" t="s">
        <v>32</v>
      </c>
      <c r="D251" s="1" t="s">
        <v>13</v>
      </c>
      <c r="E251" s="1" t="s">
        <v>222</v>
      </c>
      <c r="F251" s="1" t="s">
        <v>223</v>
      </c>
      <c r="G251" s="1" t="s">
        <v>65</v>
      </c>
      <c r="H251" s="1" t="s">
        <v>227</v>
      </c>
      <c r="I251" s="1">
        <v>0</v>
      </c>
      <c r="J251" s="1">
        <v>0</v>
      </c>
      <c r="K251" s="1" t="s">
        <v>35</v>
      </c>
      <c r="L251" s="1" t="s">
        <v>19</v>
      </c>
    </row>
    <row r="252" spans="1:12" x14ac:dyDescent="0.2">
      <c r="A252" s="1">
        <v>1974</v>
      </c>
      <c r="B252" s="2" t="d">
        <v>1974-06-22</v>
      </c>
      <c r="C252" s="1" t="s">
        <v>32</v>
      </c>
      <c r="D252" s="1" t="s">
        <v>25</v>
      </c>
      <c r="E252" s="1" t="s">
        <v>239</v>
      </c>
      <c r="F252" s="1" t="s">
        <v>240</v>
      </c>
      <c r="G252" s="1" t="s">
        <v>65</v>
      </c>
      <c r="H252" s="1" t="s">
        <v>230</v>
      </c>
      <c r="I252" s="1">
        <v>0</v>
      </c>
      <c r="J252" s="1">
        <v>3</v>
      </c>
      <c r="K252" s="1" t="s">
        <v>27</v>
      </c>
      <c r="L252" s="1" t="s">
        <v>19</v>
      </c>
    </row>
    <row r="253" spans="1:12" hidden="1" x14ac:dyDescent="0.2">
      <c r="A253" s="1">
        <v>1974</v>
      </c>
      <c r="B253" s="2" t="d">
        <v>1974-06-22</v>
      </c>
      <c r="C253" s="1" t="s">
        <v>185</v>
      </c>
      <c r="D253" s="1" t="s">
        <v>13</v>
      </c>
      <c r="E253" s="1" t="s">
        <v>224</v>
      </c>
      <c r="F253" s="1" t="s">
        <v>225</v>
      </c>
      <c r="G253" s="1" t="s">
        <v>65</v>
      </c>
      <c r="H253" s="1" t="s">
        <v>226</v>
      </c>
      <c r="I253" s="1">
        <v>1</v>
      </c>
      <c r="J253" s="1">
        <v>0</v>
      </c>
      <c r="K253" s="1" t="s">
        <v>133</v>
      </c>
      <c r="L253" s="1" t="s">
        <v>19</v>
      </c>
    </row>
    <row r="254" spans="1:12" hidden="1" x14ac:dyDescent="0.2">
      <c r="A254" s="1">
        <v>1974</v>
      </c>
      <c r="B254" s="2" t="d">
        <v>1974-06-23</v>
      </c>
      <c r="C254" s="1" t="s">
        <v>32</v>
      </c>
      <c r="D254" s="1" t="s">
        <v>29</v>
      </c>
      <c r="E254" s="1" t="s">
        <v>228</v>
      </c>
      <c r="F254" s="1" t="s">
        <v>229</v>
      </c>
      <c r="G254" s="1" t="s">
        <v>65</v>
      </c>
      <c r="H254" s="1" t="s">
        <v>182</v>
      </c>
      <c r="I254" s="1">
        <v>1</v>
      </c>
      <c r="J254" s="1">
        <v>4</v>
      </c>
      <c r="K254" s="1" t="s">
        <v>59</v>
      </c>
      <c r="L254" s="1" t="s">
        <v>19</v>
      </c>
    </row>
    <row r="255" spans="1:12" hidden="1" x14ac:dyDescent="0.2">
      <c r="A255" s="1">
        <v>1974</v>
      </c>
      <c r="B255" s="2" t="d">
        <v>1974-06-23</v>
      </c>
      <c r="C255" s="1" t="s">
        <v>32</v>
      </c>
      <c r="D255" s="1" t="s">
        <v>20</v>
      </c>
      <c r="E255" s="1" t="s">
        <v>222</v>
      </c>
      <c r="F255" s="1" t="s">
        <v>235</v>
      </c>
      <c r="G255" s="1" t="s">
        <v>65</v>
      </c>
      <c r="H255" s="1" t="s">
        <v>33</v>
      </c>
      <c r="I255" s="1">
        <v>4</v>
      </c>
      <c r="J255" s="1">
        <v>1</v>
      </c>
      <c r="K255" s="1" t="s">
        <v>236</v>
      </c>
      <c r="L255" s="1" t="s">
        <v>19</v>
      </c>
    </row>
    <row r="256" spans="1:12" hidden="1" x14ac:dyDescent="0.2">
      <c r="A256" s="1">
        <v>1974</v>
      </c>
      <c r="B256" s="2" t="d">
        <v>1974-06-23</v>
      </c>
      <c r="C256" s="1" t="s">
        <v>32</v>
      </c>
      <c r="D256" s="1" t="s">
        <v>29</v>
      </c>
      <c r="E256" s="1" t="s">
        <v>233</v>
      </c>
      <c r="F256" s="1" t="s">
        <v>234</v>
      </c>
      <c r="G256" s="1" t="s">
        <v>65</v>
      </c>
      <c r="H256" s="1" t="s">
        <v>62</v>
      </c>
      <c r="I256" s="1">
        <v>3</v>
      </c>
      <c r="J256" s="1">
        <v>0</v>
      </c>
      <c r="K256" s="1" t="s">
        <v>16</v>
      </c>
      <c r="L256" s="1" t="s">
        <v>19</v>
      </c>
    </row>
    <row r="257" spans="1:12" hidden="1" x14ac:dyDescent="0.2">
      <c r="A257" s="1">
        <v>1974</v>
      </c>
      <c r="B257" s="2" t="d">
        <v>1974-06-23</v>
      </c>
      <c r="C257" s="1" t="s">
        <v>32</v>
      </c>
      <c r="D257" s="1" t="s">
        <v>20</v>
      </c>
      <c r="E257" s="1" t="s">
        <v>237</v>
      </c>
      <c r="F257" s="1" t="s">
        <v>238</v>
      </c>
      <c r="G257" s="1" t="s">
        <v>65</v>
      </c>
      <c r="H257" s="1" t="s">
        <v>96</v>
      </c>
      <c r="I257" s="1">
        <v>2</v>
      </c>
      <c r="J257" s="1">
        <v>1</v>
      </c>
      <c r="K257" s="1" t="s">
        <v>49</v>
      </c>
      <c r="L257" s="1" t="s">
        <v>19</v>
      </c>
    </row>
    <row r="258" spans="1:12" hidden="1" x14ac:dyDescent="0.2">
      <c r="A258" s="1">
        <v>1974</v>
      </c>
      <c r="B258" s="2" t="d">
        <v>1974-06-26</v>
      </c>
      <c r="C258" s="1" t="s">
        <v>32</v>
      </c>
      <c r="D258" s="12" t="s">
        <v>241</v>
      </c>
      <c r="E258" s="1" t="s">
        <v>233</v>
      </c>
      <c r="F258" s="1" t="s">
        <v>234</v>
      </c>
      <c r="G258" s="1" t="s">
        <v>65</v>
      </c>
      <c r="H258" s="1" t="s">
        <v>26</v>
      </c>
      <c r="I258" s="1">
        <v>0</v>
      </c>
      <c r="J258" s="1">
        <v>2</v>
      </c>
      <c r="K258" s="1" t="s">
        <v>133</v>
      </c>
      <c r="L258" s="1" t="s">
        <v>19</v>
      </c>
    </row>
    <row r="259" spans="1:12" hidden="1" x14ac:dyDescent="0.2">
      <c r="A259" s="1">
        <v>1974</v>
      </c>
      <c r="B259" s="2" t="d">
        <v>1974-06-26</v>
      </c>
      <c r="C259" s="1" t="s">
        <v>185</v>
      </c>
      <c r="D259" s="12" t="s">
        <v>242</v>
      </c>
      <c r="E259" s="1" t="s">
        <v>231</v>
      </c>
      <c r="F259" s="1" t="s">
        <v>232</v>
      </c>
      <c r="G259" s="1" t="s">
        <v>65</v>
      </c>
      <c r="H259" s="1" t="s">
        <v>27</v>
      </c>
      <c r="I259" s="1">
        <v>1</v>
      </c>
      <c r="J259" s="1">
        <v>0</v>
      </c>
      <c r="K259" s="1" t="s">
        <v>226</v>
      </c>
      <c r="L259" s="1" t="s">
        <v>19</v>
      </c>
    </row>
    <row r="260" spans="1:12" hidden="1" x14ac:dyDescent="0.2">
      <c r="A260" s="1">
        <v>1974</v>
      </c>
      <c r="B260" s="2" t="d">
        <v>1974-06-26</v>
      </c>
      <c r="C260" s="1" t="s">
        <v>185</v>
      </c>
      <c r="D260" s="12" t="s">
        <v>242</v>
      </c>
      <c r="E260" s="1" t="s">
        <v>239</v>
      </c>
      <c r="F260" s="1" t="s">
        <v>240</v>
      </c>
      <c r="G260" s="1" t="s">
        <v>65</v>
      </c>
      <c r="H260" s="1" t="s">
        <v>59</v>
      </c>
      <c r="I260" s="1">
        <v>4</v>
      </c>
      <c r="J260" s="1">
        <v>0</v>
      </c>
      <c r="K260" s="1" t="s">
        <v>33</v>
      </c>
      <c r="L260" s="1" t="s">
        <v>19</v>
      </c>
    </row>
    <row r="261" spans="1:12" hidden="1" x14ac:dyDescent="0.2">
      <c r="A261" s="1">
        <v>1974</v>
      </c>
      <c r="B261" s="2" t="d">
        <v>1974-06-26</v>
      </c>
      <c r="C261" s="1" t="s">
        <v>185</v>
      </c>
      <c r="D261" s="12" t="s">
        <v>241</v>
      </c>
      <c r="E261" s="1" t="s">
        <v>237</v>
      </c>
      <c r="F261" s="1" t="s">
        <v>238</v>
      </c>
      <c r="G261" s="1" t="s">
        <v>65</v>
      </c>
      <c r="H261" s="1" t="s">
        <v>62</v>
      </c>
      <c r="I261" s="1">
        <v>0</v>
      </c>
      <c r="J261" s="1">
        <v>1</v>
      </c>
      <c r="K261" s="1" t="s">
        <v>96</v>
      </c>
      <c r="L261" s="1" t="s">
        <v>19</v>
      </c>
    </row>
    <row r="262" spans="1:12" x14ac:dyDescent="0.2">
      <c r="A262" s="1">
        <v>1974</v>
      </c>
      <c r="B262" s="2" t="d">
        <v>1974-06-30</v>
      </c>
      <c r="C262" s="1" t="s">
        <v>32</v>
      </c>
      <c r="D262" s="12" t="s">
        <v>242</v>
      </c>
      <c r="E262" s="1" t="s">
        <v>231</v>
      </c>
      <c r="F262" s="1" t="s">
        <v>232</v>
      </c>
      <c r="G262" s="1" t="s">
        <v>65</v>
      </c>
      <c r="H262" s="1" t="s">
        <v>33</v>
      </c>
      <c r="I262" s="1">
        <v>1</v>
      </c>
      <c r="J262" s="1">
        <v>2</v>
      </c>
      <c r="K262" s="1" t="s">
        <v>27</v>
      </c>
      <c r="L262" s="1" t="s">
        <v>19</v>
      </c>
    </row>
    <row r="263" spans="1:12" hidden="1" x14ac:dyDescent="0.2">
      <c r="A263" s="1">
        <v>1974</v>
      </c>
      <c r="B263" s="2" t="d">
        <v>1974-06-30</v>
      </c>
      <c r="C263" s="1" t="s">
        <v>32</v>
      </c>
      <c r="D263" s="12" t="s">
        <v>241</v>
      </c>
      <c r="E263" s="1" t="s">
        <v>220</v>
      </c>
      <c r="F263" s="1" t="s">
        <v>221</v>
      </c>
      <c r="G263" s="1" t="s">
        <v>65</v>
      </c>
      <c r="H263" s="1" t="s">
        <v>96</v>
      </c>
      <c r="I263" s="1">
        <v>2</v>
      </c>
      <c r="J263" s="1">
        <v>1</v>
      </c>
      <c r="K263" s="1" t="s">
        <v>26</v>
      </c>
      <c r="L263" s="1" t="s">
        <v>19</v>
      </c>
    </row>
    <row r="264" spans="1:12" hidden="1" x14ac:dyDescent="0.2">
      <c r="A264" s="1">
        <v>1974</v>
      </c>
      <c r="B264" s="2" t="d">
        <v>1974-06-30</v>
      </c>
      <c r="C264" s="1" t="s">
        <v>32</v>
      </c>
      <c r="D264" s="12" t="s">
        <v>242</v>
      </c>
      <c r="E264" s="1" t="s">
        <v>239</v>
      </c>
      <c r="F264" s="1" t="s">
        <v>240</v>
      </c>
      <c r="G264" s="1" t="s">
        <v>65</v>
      </c>
      <c r="H264" s="1" t="s">
        <v>226</v>
      </c>
      <c r="I264" s="1">
        <v>0</v>
      </c>
      <c r="J264" s="1">
        <v>2</v>
      </c>
      <c r="K264" s="1" t="s">
        <v>59</v>
      </c>
      <c r="L264" s="1" t="s">
        <v>19</v>
      </c>
    </row>
    <row r="265" spans="1:12" hidden="1" x14ac:dyDescent="0.2">
      <c r="A265" s="1">
        <v>1974</v>
      </c>
      <c r="B265" s="2" t="d">
        <v>1974-06-30</v>
      </c>
      <c r="C265" s="1" t="s">
        <v>185</v>
      </c>
      <c r="D265" s="12" t="s">
        <v>241</v>
      </c>
      <c r="E265" s="1" t="s">
        <v>233</v>
      </c>
      <c r="F265" s="1" t="s">
        <v>234</v>
      </c>
      <c r="G265" s="1" t="s">
        <v>65</v>
      </c>
      <c r="H265" s="1" t="s">
        <v>133</v>
      </c>
      <c r="I265" s="1">
        <v>4</v>
      </c>
      <c r="J265" s="1">
        <v>2</v>
      </c>
      <c r="K265" s="1" t="s">
        <v>62</v>
      </c>
      <c r="L265" s="1" t="s">
        <v>19</v>
      </c>
    </row>
    <row r="266" spans="1:12" hidden="1" x14ac:dyDescent="0.2">
      <c r="A266" s="1">
        <v>1974</v>
      </c>
      <c r="B266" s="2" t="d">
        <v>1974-07-03</v>
      </c>
      <c r="C266" s="1" t="s">
        <v>79</v>
      </c>
      <c r="D266" s="12" t="s">
        <v>241</v>
      </c>
      <c r="E266" s="1" t="s">
        <v>220</v>
      </c>
      <c r="F266" s="1" t="s">
        <v>221</v>
      </c>
      <c r="G266" s="1" t="s">
        <v>65</v>
      </c>
      <c r="H266" s="1" t="s">
        <v>96</v>
      </c>
      <c r="I266" s="1">
        <v>0</v>
      </c>
      <c r="J266" s="1">
        <v>1</v>
      </c>
      <c r="K266" s="1" t="s">
        <v>133</v>
      </c>
      <c r="L266" s="1" t="s">
        <v>19</v>
      </c>
    </row>
    <row r="267" spans="1:12" x14ac:dyDescent="0.2">
      <c r="A267" s="1">
        <v>1974</v>
      </c>
      <c r="B267" s="2" t="d">
        <v>1974-07-03</v>
      </c>
      <c r="C267" s="1" t="s">
        <v>185</v>
      </c>
      <c r="D267" s="12" t="s">
        <v>242</v>
      </c>
      <c r="E267" s="1" t="s">
        <v>228</v>
      </c>
      <c r="F267" s="1" t="s">
        <v>229</v>
      </c>
      <c r="G267" s="1" t="s">
        <v>65</v>
      </c>
      <c r="H267" s="1" t="s">
        <v>59</v>
      </c>
      <c r="I267" s="1">
        <v>2</v>
      </c>
      <c r="J267" s="1">
        <v>0</v>
      </c>
      <c r="K267" s="1" t="s">
        <v>27</v>
      </c>
      <c r="L267" s="1" t="s">
        <v>19</v>
      </c>
    </row>
    <row r="268" spans="1:12" hidden="1" x14ac:dyDescent="0.2">
      <c r="A268" s="1">
        <v>1974</v>
      </c>
      <c r="B268" s="2" t="d">
        <v>1974-07-03</v>
      </c>
      <c r="C268" s="1" t="s">
        <v>185</v>
      </c>
      <c r="D268" s="12" t="s">
        <v>242</v>
      </c>
      <c r="E268" s="1" t="s">
        <v>239</v>
      </c>
      <c r="F268" s="1" t="s">
        <v>240</v>
      </c>
      <c r="G268" s="1" t="s">
        <v>65</v>
      </c>
      <c r="H268" s="1" t="s">
        <v>33</v>
      </c>
      <c r="I268" s="1">
        <v>1</v>
      </c>
      <c r="J268" s="1">
        <v>1</v>
      </c>
      <c r="K268" s="1" t="s">
        <v>226</v>
      </c>
      <c r="L268" s="1" t="s">
        <v>19</v>
      </c>
    </row>
    <row r="269" spans="1:12" hidden="1" x14ac:dyDescent="0.2">
      <c r="A269" s="1">
        <v>1974</v>
      </c>
      <c r="B269" s="2" t="d">
        <v>1974-07-03</v>
      </c>
      <c r="C269" s="1" t="s">
        <v>185</v>
      </c>
      <c r="D269" s="12" t="s">
        <v>241</v>
      </c>
      <c r="E269" s="1" t="s">
        <v>233</v>
      </c>
      <c r="F269" s="1" t="s">
        <v>234</v>
      </c>
      <c r="G269" s="1" t="s">
        <v>65</v>
      </c>
      <c r="H269" s="1" t="s">
        <v>62</v>
      </c>
      <c r="I269" s="1">
        <v>2</v>
      </c>
      <c r="J269" s="1">
        <v>1</v>
      </c>
      <c r="K269" s="1" t="s">
        <v>26</v>
      </c>
      <c r="L269" s="1" t="s">
        <v>19</v>
      </c>
    </row>
    <row r="270" spans="1:12" hidden="1" x14ac:dyDescent="0.2">
      <c r="A270" s="1">
        <v>1974</v>
      </c>
      <c r="B270" s="2" t="d">
        <v>1974-07-06</v>
      </c>
      <c r="C270" s="1" t="s">
        <v>32</v>
      </c>
      <c r="D270" s="12" t="s">
        <v>76</v>
      </c>
      <c r="E270" s="1" t="s">
        <v>222</v>
      </c>
      <c r="F270" s="1" t="s">
        <v>235</v>
      </c>
      <c r="G270" s="1" t="s">
        <v>65</v>
      </c>
      <c r="H270" s="1" t="s">
        <v>27</v>
      </c>
      <c r="I270" s="1">
        <v>0</v>
      </c>
      <c r="J270" s="1">
        <v>1</v>
      </c>
      <c r="K270" s="1" t="s">
        <v>96</v>
      </c>
      <c r="L270" s="1" t="s">
        <v>19</v>
      </c>
    </row>
    <row r="271" spans="1:12" hidden="1" x14ac:dyDescent="0.2">
      <c r="A271" s="1">
        <v>1974</v>
      </c>
      <c r="B271" s="2" t="d">
        <v>1974-07-07</v>
      </c>
      <c r="C271" s="1" t="s">
        <v>32</v>
      </c>
      <c r="D271" s="12" t="s">
        <v>44</v>
      </c>
      <c r="E271" s="1" t="s">
        <v>222</v>
      </c>
      <c r="F271" s="1" t="s">
        <v>235</v>
      </c>
      <c r="G271" s="1" t="s">
        <v>65</v>
      </c>
      <c r="H271" s="1" t="s">
        <v>59</v>
      </c>
      <c r="I271" s="1">
        <v>1</v>
      </c>
      <c r="J271" s="1">
        <v>2</v>
      </c>
      <c r="K271" s="1" t="s">
        <v>133</v>
      </c>
      <c r="L271" s="1" t="s">
        <v>19</v>
      </c>
    </row>
    <row r="272" spans="1:12" hidden="1" x14ac:dyDescent="0.2">
      <c r="A272" s="1">
        <v>1978</v>
      </c>
      <c r="B272" s="2" t="d">
        <v>1978-06-01</v>
      </c>
      <c r="C272" s="1" t="s">
        <v>12</v>
      </c>
      <c r="D272" s="1" t="s">
        <v>25</v>
      </c>
      <c r="E272" s="1" t="s">
        <v>243</v>
      </c>
      <c r="F272" s="1" t="s">
        <v>244</v>
      </c>
      <c r="G272" s="1" t="s">
        <v>33</v>
      </c>
      <c r="H272" s="1" t="s">
        <v>133</v>
      </c>
      <c r="I272" s="1">
        <v>0</v>
      </c>
      <c r="J272" s="1">
        <v>0</v>
      </c>
      <c r="K272" s="1" t="s">
        <v>96</v>
      </c>
      <c r="L272" s="1" t="s">
        <v>19</v>
      </c>
    </row>
    <row r="273" spans="1:12" hidden="1" x14ac:dyDescent="0.2">
      <c r="A273" s="1">
        <v>1978</v>
      </c>
      <c r="B273" s="2" t="d">
        <v>1978-06-02</v>
      </c>
      <c r="C273" s="1" t="s">
        <v>245</v>
      </c>
      <c r="D273" s="1" t="s">
        <v>13</v>
      </c>
      <c r="E273" s="1" t="s">
        <v>246</v>
      </c>
      <c r="F273" s="1" t="s">
        <v>247</v>
      </c>
      <c r="G273" s="1" t="s">
        <v>33</v>
      </c>
      <c r="H273" s="1" t="s">
        <v>49</v>
      </c>
      <c r="I273" s="1">
        <v>2</v>
      </c>
      <c r="J273" s="1">
        <v>1</v>
      </c>
      <c r="K273" s="1" t="s">
        <v>17</v>
      </c>
      <c r="L273" s="1" t="s">
        <v>19</v>
      </c>
    </row>
    <row r="274" spans="1:12" hidden="1" x14ac:dyDescent="0.2">
      <c r="A274" s="1">
        <v>1978</v>
      </c>
      <c r="B274" s="2" t="d">
        <v>1978-06-02</v>
      </c>
      <c r="C274" s="1" t="s">
        <v>248</v>
      </c>
      <c r="D274" s="1" t="s">
        <v>25</v>
      </c>
      <c r="E274" s="1" t="s">
        <v>249</v>
      </c>
      <c r="F274" s="1" t="s">
        <v>250</v>
      </c>
      <c r="G274" s="1" t="s">
        <v>33</v>
      </c>
      <c r="H274" s="1" t="s">
        <v>251</v>
      </c>
      <c r="I274" s="1">
        <v>3</v>
      </c>
      <c r="J274" s="1">
        <v>1</v>
      </c>
      <c r="K274" s="1" t="s">
        <v>18</v>
      </c>
      <c r="L274" s="1" t="s">
        <v>19</v>
      </c>
    </row>
    <row r="275" spans="1:12" hidden="1" x14ac:dyDescent="0.2">
      <c r="A275" s="1">
        <v>1978</v>
      </c>
      <c r="B275" s="2" t="d">
        <v>1978-06-02</v>
      </c>
      <c r="C275" s="1" t="s">
        <v>252</v>
      </c>
      <c r="D275" s="1" t="s">
        <v>13</v>
      </c>
      <c r="E275" s="1" t="s">
        <v>243</v>
      </c>
      <c r="F275" s="1" t="s">
        <v>244</v>
      </c>
      <c r="G275" s="1" t="s">
        <v>33</v>
      </c>
      <c r="H275" s="1" t="s">
        <v>33</v>
      </c>
      <c r="I275" s="1">
        <v>2</v>
      </c>
      <c r="J275" s="1">
        <v>1</v>
      </c>
      <c r="K275" s="1" t="s">
        <v>54</v>
      </c>
      <c r="L275" s="1" t="s">
        <v>19</v>
      </c>
    </row>
    <row r="276" spans="1:12" x14ac:dyDescent="0.2">
      <c r="A276" s="1">
        <v>1978</v>
      </c>
      <c r="B276" s="2" t="d">
        <v>1978-06-03</v>
      </c>
      <c r="C276" s="1" t="s">
        <v>245</v>
      </c>
      <c r="D276" s="1" t="s">
        <v>29</v>
      </c>
      <c r="E276" s="1" t="s">
        <v>246</v>
      </c>
      <c r="F276" s="1" t="s">
        <v>247</v>
      </c>
      <c r="G276" s="1" t="s">
        <v>33</v>
      </c>
      <c r="H276" s="1" t="s">
        <v>62</v>
      </c>
      <c r="I276" s="1">
        <v>1</v>
      </c>
      <c r="J276" s="1">
        <v>1</v>
      </c>
      <c r="K276" s="1" t="s">
        <v>27</v>
      </c>
      <c r="L276" s="1" t="s">
        <v>19</v>
      </c>
    </row>
    <row r="277" spans="1:12" hidden="1" x14ac:dyDescent="0.2">
      <c r="A277" s="1">
        <v>1978</v>
      </c>
      <c r="B277" s="2" t="d">
        <v>1978-06-03</v>
      </c>
      <c r="C277" s="1" t="s">
        <v>245</v>
      </c>
      <c r="D277" s="1" t="s">
        <v>29</v>
      </c>
      <c r="E277" s="1" t="s">
        <v>253</v>
      </c>
      <c r="F277" s="1" t="s">
        <v>244</v>
      </c>
      <c r="G277" s="1" t="s">
        <v>33</v>
      </c>
      <c r="H277" s="1" t="s">
        <v>50</v>
      </c>
      <c r="I277" s="1">
        <v>2</v>
      </c>
      <c r="J277" s="1">
        <v>1</v>
      </c>
      <c r="K277" s="1" t="s">
        <v>68</v>
      </c>
      <c r="L277" s="1" t="s">
        <v>19</v>
      </c>
    </row>
    <row r="278" spans="1:12" hidden="1" x14ac:dyDescent="0.2">
      <c r="A278" s="1">
        <v>1978</v>
      </c>
      <c r="B278" s="2" t="d">
        <v>1978-06-03</v>
      </c>
      <c r="C278" s="1" t="s">
        <v>248</v>
      </c>
      <c r="D278" s="1" t="s">
        <v>20</v>
      </c>
      <c r="E278" s="1" t="s">
        <v>254</v>
      </c>
      <c r="F278" s="1" t="s">
        <v>255</v>
      </c>
      <c r="G278" s="1" t="s">
        <v>33</v>
      </c>
      <c r="H278" s="1" t="s">
        <v>31</v>
      </c>
      <c r="I278" s="1">
        <v>3</v>
      </c>
      <c r="J278" s="1">
        <v>1</v>
      </c>
      <c r="K278" s="1" t="s">
        <v>128</v>
      </c>
      <c r="L278" s="1" t="s">
        <v>19</v>
      </c>
    </row>
    <row r="279" spans="1:12" hidden="1" x14ac:dyDescent="0.2">
      <c r="A279" s="1">
        <v>1978</v>
      </c>
      <c r="B279" s="2" t="d">
        <v>1978-06-03</v>
      </c>
      <c r="C279" s="1" t="s">
        <v>248</v>
      </c>
      <c r="D279" s="1" t="s">
        <v>20</v>
      </c>
      <c r="E279" s="1" t="s">
        <v>256</v>
      </c>
      <c r="F279" s="1" t="s">
        <v>257</v>
      </c>
      <c r="G279" s="1" t="s">
        <v>33</v>
      </c>
      <c r="H279" s="1" t="s">
        <v>59</v>
      </c>
      <c r="I279" s="1">
        <v>3</v>
      </c>
      <c r="J279" s="1">
        <v>0</v>
      </c>
      <c r="K279" s="1" t="s">
        <v>258</v>
      </c>
      <c r="L279" s="1" t="s">
        <v>19</v>
      </c>
    </row>
    <row r="280" spans="1:12" hidden="1" x14ac:dyDescent="0.2">
      <c r="A280" s="1">
        <v>1978</v>
      </c>
      <c r="B280" s="2" t="d">
        <v>1978-06-06</v>
      </c>
      <c r="C280" s="1" t="s">
        <v>245</v>
      </c>
      <c r="D280" s="1" t="s">
        <v>13</v>
      </c>
      <c r="E280" s="1" t="s">
        <v>246</v>
      </c>
      <c r="F280" s="1" t="s">
        <v>247</v>
      </c>
      <c r="G280" s="1" t="s">
        <v>33</v>
      </c>
      <c r="H280" s="1" t="s">
        <v>49</v>
      </c>
      <c r="I280" s="1">
        <v>3</v>
      </c>
      <c r="J280" s="1">
        <v>1</v>
      </c>
      <c r="K280" s="1" t="s">
        <v>54</v>
      </c>
      <c r="L280" s="1" t="s">
        <v>19</v>
      </c>
    </row>
    <row r="281" spans="1:12" hidden="1" x14ac:dyDescent="0.2">
      <c r="A281" s="1">
        <v>1978</v>
      </c>
      <c r="B281" s="2" t="d">
        <v>1978-06-06</v>
      </c>
      <c r="C281" s="1" t="s">
        <v>248</v>
      </c>
      <c r="D281" s="1" t="s">
        <v>25</v>
      </c>
      <c r="E281" s="1" t="s">
        <v>249</v>
      </c>
      <c r="F281" s="1" t="s">
        <v>250</v>
      </c>
      <c r="G281" s="1" t="s">
        <v>33</v>
      </c>
      <c r="H281" s="1" t="s">
        <v>96</v>
      </c>
      <c r="I281" s="1">
        <v>1</v>
      </c>
      <c r="J281" s="1">
        <v>0</v>
      </c>
      <c r="K281" s="1" t="s">
        <v>251</v>
      </c>
      <c r="L281" s="1" t="s">
        <v>19</v>
      </c>
    </row>
    <row r="282" spans="1:12" hidden="1" x14ac:dyDescent="0.2">
      <c r="A282" s="1">
        <v>1978</v>
      </c>
      <c r="B282" s="2" t="d">
        <v>1978-06-06</v>
      </c>
      <c r="C282" s="1" t="s">
        <v>248</v>
      </c>
      <c r="D282" s="1" t="s">
        <v>25</v>
      </c>
      <c r="E282" s="1" t="s">
        <v>254</v>
      </c>
      <c r="F282" s="1" t="s">
        <v>255</v>
      </c>
      <c r="G282" s="1" t="s">
        <v>33</v>
      </c>
      <c r="H282" s="1" t="s">
        <v>133</v>
      </c>
      <c r="I282" s="1">
        <v>6</v>
      </c>
      <c r="J282" s="1">
        <v>0</v>
      </c>
      <c r="K282" s="1" t="s">
        <v>18</v>
      </c>
      <c r="L282" s="1" t="s">
        <v>19</v>
      </c>
    </row>
    <row r="283" spans="1:12" hidden="1" x14ac:dyDescent="0.2">
      <c r="A283" s="1">
        <v>1978</v>
      </c>
      <c r="B283" s="2" t="d">
        <v>1978-06-06</v>
      </c>
      <c r="C283" s="1" t="s">
        <v>252</v>
      </c>
      <c r="D283" s="1" t="s">
        <v>13</v>
      </c>
      <c r="E283" s="1" t="s">
        <v>243</v>
      </c>
      <c r="F283" s="1" t="s">
        <v>244</v>
      </c>
      <c r="G283" s="1" t="s">
        <v>33</v>
      </c>
      <c r="H283" s="1" t="s">
        <v>33</v>
      </c>
      <c r="I283" s="1">
        <v>2</v>
      </c>
      <c r="J283" s="1">
        <v>1</v>
      </c>
      <c r="K283" s="1" t="s">
        <v>17</v>
      </c>
      <c r="L283" s="1" t="s">
        <v>19</v>
      </c>
    </row>
    <row r="284" spans="1:12" hidden="1" x14ac:dyDescent="0.2">
      <c r="A284" s="1">
        <v>1978</v>
      </c>
      <c r="B284" s="2" t="d">
        <v>1978-06-07</v>
      </c>
      <c r="C284" s="1" t="s">
        <v>245</v>
      </c>
      <c r="D284" s="1" t="s">
        <v>29</v>
      </c>
      <c r="E284" s="1" t="s">
        <v>246</v>
      </c>
      <c r="F284" s="1" t="s">
        <v>247</v>
      </c>
      <c r="G284" s="1" t="s">
        <v>33</v>
      </c>
      <c r="H284" s="1" t="s">
        <v>27</v>
      </c>
      <c r="I284" s="1">
        <v>0</v>
      </c>
      <c r="J284" s="1">
        <v>0</v>
      </c>
      <c r="K284" s="1" t="s">
        <v>68</v>
      </c>
      <c r="L284" s="1" t="s">
        <v>19</v>
      </c>
    </row>
    <row r="285" spans="1:12" hidden="1" x14ac:dyDescent="0.2">
      <c r="A285" s="1">
        <v>1978</v>
      </c>
      <c r="B285" s="2" t="d">
        <v>1978-06-07</v>
      </c>
      <c r="C285" s="1" t="s">
        <v>245</v>
      </c>
      <c r="D285" s="1" t="s">
        <v>29</v>
      </c>
      <c r="E285" s="1" t="s">
        <v>253</v>
      </c>
      <c r="F285" s="1" t="s">
        <v>244</v>
      </c>
      <c r="G285" s="1" t="s">
        <v>33</v>
      </c>
      <c r="H285" s="1" t="s">
        <v>50</v>
      </c>
      <c r="I285" s="1">
        <v>1</v>
      </c>
      <c r="J285" s="1">
        <v>0</v>
      </c>
      <c r="K285" s="1" t="s">
        <v>62</v>
      </c>
      <c r="L285" s="1" t="s">
        <v>19</v>
      </c>
    </row>
    <row r="286" spans="1:12" hidden="1" x14ac:dyDescent="0.2">
      <c r="A286" s="1">
        <v>1978</v>
      </c>
      <c r="B286" s="2" t="d">
        <v>1978-06-07</v>
      </c>
      <c r="C286" s="1" t="s">
        <v>248</v>
      </c>
      <c r="D286" s="1" t="s">
        <v>20</v>
      </c>
      <c r="E286" s="1" t="s">
        <v>254</v>
      </c>
      <c r="F286" s="1" t="s">
        <v>255</v>
      </c>
      <c r="G286" s="1" t="s">
        <v>33</v>
      </c>
      <c r="H286" s="1" t="s">
        <v>128</v>
      </c>
      <c r="I286" s="1">
        <v>1</v>
      </c>
      <c r="J286" s="1">
        <v>1</v>
      </c>
      <c r="K286" s="1" t="s">
        <v>258</v>
      </c>
      <c r="L286" s="1" t="s">
        <v>19</v>
      </c>
    </row>
    <row r="287" spans="1:12" hidden="1" x14ac:dyDescent="0.2">
      <c r="A287" s="1">
        <v>1978</v>
      </c>
      <c r="B287" s="2" t="d">
        <v>1978-06-07</v>
      </c>
      <c r="C287" s="1" t="s">
        <v>248</v>
      </c>
      <c r="D287" s="1" t="s">
        <v>20</v>
      </c>
      <c r="E287" s="1" t="s">
        <v>256</v>
      </c>
      <c r="F287" s="1" t="s">
        <v>257</v>
      </c>
      <c r="G287" s="1" t="s">
        <v>33</v>
      </c>
      <c r="H287" s="1" t="s">
        <v>59</v>
      </c>
      <c r="I287" s="1">
        <v>0</v>
      </c>
      <c r="J287" s="1">
        <v>0</v>
      </c>
      <c r="K287" s="1" t="s">
        <v>31</v>
      </c>
      <c r="L287" s="1" t="s">
        <v>19</v>
      </c>
    </row>
    <row r="288" spans="1:12" hidden="1" x14ac:dyDescent="0.2">
      <c r="A288" s="1">
        <v>1978</v>
      </c>
      <c r="B288" s="2" t="d">
        <v>1978-06-10</v>
      </c>
      <c r="C288" s="1" t="s">
        <v>259</v>
      </c>
      <c r="D288" s="1" t="s">
        <v>13</v>
      </c>
      <c r="E288" s="1" t="s">
        <v>246</v>
      </c>
      <c r="F288" s="1" t="s">
        <v>247</v>
      </c>
      <c r="G288" s="1" t="s">
        <v>33</v>
      </c>
      <c r="H288" s="1" t="s">
        <v>17</v>
      </c>
      <c r="I288" s="1">
        <v>3</v>
      </c>
      <c r="J288" s="1">
        <v>1</v>
      </c>
      <c r="K288" s="1" t="s">
        <v>54</v>
      </c>
      <c r="L288" s="1" t="s">
        <v>19</v>
      </c>
    </row>
    <row r="289" spans="1:12" hidden="1" x14ac:dyDescent="0.2">
      <c r="A289" s="1">
        <v>1978</v>
      </c>
      <c r="B289" s="2" t="d">
        <v>1978-06-10</v>
      </c>
      <c r="C289" s="1" t="s">
        <v>248</v>
      </c>
      <c r="D289" s="1" t="s">
        <v>25</v>
      </c>
      <c r="E289" s="1" t="s">
        <v>249</v>
      </c>
      <c r="F289" s="1" t="s">
        <v>250</v>
      </c>
      <c r="G289" s="1" t="s">
        <v>33</v>
      </c>
      <c r="H289" s="1" t="s">
        <v>96</v>
      </c>
      <c r="I289" s="1">
        <v>3</v>
      </c>
      <c r="J289" s="1">
        <v>1</v>
      </c>
      <c r="K289" s="1" t="s">
        <v>18</v>
      </c>
      <c r="L289" s="1" t="s">
        <v>19</v>
      </c>
    </row>
    <row r="290" spans="1:12" hidden="1" x14ac:dyDescent="0.2">
      <c r="A290" s="1">
        <v>1978</v>
      </c>
      <c r="B290" s="2" t="d">
        <v>1978-06-10</v>
      </c>
      <c r="C290" s="1" t="s">
        <v>248</v>
      </c>
      <c r="D290" s="1" t="s">
        <v>25</v>
      </c>
      <c r="E290" s="1" t="s">
        <v>254</v>
      </c>
      <c r="F290" s="1" t="s">
        <v>255</v>
      </c>
      <c r="G290" s="1" t="s">
        <v>33</v>
      </c>
      <c r="H290" s="1" t="s">
        <v>133</v>
      </c>
      <c r="I290" s="1">
        <v>0</v>
      </c>
      <c r="J290" s="1">
        <v>0</v>
      </c>
      <c r="K290" s="1" t="s">
        <v>251</v>
      </c>
      <c r="L290" s="1" t="s">
        <v>19</v>
      </c>
    </row>
    <row r="291" spans="1:12" hidden="1" x14ac:dyDescent="0.2">
      <c r="A291" s="1">
        <v>1978</v>
      </c>
      <c r="B291" s="2" t="d">
        <v>1978-06-10</v>
      </c>
      <c r="C291" s="1" t="s">
        <v>252</v>
      </c>
      <c r="D291" s="1" t="s">
        <v>13</v>
      </c>
      <c r="E291" s="1" t="s">
        <v>243</v>
      </c>
      <c r="F291" s="1" t="s">
        <v>244</v>
      </c>
      <c r="G291" s="1" t="s">
        <v>33</v>
      </c>
      <c r="H291" s="1" t="s">
        <v>49</v>
      </c>
      <c r="I291" s="1">
        <v>1</v>
      </c>
      <c r="J291" s="1">
        <v>0</v>
      </c>
      <c r="K291" s="1" t="s">
        <v>33</v>
      </c>
      <c r="L291" s="1" t="s">
        <v>19</v>
      </c>
    </row>
    <row r="292" spans="1:12" hidden="1" x14ac:dyDescent="0.2">
      <c r="A292" s="1">
        <v>1978</v>
      </c>
      <c r="B292" s="2" t="d">
        <v>1978-06-11</v>
      </c>
      <c r="C292" s="1" t="s">
        <v>245</v>
      </c>
      <c r="D292" s="1" t="s">
        <v>29</v>
      </c>
      <c r="E292" s="1" t="s">
        <v>246</v>
      </c>
      <c r="F292" s="1" t="s">
        <v>247</v>
      </c>
      <c r="G292" s="1" t="s">
        <v>33</v>
      </c>
      <c r="H292" s="1" t="s">
        <v>27</v>
      </c>
      <c r="I292" s="1">
        <v>1</v>
      </c>
      <c r="J292" s="1">
        <v>0</v>
      </c>
      <c r="K292" s="1" t="s">
        <v>50</v>
      </c>
      <c r="L292" s="1" t="s">
        <v>19</v>
      </c>
    </row>
    <row r="293" spans="1:12" hidden="1" x14ac:dyDescent="0.2">
      <c r="A293" s="1">
        <v>1978</v>
      </c>
      <c r="B293" s="2" t="d">
        <v>1978-06-11</v>
      </c>
      <c r="C293" s="1" t="s">
        <v>245</v>
      </c>
      <c r="D293" s="1" t="s">
        <v>29</v>
      </c>
      <c r="E293" s="1" t="s">
        <v>253</v>
      </c>
      <c r="F293" s="1" t="s">
        <v>244</v>
      </c>
      <c r="G293" s="1" t="s">
        <v>33</v>
      </c>
      <c r="H293" s="1" t="s">
        <v>68</v>
      </c>
      <c r="I293" s="1">
        <v>1</v>
      </c>
      <c r="J293" s="1">
        <v>0</v>
      </c>
      <c r="K293" s="1" t="s">
        <v>62</v>
      </c>
      <c r="L293" s="1" t="s">
        <v>19</v>
      </c>
    </row>
    <row r="294" spans="1:12" hidden="1" x14ac:dyDescent="0.2">
      <c r="A294" s="1">
        <v>1978</v>
      </c>
      <c r="B294" s="2" t="d">
        <v>1978-06-11</v>
      </c>
      <c r="C294" s="1" t="s">
        <v>248</v>
      </c>
      <c r="D294" s="1" t="s">
        <v>20</v>
      </c>
      <c r="E294" s="1" t="s">
        <v>254</v>
      </c>
      <c r="F294" s="1" t="s">
        <v>255</v>
      </c>
      <c r="G294" s="1" t="s">
        <v>33</v>
      </c>
      <c r="H294" s="1" t="s">
        <v>31</v>
      </c>
      <c r="I294" s="1">
        <v>4</v>
      </c>
      <c r="J294" s="1">
        <v>1</v>
      </c>
      <c r="K294" s="1" t="s">
        <v>260</v>
      </c>
      <c r="L294" s="1" t="s">
        <v>19</v>
      </c>
    </row>
    <row r="295" spans="1:12" hidden="1" x14ac:dyDescent="0.2">
      <c r="A295" s="1">
        <v>1978</v>
      </c>
      <c r="B295" s="2" t="d">
        <v>1978-06-11</v>
      </c>
      <c r="C295" s="1" t="s">
        <v>248</v>
      </c>
      <c r="D295" s="1" t="s">
        <v>20</v>
      </c>
      <c r="E295" s="1" t="s">
        <v>256</v>
      </c>
      <c r="F295" s="1" t="s">
        <v>257</v>
      </c>
      <c r="G295" s="1" t="s">
        <v>33</v>
      </c>
      <c r="H295" s="1" t="s">
        <v>128</v>
      </c>
      <c r="I295" s="1">
        <v>3</v>
      </c>
      <c r="J295" s="1">
        <v>2</v>
      </c>
      <c r="K295" s="1" t="s">
        <v>59</v>
      </c>
      <c r="L295" s="1" t="s">
        <v>19</v>
      </c>
    </row>
    <row r="296" spans="1:12" hidden="1" x14ac:dyDescent="0.2">
      <c r="A296" s="1">
        <v>1978</v>
      </c>
      <c r="B296" s="2" t="d">
        <v>1978-06-14</v>
      </c>
      <c r="C296" s="1" t="s">
        <v>245</v>
      </c>
      <c r="D296" s="12" t="s">
        <v>242</v>
      </c>
      <c r="E296" s="1" t="s">
        <v>243</v>
      </c>
      <c r="F296" s="1" t="s">
        <v>244</v>
      </c>
      <c r="G296" s="1" t="s">
        <v>33</v>
      </c>
      <c r="H296" s="1" t="s">
        <v>133</v>
      </c>
      <c r="I296" s="1">
        <v>0</v>
      </c>
      <c r="J296" s="1">
        <v>0</v>
      </c>
      <c r="K296" s="1" t="s">
        <v>49</v>
      </c>
      <c r="L296" s="1" t="s">
        <v>19</v>
      </c>
    </row>
    <row r="297" spans="1:12" hidden="1" x14ac:dyDescent="0.2">
      <c r="A297" s="1">
        <v>1978</v>
      </c>
      <c r="B297" s="2" t="d">
        <v>1978-06-14</v>
      </c>
      <c r="C297" s="1" t="s">
        <v>245</v>
      </c>
      <c r="D297" s="12" t="s">
        <v>242</v>
      </c>
      <c r="E297" s="1" t="s">
        <v>254</v>
      </c>
      <c r="F297" s="1" t="s">
        <v>255</v>
      </c>
      <c r="G297" s="1" t="s">
        <v>33</v>
      </c>
      <c r="H297" s="1" t="s">
        <v>59</v>
      </c>
      <c r="I297" s="1">
        <v>5</v>
      </c>
      <c r="J297" s="1">
        <v>1</v>
      </c>
      <c r="K297" s="1" t="s">
        <v>50</v>
      </c>
      <c r="L297" s="1" t="s">
        <v>19</v>
      </c>
    </row>
    <row r="298" spans="1:12" hidden="1" x14ac:dyDescent="0.2">
      <c r="A298" s="1">
        <v>1978</v>
      </c>
      <c r="B298" s="2" t="d">
        <v>1978-06-14</v>
      </c>
      <c r="C298" s="1" t="s">
        <v>248</v>
      </c>
      <c r="D298" s="12" t="s">
        <v>241</v>
      </c>
      <c r="E298" s="1" t="s">
        <v>256</v>
      </c>
      <c r="F298" s="1" t="s">
        <v>257</v>
      </c>
      <c r="G298" s="1" t="s">
        <v>33</v>
      </c>
      <c r="H298" s="1" t="s">
        <v>27</v>
      </c>
      <c r="I298" s="1">
        <v>3</v>
      </c>
      <c r="J298" s="1">
        <v>0</v>
      </c>
      <c r="K298" s="1" t="s">
        <v>31</v>
      </c>
      <c r="L298" s="1" t="s">
        <v>19</v>
      </c>
    </row>
    <row r="299" spans="1:12" hidden="1" x14ac:dyDescent="0.2">
      <c r="A299" s="1">
        <v>1978</v>
      </c>
      <c r="B299" s="2" t="d">
        <v>1978-06-14</v>
      </c>
      <c r="C299" s="1" t="s">
        <v>252</v>
      </c>
      <c r="D299" s="12" t="s">
        <v>241</v>
      </c>
      <c r="E299" s="1" t="s">
        <v>249</v>
      </c>
      <c r="F299" s="1" t="s">
        <v>250</v>
      </c>
      <c r="G299" s="1" t="s">
        <v>33</v>
      </c>
      <c r="H299" s="1" t="s">
        <v>33</v>
      </c>
      <c r="I299" s="1">
        <v>2</v>
      </c>
      <c r="J299" s="1">
        <v>0</v>
      </c>
      <c r="K299" s="1" t="s">
        <v>96</v>
      </c>
      <c r="L299" s="1" t="s">
        <v>19</v>
      </c>
    </row>
    <row r="300" spans="1:12" hidden="1" x14ac:dyDescent="0.2">
      <c r="A300" s="1">
        <v>1978</v>
      </c>
      <c r="B300" s="2" t="d">
        <v>1978-06-18</v>
      </c>
      <c r="C300" s="1" t="s">
        <v>245</v>
      </c>
      <c r="D300" s="12" t="s">
        <v>241</v>
      </c>
      <c r="E300" s="1" t="s">
        <v>256</v>
      </c>
      <c r="F300" s="1" t="s">
        <v>257</v>
      </c>
      <c r="G300" s="1" t="s">
        <v>33</v>
      </c>
      <c r="H300" s="1" t="s">
        <v>96</v>
      </c>
      <c r="I300" s="1">
        <v>1</v>
      </c>
      <c r="J300" s="1">
        <v>0</v>
      </c>
      <c r="K300" s="1" t="s">
        <v>31</v>
      </c>
      <c r="L300" s="1" t="s">
        <v>19</v>
      </c>
    </row>
    <row r="301" spans="1:12" hidden="1" x14ac:dyDescent="0.2">
      <c r="A301" s="1">
        <v>1978</v>
      </c>
      <c r="B301" s="2" t="d">
        <v>1978-06-18</v>
      </c>
      <c r="C301" s="1" t="s">
        <v>248</v>
      </c>
      <c r="D301" s="12" t="s">
        <v>242</v>
      </c>
      <c r="E301" s="1" t="s">
        <v>243</v>
      </c>
      <c r="F301" s="1" t="s">
        <v>244</v>
      </c>
      <c r="G301" s="1" t="s">
        <v>33</v>
      </c>
      <c r="H301" s="1" t="s">
        <v>49</v>
      </c>
      <c r="I301" s="1">
        <v>1</v>
      </c>
      <c r="J301" s="1">
        <v>0</v>
      </c>
      <c r="K301" s="1" t="s">
        <v>50</v>
      </c>
      <c r="L301" s="1" t="s">
        <v>19</v>
      </c>
    </row>
    <row r="302" spans="1:12" hidden="1" x14ac:dyDescent="0.2">
      <c r="A302" s="1">
        <v>1978</v>
      </c>
      <c r="B302" s="2" t="d">
        <v>1978-06-18</v>
      </c>
      <c r="C302" s="1" t="s">
        <v>248</v>
      </c>
      <c r="D302" s="12" t="s">
        <v>242</v>
      </c>
      <c r="E302" s="1" t="s">
        <v>254</v>
      </c>
      <c r="F302" s="1" t="s">
        <v>255</v>
      </c>
      <c r="G302" s="1" t="s">
        <v>33</v>
      </c>
      <c r="H302" s="1" t="s">
        <v>133</v>
      </c>
      <c r="I302" s="1">
        <v>2</v>
      </c>
      <c r="J302" s="1">
        <v>2</v>
      </c>
      <c r="K302" s="1" t="s">
        <v>59</v>
      </c>
      <c r="L302" s="1" t="s">
        <v>19</v>
      </c>
    </row>
    <row r="303" spans="1:12" x14ac:dyDescent="0.2">
      <c r="A303" s="1">
        <v>1978</v>
      </c>
      <c r="B303" s="2" t="d">
        <v>1978-06-18</v>
      </c>
      <c r="C303" s="1" t="s">
        <v>252</v>
      </c>
      <c r="D303" s="12" t="s">
        <v>241</v>
      </c>
      <c r="E303" s="1" t="s">
        <v>249</v>
      </c>
      <c r="F303" s="1" t="s">
        <v>250</v>
      </c>
      <c r="G303" s="1" t="s">
        <v>33</v>
      </c>
      <c r="H303" s="1" t="s">
        <v>33</v>
      </c>
      <c r="I303" s="1">
        <v>0</v>
      </c>
      <c r="J303" s="1">
        <v>0</v>
      </c>
      <c r="K303" s="1" t="s">
        <v>27</v>
      </c>
      <c r="L303" s="1" t="s">
        <v>19</v>
      </c>
    </row>
    <row r="304" spans="1:12" hidden="1" x14ac:dyDescent="0.2">
      <c r="A304" s="1">
        <v>1978</v>
      </c>
      <c r="B304" s="2" t="d">
        <v>1978-06-21</v>
      </c>
      <c r="C304" s="1" t="s">
        <v>245</v>
      </c>
      <c r="D304" s="12" t="s">
        <v>242</v>
      </c>
      <c r="E304" s="1" t="s">
        <v>243</v>
      </c>
      <c r="F304" s="1" t="s">
        <v>244</v>
      </c>
      <c r="G304" s="1" t="s">
        <v>33</v>
      </c>
      <c r="H304" s="1" t="s">
        <v>59</v>
      </c>
      <c r="I304" s="1">
        <v>2</v>
      </c>
      <c r="J304" s="1">
        <v>1</v>
      </c>
      <c r="K304" s="1" t="s">
        <v>49</v>
      </c>
      <c r="L304" s="1" t="s">
        <v>19</v>
      </c>
    </row>
    <row r="305" spans="1:12" hidden="1" x14ac:dyDescent="0.2">
      <c r="A305" s="1">
        <v>1978</v>
      </c>
      <c r="B305" s="2" t="d">
        <v>1978-06-21</v>
      </c>
      <c r="C305" s="1" t="s">
        <v>245</v>
      </c>
      <c r="D305" s="12" t="s">
        <v>242</v>
      </c>
      <c r="E305" s="1" t="s">
        <v>254</v>
      </c>
      <c r="F305" s="1" t="s">
        <v>255</v>
      </c>
      <c r="G305" s="1" t="s">
        <v>33</v>
      </c>
      <c r="H305" s="1" t="s">
        <v>50</v>
      </c>
      <c r="I305" s="1">
        <v>3</v>
      </c>
      <c r="J305" s="1">
        <v>2</v>
      </c>
      <c r="K305" s="1" t="s">
        <v>133</v>
      </c>
      <c r="L305" s="1" t="s">
        <v>19</v>
      </c>
    </row>
    <row r="306" spans="1:12" hidden="1" x14ac:dyDescent="0.2">
      <c r="A306" s="1">
        <v>1978</v>
      </c>
      <c r="B306" s="2" t="d">
        <v>1978-06-21</v>
      </c>
      <c r="C306" s="1" t="s">
        <v>248</v>
      </c>
      <c r="D306" s="12" t="s">
        <v>241</v>
      </c>
      <c r="E306" s="1" t="s">
        <v>256</v>
      </c>
      <c r="F306" s="1" t="s">
        <v>257</v>
      </c>
      <c r="G306" s="1" t="s">
        <v>33</v>
      </c>
      <c r="H306" s="1" t="s">
        <v>27</v>
      </c>
      <c r="I306" s="1">
        <v>3</v>
      </c>
      <c r="J306" s="1">
        <v>1</v>
      </c>
      <c r="K306" s="1" t="s">
        <v>96</v>
      </c>
      <c r="L306" s="1" t="s">
        <v>19</v>
      </c>
    </row>
    <row r="307" spans="1:12" hidden="1" x14ac:dyDescent="0.2">
      <c r="A307" s="1">
        <v>1978</v>
      </c>
      <c r="B307" s="2" t="d">
        <v>1978-06-21</v>
      </c>
      <c r="C307" s="1" t="s">
        <v>252</v>
      </c>
      <c r="D307" s="12" t="s">
        <v>241</v>
      </c>
      <c r="E307" s="1" t="s">
        <v>249</v>
      </c>
      <c r="F307" s="1" t="s">
        <v>250</v>
      </c>
      <c r="G307" s="1" t="s">
        <v>33</v>
      </c>
      <c r="H307" s="1" t="s">
        <v>33</v>
      </c>
      <c r="I307" s="1">
        <v>6</v>
      </c>
      <c r="J307" s="1">
        <v>0</v>
      </c>
      <c r="K307" s="1" t="s">
        <v>31</v>
      </c>
      <c r="L307" s="1" t="s">
        <v>19</v>
      </c>
    </row>
    <row r="308" spans="1:12" hidden="1" x14ac:dyDescent="0.2">
      <c r="A308" s="1">
        <v>1978</v>
      </c>
      <c r="B308" s="2" t="d">
        <v>1978-06-24</v>
      </c>
      <c r="C308" s="1" t="s">
        <v>12</v>
      </c>
      <c r="D308" s="12" t="s">
        <v>76</v>
      </c>
      <c r="E308" s="1" t="s">
        <v>243</v>
      </c>
      <c r="F308" s="1" t="s">
        <v>244</v>
      </c>
      <c r="G308" s="1" t="s">
        <v>33</v>
      </c>
      <c r="H308" s="1" t="s">
        <v>27</v>
      </c>
      <c r="I308" s="1">
        <v>2</v>
      </c>
      <c r="J308" s="1">
        <v>1</v>
      </c>
      <c r="K308" s="1" t="s">
        <v>49</v>
      </c>
      <c r="L308" s="1" t="s">
        <v>19</v>
      </c>
    </row>
    <row r="309" spans="1:12" hidden="1" x14ac:dyDescent="0.2">
      <c r="A309" s="1">
        <v>1978</v>
      </c>
      <c r="B309" s="2" t="d">
        <v>1978-06-25</v>
      </c>
      <c r="C309" s="1" t="s">
        <v>12</v>
      </c>
      <c r="D309" s="12" t="s">
        <v>44</v>
      </c>
      <c r="E309" s="1" t="s">
        <v>243</v>
      </c>
      <c r="F309" s="1" t="s">
        <v>244</v>
      </c>
      <c r="G309" s="1" t="s">
        <v>33</v>
      </c>
      <c r="H309" s="1" t="s">
        <v>33</v>
      </c>
      <c r="I309" s="1">
        <v>3</v>
      </c>
      <c r="J309" s="1">
        <v>1</v>
      </c>
      <c r="K309" s="1" t="s">
        <v>59</v>
      </c>
      <c r="L309" s="1" t="s">
        <v>261</v>
      </c>
    </row>
    <row r="310" spans="1:12" hidden="1" x14ac:dyDescent="0.2">
      <c r="A310" s="1">
        <v>1982</v>
      </c>
      <c r="B310" s="2" t="d">
        <v>1982-06-13</v>
      </c>
      <c r="C310" s="1" t="s">
        <v>262</v>
      </c>
      <c r="D310" s="1" t="s">
        <v>29</v>
      </c>
      <c r="E310" s="1" t="s">
        <v>263</v>
      </c>
      <c r="F310" s="1" t="s">
        <v>264</v>
      </c>
      <c r="G310" s="1" t="s">
        <v>68</v>
      </c>
      <c r="H310" s="1" t="s">
        <v>33</v>
      </c>
      <c r="I310" s="1">
        <v>0</v>
      </c>
      <c r="J310" s="1">
        <v>1</v>
      </c>
      <c r="K310" s="1" t="s">
        <v>23</v>
      </c>
      <c r="L310" s="1" t="s">
        <v>19</v>
      </c>
    </row>
    <row r="311" spans="1:12" hidden="1" x14ac:dyDescent="0.2">
      <c r="A311" s="1">
        <v>1982</v>
      </c>
      <c r="B311" s="2" t="d">
        <v>1982-06-14</v>
      </c>
      <c r="C311" s="1" t="s">
        <v>265</v>
      </c>
      <c r="D311" s="1" t="s">
        <v>13</v>
      </c>
      <c r="E311" s="1" t="s">
        <v>266</v>
      </c>
      <c r="F311" s="1" t="s">
        <v>267</v>
      </c>
      <c r="G311" s="1" t="s">
        <v>68</v>
      </c>
      <c r="H311" s="1" t="s">
        <v>49</v>
      </c>
      <c r="I311" s="1">
        <v>0</v>
      </c>
      <c r="J311" s="1">
        <v>0</v>
      </c>
      <c r="K311" s="1" t="s">
        <v>96</v>
      </c>
      <c r="L311" s="1" t="s">
        <v>19</v>
      </c>
    </row>
    <row r="312" spans="1:12" hidden="1" x14ac:dyDescent="0.2">
      <c r="A312" s="1">
        <v>1982</v>
      </c>
      <c r="B312" s="2" t="d">
        <v>1982-06-14</v>
      </c>
      <c r="C312" s="1" t="s">
        <v>268</v>
      </c>
      <c r="D312" s="1" t="s">
        <v>123</v>
      </c>
      <c r="E312" s="1" t="s">
        <v>269</v>
      </c>
      <c r="F312" s="1" t="s">
        <v>270</v>
      </c>
      <c r="G312" s="1" t="s">
        <v>68</v>
      </c>
      <c r="H312" s="1" t="s">
        <v>27</v>
      </c>
      <c r="I312" s="1">
        <v>2</v>
      </c>
      <c r="J312" s="1">
        <v>1</v>
      </c>
      <c r="K312" s="1" t="s">
        <v>151</v>
      </c>
      <c r="L312" s="1" t="s">
        <v>19</v>
      </c>
    </row>
    <row r="313" spans="1:12" hidden="1" x14ac:dyDescent="0.2">
      <c r="A313" s="1">
        <v>1982</v>
      </c>
      <c r="B313" s="2" t="d">
        <v>1982-06-15</v>
      </c>
      <c r="C313" s="1" t="s">
        <v>265</v>
      </c>
      <c r="D313" s="1" t="s">
        <v>13</v>
      </c>
      <c r="E313" s="1" t="s">
        <v>271</v>
      </c>
      <c r="F313" s="1" t="s">
        <v>272</v>
      </c>
      <c r="G313" s="1" t="s">
        <v>68</v>
      </c>
      <c r="H313" s="1" t="s">
        <v>31</v>
      </c>
      <c r="I313" s="1">
        <v>0</v>
      </c>
      <c r="J313" s="1">
        <v>0</v>
      </c>
      <c r="K313" s="1" t="s">
        <v>273</v>
      </c>
      <c r="L313" s="1" t="s">
        <v>19</v>
      </c>
    </row>
    <row r="314" spans="1:12" hidden="1" x14ac:dyDescent="0.2">
      <c r="A314" s="1">
        <v>1982</v>
      </c>
      <c r="B314" s="2" t="d">
        <v>1982-06-15</v>
      </c>
      <c r="C314" s="1" t="s">
        <v>268</v>
      </c>
      <c r="D314" s="1" t="s">
        <v>29</v>
      </c>
      <c r="E314" s="1" t="s">
        <v>274</v>
      </c>
      <c r="F314" s="1" t="s">
        <v>275</v>
      </c>
      <c r="G314" s="1" t="s">
        <v>68</v>
      </c>
      <c r="H314" s="1" t="s">
        <v>54</v>
      </c>
      <c r="I314" s="1">
        <v>10</v>
      </c>
      <c r="J314" s="1">
        <v>1</v>
      </c>
      <c r="K314" s="1" t="s">
        <v>217</v>
      </c>
      <c r="L314" s="1" t="s">
        <v>19</v>
      </c>
    </row>
    <row r="315" spans="1:12" hidden="1" x14ac:dyDescent="0.2">
      <c r="A315" s="1">
        <v>1982</v>
      </c>
      <c r="B315" s="2" t="d">
        <v>1982-06-15</v>
      </c>
      <c r="C315" s="1" t="s">
        <v>268</v>
      </c>
      <c r="D315" s="1" t="s">
        <v>123</v>
      </c>
      <c r="E315" s="1" t="s">
        <v>276</v>
      </c>
      <c r="F315" s="1" t="s">
        <v>277</v>
      </c>
      <c r="G315" s="1" t="s">
        <v>68</v>
      </c>
      <c r="H315" s="1" t="s">
        <v>128</v>
      </c>
      <c r="I315" s="1">
        <v>5</v>
      </c>
      <c r="J315" s="1">
        <v>2</v>
      </c>
      <c r="K315" s="1" t="s">
        <v>278</v>
      </c>
      <c r="L315" s="1" t="s">
        <v>19</v>
      </c>
    </row>
    <row r="316" spans="1:12" hidden="1" x14ac:dyDescent="0.2">
      <c r="A316" s="1">
        <v>1982</v>
      </c>
      <c r="B316" s="2" t="d">
        <v>1982-06-16</v>
      </c>
      <c r="C316" s="1" t="s">
        <v>265</v>
      </c>
      <c r="D316" s="1" t="s">
        <v>25</v>
      </c>
      <c r="E316" s="1" t="s">
        <v>279</v>
      </c>
      <c r="F316" s="1" t="s">
        <v>280</v>
      </c>
      <c r="G316" s="1" t="s">
        <v>68</v>
      </c>
      <c r="H316" s="1" t="s">
        <v>133</v>
      </c>
      <c r="I316" s="1">
        <v>1</v>
      </c>
      <c r="J316" s="1">
        <v>2</v>
      </c>
      <c r="K316" s="1" t="s">
        <v>281</v>
      </c>
      <c r="L316" s="1" t="s">
        <v>19</v>
      </c>
    </row>
    <row r="317" spans="1:12" hidden="1" x14ac:dyDescent="0.2">
      <c r="A317" s="1">
        <v>1982</v>
      </c>
      <c r="B317" s="2" t="d">
        <v>1982-06-16</v>
      </c>
      <c r="C317" s="1" t="s">
        <v>265</v>
      </c>
      <c r="D317" s="1" t="s">
        <v>20</v>
      </c>
      <c r="E317" s="1" t="s">
        <v>282</v>
      </c>
      <c r="F317" s="1" t="s">
        <v>283</v>
      </c>
      <c r="G317" s="1" t="s">
        <v>68</v>
      </c>
      <c r="H317" s="1" t="s">
        <v>110</v>
      </c>
      <c r="I317" s="1">
        <v>3</v>
      </c>
      <c r="J317" s="1">
        <v>1</v>
      </c>
      <c r="K317" s="1" t="s">
        <v>17</v>
      </c>
      <c r="L317" s="1" t="s">
        <v>19</v>
      </c>
    </row>
    <row r="318" spans="1:12" hidden="1" x14ac:dyDescent="0.2">
      <c r="A318" s="1">
        <v>1982</v>
      </c>
      <c r="B318" s="2" t="d">
        <v>1982-06-16</v>
      </c>
      <c r="C318" s="1" t="s">
        <v>268</v>
      </c>
      <c r="D318" s="1" t="s">
        <v>284</v>
      </c>
      <c r="E318" s="1" t="s">
        <v>285</v>
      </c>
      <c r="F318" s="1" t="s">
        <v>286</v>
      </c>
      <c r="G318" s="1" t="s">
        <v>68</v>
      </c>
      <c r="H318" s="1" t="s">
        <v>68</v>
      </c>
      <c r="I318" s="1">
        <v>1</v>
      </c>
      <c r="J318" s="1">
        <v>1</v>
      </c>
      <c r="K318" s="1" t="s">
        <v>287</v>
      </c>
      <c r="L318" s="1" t="s">
        <v>19</v>
      </c>
    </row>
    <row r="319" spans="1:12" hidden="1" x14ac:dyDescent="0.2">
      <c r="A319" s="1">
        <v>1982</v>
      </c>
      <c r="B319" s="2" t="d">
        <v>1982-06-17</v>
      </c>
      <c r="C319" s="1" t="s">
        <v>265</v>
      </c>
      <c r="D319" s="1" t="s">
        <v>25</v>
      </c>
      <c r="E319" s="1" t="s">
        <v>288</v>
      </c>
      <c r="F319" s="1" t="s">
        <v>289</v>
      </c>
      <c r="G319" s="1" t="s">
        <v>68</v>
      </c>
      <c r="H319" s="1" t="s">
        <v>35</v>
      </c>
      <c r="I319" s="1">
        <v>0</v>
      </c>
      <c r="J319" s="1">
        <v>1</v>
      </c>
      <c r="K319" s="1" t="s">
        <v>50</v>
      </c>
      <c r="L319" s="1" t="s">
        <v>19</v>
      </c>
    </row>
    <row r="320" spans="1:12" hidden="1" x14ac:dyDescent="0.2">
      <c r="A320" s="1">
        <v>1982</v>
      </c>
      <c r="B320" s="2" t="d">
        <v>1982-06-17</v>
      </c>
      <c r="C320" s="1" t="s">
        <v>290</v>
      </c>
      <c r="D320" s="1" t="s">
        <v>20</v>
      </c>
      <c r="E320" s="1" t="s">
        <v>291</v>
      </c>
      <c r="F320" s="1" t="s">
        <v>292</v>
      </c>
      <c r="G320" s="1" t="s">
        <v>68</v>
      </c>
      <c r="H320" s="1" t="s">
        <v>73</v>
      </c>
      <c r="I320" s="1">
        <v>1</v>
      </c>
      <c r="J320" s="1">
        <v>1</v>
      </c>
      <c r="K320" s="1" t="s">
        <v>293</v>
      </c>
      <c r="L320" s="1" t="s">
        <v>19</v>
      </c>
    </row>
    <row r="321" spans="1:12" hidden="1" x14ac:dyDescent="0.2">
      <c r="A321" s="1">
        <v>1982</v>
      </c>
      <c r="B321" s="2" t="d">
        <v>1982-06-17</v>
      </c>
      <c r="C321" s="1" t="s">
        <v>268</v>
      </c>
      <c r="D321" s="1" t="s">
        <v>284</v>
      </c>
      <c r="E321" s="1" t="s">
        <v>294</v>
      </c>
      <c r="F321" s="1" t="s">
        <v>295</v>
      </c>
      <c r="G321" s="1" t="s">
        <v>68</v>
      </c>
      <c r="H321" s="1" t="s">
        <v>26</v>
      </c>
      <c r="I321" s="1">
        <v>0</v>
      </c>
      <c r="J321" s="1">
        <v>0</v>
      </c>
      <c r="K321" s="1" t="s">
        <v>165</v>
      </c>
      <c r="L321" s="1" t="s">
        <v>19</v>
      </c>
    </row>
    <row r="322" spans="1:12" hidden="1" x14ac:dyDescent="0.2">
      <c r="A322" s="1">
        <v>1982</v>
      </c>
      <c r="B322" s="2" t="d">
        <v>1982-06-18</v>
      </c>
      <c r="C322" s="1" t="s">
        <v>265</v>
      </c>
      <c r="D322" s="1" t="s">
        <v>13</v>
      </c>
      <c r="E322" s="1" t="s">
        <v>266</v>
      </c>
      <c r="F322" s="1" t="s">
        <v>267</v>
      </c>
      <c r="G322" s="1" t="s">
        <v>68</v>
      </c>
      <c r="H322" s="1" t="s">
        <v>49</v>
      </c>
      <c r="I322" s="1">
        <v>1</v>
      </c>
      <c r="J322" s="1">
        <v>1</v>
      </c>
      <c r="K322" s="1" t="s">
        <v>31</v>
      </c>
      <c r="L322" s="1" t="s">
        <v>19</v>
      </c>
    </row>
    <row r="323" spans="1:12" hidden="1" x14ac:dyDescent="0.2">
      <c r="A323" s="1">
        <v>1982</v>
      </c>
      <c r="B323" s="2" t="d">
        <v>1982-06-18</v>
      </c>
      <c r="C323" s="1" t="s">
        <v>268</v>
      </c>
      <c r="D323" s="1" t="s">
        <v>29</v>
      </c>
      <c r="E323" s="1" t="s">
        <v>296</v>
      </c>
      <c r="F323" s="1" t="s">
        <v>297</v>
      </c>
      <c r="G323" s="1" t="s">
        <v>68</v>
      </c>
      <c r="H323" s="1" t="s">
        <v>33</v>
      </c>
      <c r="I323" s="1">
        <v>4</v>
      </c>
      <c r="J323" s="1">
        <v>1</v>
      </c>
      <c r="K323" s="1" t="s">
        <v>54</v>
      </c>
      <c r="L323" s="1" t="s">
        <v>19</v>
      </c>
    </row>
    <row r="324" spans="1:12" hidden="1" x14ac:dyDescent="0.2">
      <c r="A324" s="1">
        <v>1982</v>
      </c>
      <c r="B324" s="2" t="d">
        <v>1982-06-18</v>
      </c>
      <c r="C324" s="1" t="s">
        <v>268</v>
      </c>
      <c r="D324" s="1" t="s">
        <v>123</v>
      </c>
      <c r="E324" s="1" t="s">
        <v>298</v>
      </c>
      <c r="F324" s="1" t="s">
        <v>270</v>
      </c>
      <c r="G324" s="1" t="s">
        <v>68</v>
      </c>
      <c r="H324" s="1" t="s">
        <v>27</v>
      </c>
      <c r="I324" s="1">
        <v>4</v>
      </c>
      <c r="J324" s="1">
        <v>1</v>
      </c>
      <c r="K324" s="1" t="s">
        <v>128</v>
      </c>
      <c r="L324" s="1" t="s">
        <v>19</v>
      </c>
    </row>
    <row r="325" spans="1:12" hidden="1" x14ac:dyDescent="0.2">
      <c r="A325" s="1">
        <v>1982</v>
      </c>
      <c r="B325" s="2" t="d">
        <v>1982-06-19</v>
      </c>
      <c r="C325" s="1" t="s">
        <v>252</v>
      </c>
      <c r="D325" s="1" t="s">
        <v>13</v>
      </c>
      <c r="E325" s="1" t="s">
        <v>271</v>
      </c>
      <c r="F325" s="1" t="s">
        <v>272</v>
      </c>
      <c r="G325" s="1" t="s">
        <v>68</v>
      </c>
      <c r="H325" s="1" t="s">
        <v>96</v>
      </c>
      <c r="I325" s="1">
        <v>0</v>
      </c>
      <c r="J325" s="1">
        <v>0</v>
      </c>
      <c r="K325" s="1" t="s">
        <v>273</v>
      </c>
      <c r="L325" s="1" t="s">
        <v>19</v>
      </c>
    </row>
    <row r="326" spans="1:12" hidden="1" x14ac:dyDescent="0.2">
      <c r="A326" s="1">
        <v>1982</v>
      </c>
      <c r="B326" s="2" t="d">
        <v>1982-06-19</v>
      </c>
      <c r="C326" s="1" t="s">
        <v>268</v>
      </c>
      <c r="D326" s="1" t="s">
        <v>29</v>
      </c>
      <c r="E326" s="1" t="s">
        <v>274</v>
      </c>
      <c r="F326" s="1" t="s">
        <v>275</v>
      </c>
      <c r="G326" s="1" t="s">
        <v>68</v>
      </c>
      <c r="H326" s="1" t="s">
        <v>23</v>
      </c>
      <c r="I326" s="1">
        <v>1</v>
      </c>
      <c r="J326" s="1">
        <v>0</v>
      </c>
      <c r="K326" s="1" t="s">
        <v>217</v>
      </c>
      <c r="L326" s="1" t="s">
        <v>19</v>
      </c>
    </row>
    <row r="327" spans="1:12" hidden="1" x14ac:dyDescent="0.2">
      <c r="A327" s="1">
        <v>1982</v>
      </c>
      <c r="B327" s="2" t="d">
        <v>1982-06-19</v>
      </c>
      <c r="C327" s="1" t="s">
        <v>268</v>
      </c>
      <c r="D327" s="1" t="s">
        <v>123</v>
      </c>
      <c r="E327" s="1" t="s">
        <v>276</v>
      </c>
      <c r="F327" s="1" t="s">
        <v>277</v>
      </c>
      <c r="G327" s="1" t="s">
        <v>68</v>
      </c>
      <c r="H327" s="1" t="s">
        <v>151</v>
      </c>
      <c r="I327" s="1">
        <v>3</v>
      </c>
      <c r="J327" s="1">
        <v>0</v>
      </c>
      <c r="K327" s="1" t="s">
        <v>278</v>
      </c>
      <c r="L327" s="1" t="s">
        <v>19</v>
      </c>
    </row>
    <row r="328" spans="1:12" hidden="1" x14ac:dyDescent="0.2">
      <c r="A328" s="1">
        <v>1982</v>
      </c>
      <c r="B328" s="2" t="d">
        <v>1982-06-20</v>
      </c>
      <c r="C328" s="1" t="s">
        <v>265</v>
      </c>
      <c r="D328" s="1" t="s">
        <v>25</v>
      </c>
      <c r="E328" s="1" t="s">
        <v>279</v>
      </c>
      <c r="F328" s="1" t="s">
        <v>280</v>
      </c>
      <c r="G328" s="1" t="s">
        <v>68</v>
      </c>
      <c r="H328" s="1" t="s">
        <v>133</v>
      </c>
      <c r="I328" s="1">
        <v>4</v>
      </c>
      <c r="J328" s="1">
        <v>1</v>
      </c>
      <c r="K328" s="1" t="s">
        <v>35</v>
      </c>
      <c r="L328" s="1" t="s">
        <v>19</v>
      </c>
    </row>
    <row r="329" spans="1:12" hidden="1" x14ac:dyDescent="0.2">
      <c r="A329" s="1">
        <v>1982</v>
      </c>
      <c r="B329" s="2" t="d">
        <v>1982-06-20</v>
      </c>
      <c r="C329" s="1" t="s">
        <v>265</v>
      </c>
      <c r="D329" s="1" t="s">
        <v>20</v>
      </c>
      <c r="E329" s="1" t="s">
        <v>282</v>
      </c>
      <c r="F329" s="1" t="s">
        <v>283</v>
      </c>
      <c r="G329" s="1" t="s">
        <v>68</v>
      </c>
      <c r="H329" s="1" t="s">
        <v>110</v>
      </c>
      <c r="I329" s="1">
        <v>2</v>
      </c>
      <c r="J329" s="1">
        <v>0</v>
      </c>
      <c r="K329" s="1" t="s">
        <v>73</v>
      </c>
      <c r="L329" s="1" t="s">
        <v>19</v>
      </c>
    </row>
    <row r="330" spans="1:12" hidden="1" x14ac:dyDescent="0.2">
      <c r="A330" s="1">
        <v>1982</v>
      </c>
      <c r="B330" s="2" t="d">
        <v>1982-06-20</v>
      </c>
      <c r="C330" s="1" t="s">
        <v>268</v>
      </c>
      <c r="D330" s="1" t="s">
        <v>284</v>
      </c>
      <c r="E330" s="1" t="s">
        <v>285</v>
      </c>
      <c r="F330" s="1" t="s">
        <v>286</v>
      </c>
      <c r="G330" s="1" t="s">
        <v>68</v>
      </c>
      <c r="H330" s="1" t="s">
        <v>68</v>
      </c>
      <c r="I330" s="1">
        <v>2</v>
      </c>
      <c r="J330" s="1">
        <v>1</v>
      </c>
      <c r="K330" s="1" t="s">
        <v>26</v>
      </c>
      <c r="L330" s="1" t="s">
        <v>19</v>
      </c>
    </row>
    <row r="331" spans="1:12" hidden="1" x14ac:dyDescent="0.2">
      <c r="A331" s="1">
        <v>1982</v>
      </c>
      <c r="B331" s="2" t="d">
        <v>1982-06-21</v>
      </c>
      <c r="C331" s="1" t="s">
        <v>265</v>
      </c>
      <c r="D331" s="1" t="s">
        <v>25</v>
      </c>
      <c r="E331" s="1" t="s">
        <v>288</v>
      </c>
      <c r="F331" s="1" t="s">
        <v>289</v>
      </c>
      <c r="G331" s="1" t="s">
        <v>68</v>
      </c>
      <c r="H331" s="1" t="s">
        <v>281</v>
      </c>
      <c r="I331" s="1">
        <v>0</v>
      </c>
      <c r="J331" s="1">
        <v>2</v>
      </c>
      <c r="K331" s="1" t="s">
        <v>50</v>
      </c>
      <c r="L331" s="1" t="s">
        <v>19</v>
      </c>
    </row>
    <row r="332" spans="1:12" hidden="1" x14ac:dyDescent="0.2">
      <c r="A332" s="1">
        <v>1982</v>
      </c>
      <c r="B332" s="2" t="d">
        <v>1982-06-21</v>
      </c>
      <c r="C332" s="1" t="s">
        <v>265</v>
      </c>
      <c r="D332" s="1" t="s">
        <v>20</v>
      </c>
      <c r="E332" s="1" t="s">
        <v>291</v>
      </c>
      <c r="F332" s="1" t="s">
        <v>292</v>
      </c>
      <c r="G332" s="1" t="s">
        <v>68</v>
      </c>
      <c r="H332" s="1" t="s">
        <v>17</v>
      </c>
      <c r="I332" s="1">
        <v>4</v>
      </c>
      <c r="J332" s="1">
        <v>1</v>
      </c>
      <c r="K332" s="1" t="s">
        <v>293</v>
      </c>
      <c r="L332" s="1" t="s">
        <v>19</v>
      </c>
    </row>
    <row r="333" spans="1:12" hidden="1" x14ac:dyDescent="0.2">
      <c r="A333" s="1">
        <v>1982</v>
      </c>
      <c r="B333" s="2" t="d">
        <v>1982-06-21</v>
      </c>
      <c r="C333" s="1" t="s">
        <v>268</v>
      </c>
      <c r="D333" s="1" t="s">
        <v>284</v>
      </c>
      <c r="E333" s="1" t="s">
        <v>294</v>
      </c>
      <c r="F333" s="1" t="s">
        <v>295</v>
      </c>
      <c r="G333" s="1" t="s">
        <v>68</v>
      </c>
      <c r="H333" s="1" t="s">
        <v>287</v>
      </c>
      <c r="I333" s="1">
        <v>1</v>
      </c>
      <c r="J333" s="1">
        <v>1</v>
      </c>
      <c r="K333" s="1" t="s">
        <v>165</v>
      </c>
      <c r="L333" s="1" t="s">
        <v>19</v>
      </c>
    </row>
    <row r="334" spans="1:12" hidden="1" x14ac:dyDescent="0.2">
      <c r="A334" s="1">
        <v>1982</v>
      </c>
      <c r="B334" s="2" t="d">
        <v>1982-06-22</v>
      </c>
      <c r="C334" s="1" t="s">
        <v>265</v>
      </c>
      <c r="D334" s="1" t="s">
        <v>13</v>
      </c>
      <c r="E334" s="1" t="s">
        <v>271</v>
      </c>
      <c r="F334" s="1" t="s">
        <v>272</v>
      </c>
      <c r="G334" s="1" t="s">
        <v>68</v>
      </c>
      <c r="H334" s="1" t="s">
        <v>96</v>
      </c>
      <c r="I334" s="1">
        <v>5</v>
      </c>
      <c r="J334" s="1">
        <v>1</v>
      </c>
      <c r="K334" s="1" t="s">
        <v>31</v>
      </c>
      <c r="L334" s="1" t="s">
        <v>19</v>
      </c>
    </row>
    <row r="335" spans="1:12" hidden="1" x14ac:dyDescent="0.2">
      <c r="A335" s="1">
        <v>1982</v>
      </c>
      <c r="B335" s="2" t="d">
        <v>1982-06-22</v>
      </c>
      <c r="C335" s="1" t="s">
        <v>268</v>
      </c>
      <c r="D335" s="1" t="s">
        <v>29</v>
      </c>
      <c r="E335" s="1" t="s">
        <v>274</v>
      </c>
      <c r="F335" s="1" t="s">
        <v>275</v>
      </c>
      <c r="G335" s="1" t="s">
        <v>68</v>
      </c>
      <c r="H335" s="1" t="s">
        <v>23</v>
      </c>
      <c r="I335" s="1">
        <v>1</v>
      </c>
      <c r="J335" s="1">
        <v>1</v>
      </c>
      <c r="K335" s="1" t="s">
        <v>54</v>
      </c>
      <c r="L335" s="1" t="s">
        <v>19</v>
      </c>
    </row>
    <row r="336" spans="1:12" hidden="1" x14ac:dyDescent="0.2">
      <c r="A336" s="1">
        <v>1982</v>
      </c>
      <c r="B336" s="2" t="d">
        <v>1982-06-22</v>
      </c>
      <c r="C336" s="1" t="s">
        <v>268</v>
      </c>
      <c r="D336" s="1" t="s">
        <v>123</v>
      </c>
      <c r="E336" s="1" t="s">
        <v>276</v>
      </c>
      <c r="F336" s="1" t="s">
        <v>277</v>
      </c>
      <c r="G336" s="1" t="s">
        <v>68</v>
      </c>
      <c r="H336" s="1" t="s">
        <v>151</v>
      </c>
      <c r="I336" s="1">
        <v>2</v>
      </c>
      <c r="J336" s="1">
        <v>2</v>
      </c>
      <c r="K336" s="1" t="s">
        <v>128</v>
      </c>
      <c r="L336" s="1" t="s">
        <v>19</v>
      </c>
    </row>
    <row r="337" spans="1:12" hidden="1" x14ac:dyDescent="0.2">
      <c r="A337" s="1">
        <v>1982</v>
      </c>
      <c r="B337" s="2" t="d">
        <v>1982-06-23</v>
      </c>
      <c r="C337" s="1" t="s">
        <v>265</v>
      </c>
      <c r="D337" s="1" t="s">
        <v>13</v>
      </c>
      <c r="E337" s="1" t="s">
        <v>266</v>
      </c>
      <c r="F337" s="1" t="s">
        <v>267</v>
      </c>
      <c r="G337" s="1" t="s">
        <v>68</v>
      </c>
      <c r="H337" s="1" t="s">
        <v>49</v>
      </c>
      <c r="I337" s="1">
        <v>1</v>
      </c>
      <c r="J337" s="1">
        <v>1</v>
      </c>
      <c r="K337" s="1" t="s">
        <v>273</v>
      </c>
      <c r="L337" s="1" t="s">
        <v>19</v>
      </c>
    </row>
    <row r="338" spans="1:12" hidden="1" x14ac:dyDescent="0.2">
      <c r="A338" s="1">
        <v>1982</v>
      </c>
      <c r="B338" s="2" t="d">
        <v>1982-06-23</v>
      </c>
      <c r="C338" s="1" t="s">
        <v>268</v>
      </c>
      <c r="D338" s="1" t="s">
        <v>29</v>
      </c>
      <c r="E338" s="1" t="s">
        <v>296</v>
      </c>
      <c r="F338" s="1" t="s">
        <v>297</v>
      </c>
      <c r="G338" s="1" t="s">
        <v>68</v>
      </c>
      <c r="H338" s="1" t="s">
        <v>33</v>
      </c>
      <c r="I338" s="1">
        <v>2</v>
      </c>
      <c r="J338" s="1">
        <v>0</v>
      </c>
      <c r="K338" s="1" t="s">
        <v>217</v>
      </c>
      <c r="L338" s="1" t="s">
        <v>19</v>
      </c>
    </row>
    <row r="339" spans="1:12" hidden="1" x14ac:dyDescent="0.2">
      <c r="A339" s="1">
        <v>1982</v>
      </c>
      <c r="B339" s="2" t="d">
        <v>1982-06-23</v>
      </c>
      <c r="C339" s="1" t="s">
        <v>268</v>
      </c>
      <c r="D339" s="1" t="s">
        <v>123</v>
      </c>
      <c r="E339" s="1" t="s">
        <v>298</v>
      </c>
      <c r="F339" s="1" t="s">
        <v>270</v>
      </c>
      <c r="G339" s="1" t="s">
        <v>68</v>
      </c>
      <c r="H339" s="1" t="s">
        <v>27</v>
      </c>
      <c r="I339" s="1">
        <v>4</v>
      </c>
      <c r="J339" s="1">
        <v>0</v>
      </c>
      <c r="K339" s="1" t="s">
        <v>278</v>
      </c>
      <c r="L339" s="1" t="s">
        <v>19</v>
      </c>
    </row>
    <row r="340" spans="1:12" hidden="1" x14ac:dyDescent="0.2">
      <c r="A340" s="1">
        <v>1982</v>
      </c>
      <c r="B340" s="2" t="d">
        <v>1982-06-24</v>
      </c>
      <c r="C340" s="1" t="s">
        <v>265</v>
      </c>
      <c r="D340" s="1" t="s">
        <v>25</v>
      </c>
      <c r="E340" s="1" t="s">
        <v>288</v>
      </c>
      <c r="F340" s="1" t="s">
        <v>289</v>
      </c>
      <c r="G340" s="1" t="s">
        <v>68</v>
      </c>
      <c r="H340" s="1" t="s">
        <v>281</v>
      </c>
      <c r="I340" s="1">
        <v>3</v>
      </c>
      <c r="J340" s="1">
        <v>2</v>
      </c>
      <c r="K340" s="1" t="s">
        <v>35</v>
      </c>
      <c r="L340" s="1" t="s">
        <v>19</v>
      </c>
    </row>
    <row r="341" spans="1:12" hidden="1" x14ac:dyDescent="0.2">
      <c r="A341" s="1">
        <v>1982</v>
      </c>
      <c r="B341" s="2" t="d">
        <v>1982-06-24</v>
      </c>
      <c r="C341" s="1" t="s">
        <v>265</v>
      </c>
      <c r="D341" s="1" t="s">
        <v>20</v>
      </c>
      <c r="E341" s="1" t="s">
        <v>291</v>
      </c>
      <c r="F341" s="1" t="s">
        <v>292</v>
      </c>
      <c r="G341" s="1" t="s">
        <v>68</v>
      </c>
      <c r="H341" s="1" t="s">
        <v>17</v>
      </c>
      <c r="I341" s="1">
        <v>1</v>
      </c>
      <c r="J341" s="1">
        <v>1</v>
      </c>
      <c r="K341" s="1" t="s">
        <v>73</v>
      </c>
      <c r="L341" s="1" t="s">
        <v>19</v>
      </c>
    </row>
    <row r="342" spans="1:12" hidden="1" x14ac:dyDescent="0.2">
      <c r="A342" s="1">
        <v>1982</v>
      </c>
      <c r="B342" s="2" t="d">
        <v>1982-06-24</v>
      </c>
      <c r="C342" s="1" t="s">
        <v>268</v>
      </c>
      <c r="D342" s="1" t="s">
        <v>284</v>
      </c>
      <c r="E342" s="1" t="s">
        <v>294</v>
      </c>
      <c r="F342" s="1" t="s">
        <v>295</v>
      </c>
      <c r="G342" s="1" t="s">
        <v>68</v>
      </c>
      <c r="H342" s="1" t="s">
        <v>287</v>
      </c>
      <c r="I342" s="1">
        <v>0</v>
      </c>
      <c r="J342" s="1">
        <v>1</v>
      </c>
      <c r="K342" s="1" t="s">
        <v>26</v>
      </c>
      <c r="L342" s="1" t="s">
        <v>19</v>
      </c>
    </row>
    <row r="343" spans="1:12" hidden="1" x14ac:dyDescent="0.2">
      <c r="A343" s="1">
        <v>1982</v>
      </c>
      <c r="B343" s="2" t="d">
        <v>1982-06-25</v>
      </c>
      <c r="C343" s="1" t="s">
        <v>265</v>
      </c>
      <c r="D343" s="1" t="s">
        <v>25</v>
      </c>
      <c r="E343" s="1" t="s">
        <v>279</v>
      </c>
      <c r="F343" s="1" t="s">
        <v>280</v>
      </c>
      <c r="G343" s="1" t="s">
        <v>68</v>
      </c>
      <c r="H343" s="1" t="s">
        <v>133</v>
      </c>
      <c r="I343" s="1">
        <v>1</v>
      </c>
      <c r="J343" s="1">
        <v>0</v>
      </c>
      <c r="K343" s="1" t="s">
        <v>50</v>
      </c>
      <c r="L343" s="1" t="s">
        <v>19</v>
      </c>
    </row>
    <row r="344" spans="1:12" hidden="1" x14ac:dyDescent="0.2">
      <c r="A344" s="1">
        <v>1982</v>
      </c>
      <c r="B344" s="2" t="d">
        <v>1982-06-25</v>
      </c>
      <c r="C344" s="1" t="s">
        <v>265</v>
      </c>
      <c r="D344" s="1" t="s">
        <v>20</v>
      </c>
      <c r="E344" s="1" t="s">
        <v>282</v>
      </c>
      <c r="F344" s="1" t="s">
        <v>283</v>
      </c>
      <c r="G344" s="1" t="s">
        <v>68</v>
      </c>
      <c r="H344" s="1" t="s">
        <v>110</v>
      </c>
      <c r="I344" s="1">
        <v>1</v>
      </c>
      <c r="J344" s="1">
        <v>0</v>
      </c>
      <c r="K344" s="1" t="s">
        <v>293</v>
      </c>
      <c r="L344" s="1" t="s">
        <v>19</v>
      </c>
    </row>
    <row r="345" spans="1:12" hidden="1" x14ac:dyDescent="0.2">
      <c r="A345" s="1">
        <v>1982</v>
      </c>
      <c r="B345" s="2" t="d">
        <v>1982-06-25</v>
      </c>
      <c r="C345" s="1" t="s">
        <v>268</v>
      </c>
      <c r="D345" s="1" t="s">
        <v>284</v>
      </c>
      <c r="E345" s="1" t="s">
        <v>285</v>
      </c>
      <c r="F345" s="1" t="s">
        <v>286</v>
      </c>
      <c r="G345" s="1" t="s">
        <v>68</v>
      </c>
      <c r="H345" s="1" t="s">
        <v>165</v>
      </c>
      <c r="I345" s="1">
        <v>1</v>
      </c>
      <c r="J345" s="1">
        <v>0</v>
      </c>
      <c r="K345" s="1" t="s">
        <v>68</v>
      </c>
      <c r="L345" s="1" t="s">
        <v>19</v>
      </c>
    </row>
    <row r="346" spans="1:12" hidden="1" x14ac:dyDescent="0.2">
      <c r="A346" s="1">
        <v>1982</v>
      </c>
      <c r="B346" s="2" t="d">
        <v>1982-06-28</v>
      </c>
      <c r="C346" s="1" t="s">
        <v>265</v>
      </c>
      <c r="D346" s="1" t="s">
        <v>20</v>
      </c>
      <c r="E346" s="1" t="s">
        <v>299</v>
      </c>
      <c r="F346" s="1" t="s">
        <v>300</v>
      </c>
      <c r="G346" s="1" t="s">
        <v>68</v>
      </c>
      <c r="H346" s="1" t="s">
        <v>50</v>
      </c>
      <c r="I346" s="1">
        <v>0</v>
      </c>
      <c r="J346" s="1">
        <v>1</v>
      </c>
      <c r="K346" s="1" t="s">
        <v>17</v>
      </c>
      <c r="L346" s="1" t="s">
        <v>19</v>
      </c>
    </row>
    <row r="347" spans="1:12" hidden="1" x14ac:dyDescent="0.2">
      <c r="A347" s="1">
        <v>1982</v>
      </c>
      <c r="B347" s="2" t="d">
        <v>1982-06-28</v>
      </c>
      <c r="C347" s="1" t="s">
        <v>268</v>
      </c>
      <c r="D347" s="1" t="s">
        <v>13</v>
      </c>
      <c r="E347" s="1" t="s">
        <v>263</v>
      </c>
      <c r="F347" s="1" t="s">
        <v>264</v>
      </c>
      <c r="G347" s="1" t="s">
        <v>68</v>
      </c>
      <c r="H347" s="1" t="s">
        <v>96</v>
      </c>
      <c r="I347" s="1">
        <v>3</v>
      </c>
      <c r="J347" s="1">
        <v>0</v>
      </c>
      <c r="K347" s="1" t="s">
        <v>23</v>
      </c>
      <c r="L347" s="1" t="s">
        <v>19</v>
      </c>
    </row>
    <row r="348" spans="1:12" hidden="1" x14ac:dyDescent="0.2">
      <c r="A348" s="1">
        <v>1982</v>
      </c>
      <c r="B348" s="2" t="d">
        <v>1982-06-29</v>
      </c>
      <c r="C348" s="1" t="s">
        <v>265</v>
      </c>
      <c r="D348" s="1" t="s">
        <v>29</v>
      </c>
      <c r="E348" s="1" t="s">
        <v>301</v>
      </c>
      <c r="F348" s="1" t="s">
        <v>264</v>
      </c>
      <c r="G348" s="1" t="s">
        <v>68</v>
      </c>
      <c r="H348" s="1" t="s">
        <v>49</v>
      </c>
      <c r="I348" s="1">
        <v>2</v>
      </c>
      <c r="J348" s="1">
        <v>1</v>
      </c>
      <c r="K348" s="1" t="s">
        <v>33</v>
      </c>
      <c r="L348" s="1" t="s">
        <v>19</v>
      </c>
    </row>
    <row r="349" spans="1:12" hidden="1" x14ac:dyDescent="0.2">
      <c r="A349" s="1">
        <v>1982</v>
      </c>
      <c r="B349" s="2" t="d">
        <v>1982-06-29</v>
      </c>
      <c r="C349" s="1" t="s">
        <v>268</v>
      </c>
      <c r="D349" s="1" t="s">
        <v>25</v>
      </c>
      <c r="E349" s="1" t="s">
        <v>302</v>
      </c>
      <c r="F349" s="1" t="s">
        <v>300</v>
      </c>
      <c r="G349" s="1" t="s">
        <v>68</v>
      </c>
      <c r="H349" s="1" t="s">
        <v>133</v>
      </c>
      <c r="I349" s="1">
        <v>0</v>
      </c>
      <c r="J349" s="1">
        <v>0</v>
      </c>
      <c r="K349" s="1" t="s">
        <v>110</v>
      </c>
      <c r="L349" s="1" t="s">
        <v>19</v>
      </c>
    </row>
    <row r="350" spans="1:12" hidden="1" x14ac:dyDescent="0.2">
      <c r="A350" s="1">
        <v>1982</v>
      </c>
      <c r="B350" s="2" t="d">
        <v>1982-07-01</v>
      </c>
      <c r="C350" s="1" t="s">
        <v>265</v>
      </c>
      <c r="D350" s="1" t="s">
        <v>20</v>
      </c>
      <c r="E350" s="1" t="s">
        <v>299</v>
      </c>
      <c r="F350" s="1" t="s">
        <v>300</v>
      </c>
      <c r="G350" s="1" t="s">
        <v>68</v>
      </c>
      <c r="H350" s="1" t="s">
        <v>50</v>
      </c>
      <c r="I350" s="1">
        <v>2</v>
      </c>
      <c r="J350" s="1">
        <v>2</v>
      </c>
      <c r="K350" s="1" t="s">
        <v>165</v>
      </c>
      <c r="L350" s="1" t="s">
        <v>19</v>
      </c>
    </row>
    <row r="351" spans="1:12" hidden="1" x14ac:dyDescent="0.2">
      <c r="A351" s="1">
        <v>1982</v>
      </c>
      <c r="B351" s="2" t="d">
        <v>1982-07-01</v>
      </c>
      <c r="C351" s="1" t="s">
        <v>268</v>
      </c>
      <c r="D351" s="1" t="s">
        <v>13</v>
      </c>
      <c r="E351" s="1" t="s">
        <v>263</v>
      </c>
      <c r="F351" s="1" t="s">
        <v>264</v>
      </c>
      <c r="G351" s="1" t="s">
        <v>68</v>
      </c>
      <c r="H351" s="1" t="s">
        <v>23</v>
      </c>
      <c r="I351" s="1">
        <v>0</v>
      </c>
      <c r="J351" s="1">
        <v>1</v>
      </c>
      <c r="K351" s="1" t="s">
        <v>151</v>
      </c>
      <c r="L351" s="1" t="s">
        <v>19</v>
      </c>
    </row>
    <row r="352" spans="1:12" x14ac:dyDescent="0.2">
      <c r="A352" s="1">
        <v>1982</v>
      </c>
      <c r="B352" s="2" t="d">
        <v>1982-07-02</v>
      </c>
      <c r="C352" s="1" t="s">
        <v>265</v>
      </c>
      <c r="D352" s="1" t="s">
        <v>29</v>
      </c>
      <c r="E352" s="1" t="s">
        <v>301</v>
      </c>
      <c r="F352" s="1" t="s">
        <v>264</v>
      </c>
      <c r="G352" s="1" t="s">
        <v>68</v>
      </c>
      <c r="H352" s="1" t="s">
        <v>33</v>
      </c>
      <c r="I352" s="1">
        <v>1</v>
      </c>
      <c r="J352" s="1">
        <v>3</v>
      </c>
      <c r="K352" s="1" t="s">
        <v>27</v>
      </c>
      <c r="L352" s="1" t="s">
        <v>19</v>
      </c>
    </row>
    <row r="353" spans="1:12" hidden="1" x14ac:dyDescent="0.2">
      <c r="A353" s="1">
        <v>1982</v>
      </c>
      <c r="B353" s="2" t="d">
        <v>1982-07-02</v>
      </c>
      <c r="C353" s="1" t="s">
        <v>268</v>
      </c>
      <c r="D353" s="1" t="s">
        <v>25</v>
      </c>
      <c r="E353" s="1" t="s">
        <v>302</v>
      </c>
      <c r="F353" s="1" t="s">
        <v>300</v>
      </c>
      <c r="G353" s="1" t="s">
        <v>68</v>
      </c>
      <c r="H353" s="1" t="s">
        <v>133</v>
      </c>
      <c r="I353" s="1">
        <v>2</v>
      </c>
      <c r="J353" s="1">
        <v>1</v>
      </c>
      <c r="K353" s="1" t="s">
        <v>68</v>
      </c>
      <c r="L353" s="1" t="s">
        <v>19</v>
      </c>
    </row>
    <row r="354" spans="1:12" hidden="1" x14ac:dyDescent="0.2">
      <c r="A354" s="1">
        <v>1982</v>
      </c>
      <c r="B354" s="2" t="d">
        <v>1982-07-04</v>
      </c>
      <c r="C354" s="1" t="s">
        <v>265</v>
      </c>
      <c r="D354" s="1" t="s">
        <v>20</v>
      </c>
      <c r="E354" s="1" t="s">
        <v>299</v>
      </c>
      <c r="F354" s="1" t="s">
        <v>300</v>
      </c>
      <c r="G354" s="1" t="s">
        <v>68</v>
      </c>
      <c r="H354" s="1" t="s">
        <v>17</v>
      </c>
      <c r="I354" s="1">
        <v>4</v>
      </c>
      <c r="J354" s="1">
        <v>1</v>
      </c>
      <c r="K354" s="1" t="s">
        <v>165</v>
      </c>
      <c r="L354" s="1" t="s">
        <v>19</v>
      </c>
    </row>
    <row r="355" spans="1:12" hidden="1" x14ac:dyDescent="0.2">
      <c r="A355" s="1">
        <v>1982</v>
      </c>
      <c r="B355" s="2" t="d">
        <v>1982-07-04</v>
      </c>
      <c r="C355" s="1" t="s">
        <v>268</v>
      </c>
      <c r="D355" s="1" t="s">
        <v>13</v>
      </c>
      <c r="E355" s="1" t="s">
        <v>263</v>
      </c>
      <c r="F355" s="1" t="s">
        <v>264</v>
      </c>
      <c r="G355" s="1" t="s">
        <v>68</v>
      </c>
      <c r="H355" s="1" t="s">
        <v>96</v>
      </c>
      <c r="I355" s="1">
        <v>0</v>
      </c>
      <c r="J355" s="1">
        <v>0</v>
      </c>
      <c r="K355" s="1" t="s">
        <v>151</v>
      </c>
      <c r="L355" s="1" t="s">
        <v>19</v>
      </c>
    </row>
    <row r="356" spans="1:12" x14ac:dyDescent="0.2">
      <c r="A356" s="1">
        <v>1982</v>
      </c>
      <c r="B356" s="2" t="d">
        <v>1982-07-05</v>
      </c>
      <c r="C356" s="1" t="s">
        <v>265</v>
      </c>
      <c r="D356" s="1" t="s">
        <v>29</v>
      </c>
      <c r="E356" s="1" t="s">
        <v>301</v>
      </c>
      <c r="F356" s="1" t="s">
        <v>264</v>
      </c>
      <c r="G356" s="1" t="s">
        <v>68</v>
      </c>
      <c r="H356" s="1" t="s">
        <v>49</v>
      </c>
      <c r="I356" s="1">
        <v>3</v>
      </c>
      <c r="J356" s="1">
        <v>2</v>
      </c>
      <c r="K356" s="1" t="s">
        <v>27</v>
      </c>
      <c r="L356" s="1" t="s">
        <v>19</v>
      </c>
    </row>
    <row r="357" spans="1:12" hidden="1" x14ac:dyDescent="0.2">
      <c r="A357" s="1">
        <v>1982</v>
      </c>
      <c r="B357" s="2" t="d">
        <v>1982-07-05</v>
      </c>
      <c r="C357" s="1" t="s">
        <v>268</v>
      </c>
      <c r="D357" s="1" t="s">
        <v>25</v>
      </c>
      <c r="E357" s="1" t="s">
        <v>302</v>
      </c>
      <c r="F357" s="1" t="s">
        <v>300</v>
      </c>
      <c r="G357" s="1" t="s">
        <v>68</v>
      </c>
      <c r="H357" s="1" t="s">
        <v>68</v>
      </c>
      <c r="I357" s="1">
        <v>0</v>
      </c>
      <c r="J357" s="1">
        <v>0</v>
      </c>
      <c r="K357" s="1" t="s">
        <v>110</v>
      </c>
      <c r="L357" s="1" t="s">
        <v>19</v>
      </c>
    </row>
    <row r="358" spans="1:12" hidden="1" x14ac:dyDescent="0.2">
      <c r="A358" s="1">
        <v>1982</v>
      </c>
      <c r="B358" s="2" t="d">
        <v>1982-07-08</v>
      </c>
      <c r="C358" s="1" t="s">
        <v>265</v>
      </c>
      <c r="D358" s="12" t="s">
        <v>42</v>
      </c>
      <c r="E358" s="1" t="s">
        <v>263</v>
      </c>
      <c r="F358" s="1" t="s">
        <v>264</v>
      </c>
      <c r="G358" s="1" t="s">
        <v>68</v>
      </c>
      <c r="H358" s="1" t="s">
        <v>96</v>
      </c>
      <c r="I358" s="1">
        <v>0</v>
      </c>
      <c r="J358" s="1">
        <v>2</v>
      </c>
      <c r="K358" s="1" t="s">
        <v>49</v>
      </c>
      <c r="L358" s="1" t="s">
        <v>19</v>
      </c>
    </row>
    <row r="359" spans="1:12" hidden="1" x14ac:dyDescent="0.2">
      <c r="A359" s="1">
        <v>1982</v>
      </c>
      <c r="B359" s="2" t="d">
        <v>1982-07-08</v>
      </c>
      <c r="C359" s="1" t="s">
        <v>268</v>
      </c>
      <c r="D359" s="12" t="s">
        <v>42</v>
      </c>
      <c r="E359" s="1" t="s">
        <v>269</v>
      </c>
      <c r="F359" s="1" t="s">
        <v>270</v>
      </c>
      <c r="G359" s="1" t="s">
        <v>68</v>
      </c>
      <c r="H359" s="1" t="s">
        <v>133</v>
      </c>
      <c r="I359" s="1">
        <v>3</v>
      </c>
      <c r="J359" s="1">
        <v>3</v>
      </c>
      <c r="K359" s="1" t="s">
        <v>17</v>
      </c>
      <c r="L359" s="1" t="s">
        <v>303</v>
      </c>
    </row>
    <row r="360" spans="1:12" hidden="1" x14ac:dyDescent="0.2">
      <c r="A360" s="1">
        <v>1982</v>
      </c>
      <c r="B360" s="2" t="d">
        <v>1982-07-10</v>
      </c>
      <c r="C360" s="1" t="s">
        <v>262</v>
      </c>
      <c r="D360" s="12" t="s">
        <v>76</v>
      </c>
      <c r="E360" s="1" t="s">
        <v>296</v>
      </c>
      <c r="F360" s="1" t="s">
        <v>297</v>
      </c>
      <c r="G360" s="1" t="s">
        <v>68</v>
      </c>
      <c r="H360" s="1" t="s">
        <v>96</v>
      </c>
      <c r="I360" s="1">
        <v>3</v>
      </c>
      <c r="J360" s="1">
        <v>2</v>
      </c>
      <c r="K360" s="1" t="s">
        <v>17</v>
      </c>
      <c r="L360" s="1" t="s">
        <v>19</v>
      </c>
    </row>
    <row r="361" spans="1:12" hidden="1" x14ac:dyDescent="0.2">
      <c r="A361" s="1">
        <v>1982</v>
      </c>
      <c r="B361" s="2" t="d">
        <v>1982-07-11</v>
      </c>
      <c r="C361" s="1" t="s">
        <v>262</v>
      </c>
      <c r="D361" s="12" t="s">
        <v>44</v>
      </c>
      <c r="E361" s="1" t="s">
        <v>302</v>
      </c>
      <c r="F361" s="1" t="s">
        <v>300</v>
      </c>
      <c r="G361" s="1" t="s">
        <v>68</v>
      </c>
      <c r="H361" s="1" t="s">
        <v>49</v>
      </c>
      <c r="I361" s="1">
        <v>3</v>
      </c>
      <c r="J361" s="1">
        <v>1</v>
      </c>
      <c r="K361" s="1" t="s">
        <v>133</v>
      </c>
      <c r="L361" s="1" t="s">
        <v>19</v>
      </c>
    </row>
    <row r="362" spans="1:12" hidden="1" x14ac:dyDescent="0.2">
      <c r="A362" s="1">
        <v>1986</v>
      </c>
      <c r="B362" s="2" t="d">
        <v>1986-05-31</v>
      </c>
      <c r="C362" s="1" t="s">
        <v>204</v>
      </c>
      <c r="D362" s="1" t="s">
        <v>242</v>
      </c>
      <c r="E362" s="1" t="s">
        <v>205</v>
      </c>
      <c r="F362" s="1" t="s">
        <v>206</v>
      </c>
      <c r="G362" s="1" t="s">
        <v>18</v>
      </c>
      <c r="H362" s="1" t="s">
        <v>182</v>
      </c>
      <c r="I362" s="1">
        <v>1</v>
      </c>
      <c r="J362" s="1">
        <v>1</v>
      </c>
      <c r="K362" s="1" t="s">
        <v>49</v>
      </c>
      <c r="L362" s="1" t="s">
        <v>19</v>
      </c>
    </row>
    <row r="363" spans="1:12" hidden="1" x14ac:dyDescent="0.2">
      <c r="A363" s="1">
        <v>1986</v>
      </c>
      <c r="B363" s="2" t="d">
        <v>1986-06-01</v>
      </c>
      <c r="C363" s="1" t="s">
        <v>32</v>
      </c>
      <c r="D363" s="1" t="s">
        <v>304</v>
      </c>
      <c r="E363" s="1" t="s">
        <v>210</v>
      </c>
      <c r="F363" s="1" t="s">
        <v>211</v>
      </c>
      <c r="G363" s="1" t="s">
        <v>18</v>
      </c>
      <c r="H363" s="1" t="s">
        <v>305</v>
      </c>
      <c r="I363" s="1">
        <v>0</v>
      </c>
      <c r="J363" s="1">
        <v>1</v>
      </c>
      <c r="K363" s="1" t="s">
        <v>17</v>
      </c>
      <c r="L363" s="1" t="s">
        <v>19</v>
      </c>
    </row>
    <row r="364" spans="1:12" x14ac:dyDescent="0.2">
      <c r="A364" s="1">
        <v>1986</v>
      </c>
      <c r="B364" s="2" t="d">
        <v>1986-06-01</v>
      </c>
      <c r="C364" s="1" t="s">
        <v>204</v>
      </c>
      <c r="D364" s="1" t="s">
        <v>306</v>
      </c>
      <c r="E364" s="1" t="s">
        <v>212</v>
      </c>
      <c r="F364" s="1" t="s">
        <v>213</v>
      </c>
      <c r="G364" s="1" t="s">
        <v>18</v>
      </c>
      <c r="H364" s="1" t="s">
        <v>68</v>
      </c>
      <c r="I364" s="1">
        <v>0</v>
      </c>
      <c r="J364" s="1">
        <v>1</v>
      </c>
      <c r="K364" s="1" t="s">
        <v>27</v>
      </c>
      <c r="L364" s="1" t="s">
        <v>19</v>
      </c>
    </row>
    <row r="365" spans="1:12" hidden="1" x14ac:dyDescent="0.2">
      <c r="A365" s="1">
        <v>1986</v>
      </c>
      <c r="B365" s="2" t="d">
        <v>1986-06-02</v>
      </c>
      <c r="C365" s="1" t="s">
        <v>204</v>
      </c>
      <c r="D365" s="1" t="s">
        <v>304</v>
      </c>
      <c r="E365" s="1" t="s">
        <v>307</v>
      </c>
      <c r="F365" s="1" t="s">
        <v>308</v>
      </c>
      <c r="G365" s="1" t="s">
        <v>18</v>
      </c>
      <c r="H365" s="1" t="s">
        <v>151</v>
      </c>
      <c r="I365" s="1">
        <v>6</v>
      </c>
      <c r="J365" s="1">
        <v>0</v>
      </c>
      <c r="K365" s="1" t="s">
        <v>54</v>
      </c>
      <c r="L365" s="1" t="s">
        <v>19</v>
      </c>
    </row>
    <row r="366" spans="1:12" hidden="1" x14ac:dyDescent="0.2">
      <c r="A366" s="1">
        <v>1986</v>
      </c>
      <c r="B366" s="2" t="d">
        <v>1986-06-02</v>
      </c>
      <c r="C366" s="1" t="s">
        <v>204</v>
      </c>
      <c r="D366" s="1" t="s">
        <v>242</v>
      </c>
      <c r="E366" s="1" t="s">
        <v>309</v>
      </c>
      <c r="F366" s="1" t="s">
        <v>206</v>
      </c>
      <c r="G366" s="1" t="s">
        <v>18</v>
      </c>
      <c r="H366" s="1" t="s">
        <v>33</v>
      </c>
      <c r="I366" s="1">
        <v>3</v>
      </c>
      <c r="J366" s="1">
        <v>1</v>
      </c>
      <c r="K366" s="1" t="s">
        <v>135</v>
      </c>
      <c r="L366" s="1" t="s">
        <v>19</v>
      </c>
    </row>
    <row r="367" spans="1:12" hidden="1" x14ac:dyDescent="0.2">
      <c r="A367" s="1">
        <v>1986</v>
      </c>
      <c r="B367" s="2" t="d">
        <v>1986-06-02</v>
      </c>
      <c r="C367" s="1" t="s">
        <v>32</v>
      </c>
      <c r="D367" s="1" t="s">
        <v>310</v>
      </c>
      <c r="E367" s="1" t="s">
        <v>311</v>
      </c>
      <c r="F367" s="1" t="s">
        <v>312</v>
      </c>
      <c r="G367" s="1" t="s">
        <v>18</v>
      </c>
      <c r="H367" s="1" t="s">
        <v>216</v>
      </c>
      <c r="I367" s="1">
        <v>0</v>
      </c>
      <c r="J367" s="1">
        <v>0</v>
      </c>
      <c r="K367" s="1" t="s">
        <v>96</v>
      </c>
      <c r="L367" s="1" t="s">
        <v>19</v>
      </c>
    </row>
    <row r="368" spans="1:12" hidden="1" x14ac:dyDescent="0.2">
      <c r="A368" s="1">
        <v>1986</v>
      </c>
      <c r="B368" s="2" t="d">
        <v>1986-06-03</v>
      </c>
      <c r="C368" s="1" t="s">
        <v>204</v>
      </c>
      <c r="D368" s="1" t="s">
        <v>306</v>
      </c>
      <c r="E368" s="1" t="s">
        <v>313</v>
      </c>
      <c r="F368" s="1" t="s">
        <v>213</v>
      </c>
      <c r="G368" s="1" t="s">
        <v>18</v>
      </c>
      <c r="H368" s="1" t="s">
        <v>281</v>
      </c>
      <c r="I368" s="1">
        <v>1</v>
      </c>
      <c r="J368" s="1">
        <v>1</v>
      </c>
      <c r="K368" s="1" t="s">
        <v>165</v>
      </c>
      <c r="L368" s="1" t="s">
        <v>19</v>
      </c>
    </row>
    <row r="369" spans="1:12" hidden="1" x14ac:dyDescent="0.2">
      <c r="A369" s="1">
        <v>1986</v>
      </c>
      <c r="B369" s="2" t="d">
        <v>1986-06-03</v>
      </c>
      <c r="C369" s="1" t="s">
        <v>204</v>
      </c>
      <c r="D369" s="1" t="s">
        <v>241</v>
      </c>
      <c r="E369" s="1" t="s">
        <v>205</v>
      </c>
      <c r="F369" s="1" t="s">
        <v>206</v>
      </c>
      <c r="G369" s="1" t="s">
        <v>18</v>
      </c>
      <c r="H369" s="1" t="s">
        <v>23</v>
      </c>
      <c r="I369" s="1">
        <v>1</v>
      </c>
      <c r="J369" s="1">
        <v>2</v>
      </c>
      <c r="K369" s="1" t="s">
        <v>18</v>
      </c>
      <c r="L369" s="1" t="s">
        <v>19</v>
      </c>
    </row>
    <row r="370" spans="1:12" hidden="1" x14ac:dyDescent="0.2">
      <c r="A370" s="1">
        <v>1986</v>
      </c>
      <c r="B370" s="2" t="d">
        <v>1986-06-03</v>
      </c>
      <c r="C370" s="1" t="s">
        <v>32</v>
      </c>
      <c r="D370" s="1" t="s">
        <v>310</v>
      </c>
      <c r="E370" s="1" t="s">
        <v>314</v>
      </c>
      <c r="F370" s="1" t="s">
        <v>312</v>
      </c>
      <c r="G370" s="1" t="s">
        <v>18</v>
      </c>
      <c r="H370" s="1" t="s">
        <v>197</v>
      </c>
      <c r="I370" s="1">
        <v>1</v>
      </c>
      <c r="J370" s="1">
        <v>0</v>
      </c>
      <c r="K370" s="1" t="s">
        <v>110</v>
      </c>
      <c r="L370" s="1" t="s">
        <v>19</v>
      </c>
    </row>
    <row r="371" spans="1:12" hidden="1" x14ac:dyDescent="0.2">
      <c r="A371" s="1">
        <v>1986</v>
      </c>
      <c r="B371" s="2" t="d">
        <v>1986-06-04</v>
      </c>
      <c r="C371" s="1" t="s">
        <v>204</v>
      </c>
      <c r="D371" s="1" t="s">
        <v>241</v>
      </c>
      <c r="E371" s="1" t="s">
        <v>315</v>
      </c>
      <c r="F371" s="1" t="s">
        <v>215</v>
      </c>
      <c r="G371" s="1" t="s">
        <v>18</v>
      </c>
      <c r="H371" s="1" t="s">
        <v>37</v>
      </c>
      <c r="I371" s="1">
        <v>1</v>
      </c>
      <c r="J371" s="1">
        <v>0</v>
      </c>
      <c r="K371" s="1" t="s">
        <v>316</v>
      </c>
      <c r="L371" s="1" t="s">
        <v>19</v>
      </c>
    </row>
    <row r="372" spans="1:12" hidden="1" x14ac:dyDescent="0.2">
      <c r="A372" s="1">
        <v>1986</v>
      </c>
      <c r="B372" s="2" t="d">
        <v>1986-06-04</v>
      </c>
      <c r="C372" s="1" t="s">
        <v>32</v>
      </c>
      <c r="D372" s="1" t="s">
        <v>317</v>
      </c>
      <c r="E372" s="1" t="s">
        <v>318</v>
      </c>
      <c r="F372" s="1" t="s">
        <v>319</v>
      </c>
      <c r="G372" s="1" t="s">
        <v>18</v>
      </c>
      <c r="H372" s="1" t="s">
        <v>128</v>
      </c>
      <c r="I372" s="1">
        <v>0</v>
      </c>
      <c r="J372" s="1">
        <v>1</v>
      </c>
      <c r="K372" s="1" t="s">
        <v>320</v>
      </c>
      <c r="L372" s="1" t="s">
        <v>19</v>
      </c>
    </row>
    <row r="373" spans="1:12" hidden="1" x14ac:dyDescent="0.2">
      <c r="A373" s="1">
        <v>1986</v>
      </c>
      <c r="B373" s="2" t="d">
        <v>1986-06-04</v>
      </c>
      <c r="C373" s="1" t="s">
        <v>204</v>
      </c>
      <c r="D373" s="1" t="s">
        <v>317</v>
      </c>
      <c r="E373" s="1" t="s">
        <v>321</v>
      </c>
      <c r="F373" s="1" t="s">
        <v>322</v>
      </c>
      <c r="G373" s="1" t="s">
        <v>18</v>
      </c>
      <c r="H373" s="1" t="s">
        <v>16</v>
      </c>
      <c r="I373" s="1">
        <v>1</v>
      </c>
      <c r="J373" s="1">
        <v>1</v>
      </c>
      <c r="K373" s="1" t="s">
        <v>133</v>
      </c>
      <c r="L373" s="1" t="s">
        <v>19</v>
      </c>
    </row>
    <row r="374" spans="1:12" hidden="1" x14ac:dyDescent="0.2">
      <c r="A374" s="1">
        <v>1986</v>
      </c>
      <c r="B374" s="2" t="d">
        <v>1986-06-05</v>
      </c>
      <c r="C374" s="1" t="s">
        <v>204</v>
      </c>
      <c r="D374" s="1" t="s">
        <v>242</v>
      </c>
      <c r="E374" s="1" t="s">
        <v>207</v>
      </c>
      <c r="F374" s="1" t="s">
        <v>208</v>
      </c>
      <c r="G374" s="1" t="s">
        <v>18</v>
      </c>
      <c r="H374" s="1" t="s">
        <v>49</v>
      </c>
      <c r="I374" s="1">
        <v>1</v>
      </c>
      <c r="J374" s="1">
        <v>1</v>
      </c>
      <c r="K374" s="1" t="s">
        <v>33</v>
      </c>
      <c r="L374" s="1" t="s">
        <v>19</v>
      </c>
    </row>
    <row r="375" spans="1:12" hidden="1" x14ac:dyDescent="0.2">
      <c r="A375" s="1">
        <v>1986</v>
      </c>
      <c r="B375" s="2" t="d">
        <v>1986-06-05</v>
      </c>
      <c r="C375" s="1" t="s">
        <v>204</v>
      </c>
      <c r="D375" s="1" t="s">
        <v>304</v>
      </c>
      <c r="E375" s="1" t="s">
        <v>210</v>
      </c>
      <c r="F375" s="1" t="s">
        <v>211</v>
      </c>
      <c r="G375" s="1" t="s">
        <v>18</v>
      </c>
      <c r="H375" s="1" t="s">
        <v>17</v>
      </c>
      <c r="I375" s="1">
        <v>1</v>
      </c>
      <c r="J375" s="1">
        <v>1</v>
      </c>
      <c r="K375" s="1" t="s">
        <v>151</v>
      </c>
      <c r="L375" s="1" t="s">
        <v>19</v>
      </c>
    </row>
    <row r="376" spans="1:12" hidden="1" x14ac:dyDescent="0.2">
      <c r="A376" s="1">
        <v>1986</v>
      </c>
      <c r="B376" s="2" t="d">
        <v>1986-06-05</v>
      </c>
      <c r="C376" s="1" t="s">
        <v>32</v>
      </c>
      <c r="D376" s="1" t="s">
        <v>242</v>
      </c>
      <c r="E376" s="1" t="s">
        <v>309</v>
      </c>
      <c r="F376" s="1" t="s">
        <v>206</v>
      </c>
      <c r="G376" s="1" t="s">
        <v>18</v>
      </c>
      <c r="H376" s="1" t="s">
        <v>135</v>
      </c>
      <c r="I376" s="1">
        <v>1</v>
      </c>
      <c r="J376" s="1">
        <v>1</v>
      </c>
      <c r="K376" s="1" t="s">
        <v>182</v>
      </c>
      <c r="L376" s="1" t="s">
        <v>19</v>
      </c>
    </row>
    <row r="377" spans="1:12" hidden="1" x14ac:dyDescent="0.2">
      <c r="A377" s="1">
        <v>1986</v>
      </c>
      <c r="B377" s="2" t="d">
        <v>1986-06-06</v>
      </c>
      <c r="C377" s="1" t="s">
        <v>204</v>
      </c>
      <c r="D377" s="1" t="s">
        <v>304</v>
      </c>
      <c r="E377" s="1" t="s">
        <v>307</v>
      </c>
      <c r="F377" s="1" t="s">
        <v>308</v>
      </c>
      <c r="G377" s="1" t="s">
        <v>18</v>
      </c>
      <c r="H377" s="1" t="s">
        <v>54</v>
      </c>
      <c r="I377" s="1">
        <v>2</v>
      </c>
      <c r="J377" s="1">
        <v>0</v>
      </c>
      <c r="K377" s="1" t="s">
        <v>305</v>
      </c>
      <c r="L377" s="1" t="s">
        <v>19</v>
      </c>
    </row>
    <row r="378" spans="1:12" hidden="1" x14ac:dyDescent="0.2">
      <c r="A378" s="1">
        <v>1986</v>
      </c>
      <c r="B378" s="2" t="d">
        <v>1986-06-06</v>
      </c>
      <c r="C378" s="1" t="s">
        <v>204</v>
      </c>
      <c r="D378" s="1" t="s">
        <v>306</v>
      </c>
      <c r="E378" s="1" t="s">
        <v>212</v>
      </c>
      <c r="F378" s="1" t="s">
        <v>213</v>
      </c>
      <c r="G378" s="1" t="s">
        <v>18</v>
      </c>
      <c r="H378" s="1" t="s">
        <v>27</v>
      </c>
      <c r="I378" s="1">
        <v>1</v>
      </c>
      <c r="J378" s="1">
        <v>0</v>
      </c>
      <c r="K378" s="1" t="s">
        <v>281</v>
      </c>
      <c r="L378" s="1" t="s">
        <v>19</v>
      </c>
    </row>
    <row r="379" spans="1:12" hidden="1" x14ac:dyDescent="0.2">
      <c r="A379" s="1">
        <v>1986</v>
      </c>
      <c r="B379" s="2" t="d">
        <v>1986-06-06</v>
      </c>
      <c r="C379" s="1" t="s">
        <v>32</v>
      </c>
      <c r="D379" s="1" t="s">
        <v>310</v>
      </c>
      <c r="E379" s="1" t="s">
        <v>314</v>
      </c>
      <c r="F379" s="1" t="s">
        <v>312</v>
      </c>
      <c r="G379" s="1" t="s">
        <v>18</v>
      </c>
      <c r="H379" s="1" t="s">
        <v>110</v>
      </c>
      <c r="I379" s="1">
        <v>0</v>
      </c>
      <c r="J379" s="1">
        <v>0</v>
      </c>
      <c r="K379" s="1" t="s">
        <v>216</v>
      </c>
      <c r="L379" s="1" t="s">
        <v>19</v>
      </c>
    </row>
    <row r="380" spans="1:12" hidden="1" x14ac:dyDescent="0.2">
      <c r="A380" s="1">
        <v>1986</v>
      </c>
      <c r="B380" s="2" t="d">
        <v>1986-06-07</v>
      </c>
      <c r="C380" s="1" t="s">
        <v>204</v>
      </c>
      <c r="D380" s="1" t="s">
        <v>306</v>
      </c>
      <c r="E380" s="1" t="s">
        <v>313</v>
      </c>
      <c r="F380" s="1" t="s">
        <v>213</v>
      </c>
      <c r="G380" s="1" t="s">
        <v>18</v>
      </c>
      <c r="H380" s="1" t="s">
        <v>165</v>
      </c>
      <c r="I380" s="1">
        <v>1</v>
      </c>
      <c r="J380" s="1">
        <v>2</v>
      </c>
      <c r="K380" s="1" t="s">
        <v>68</v>
      </c>
      <c r="L380" s="1" t="s">
        <v>19</v>
      </c>
    </row>
    <row r="381" spans="1:12" hidden="1" x14ac:dyDescent="0.2">
      <c r="A381" s="1">
        <v>1986</v>
      </c>
      <c r="B381" s="2" t="d">
        <v>1986-06-07</v>
      </c>
      <c r="C381" s="1" t="s">
        <v>204</v>
      </c>
      <c r="D381" s="1" t="s">
        <v>241</v>
      </c>
      <c r="E381" s="1" t="s">
        <v>205</v>
      </c>
      <c r="F381" s="1" t="s">
        <v>206</v>
      </c>
      <c r="G381" s="1" t="s">
        <v>18</v>
      </c>
      <c r="H381" s="1" t="s">
        <v>18</v>
      </c>
      <c r="I381" s="1">
        <v>1</v>
      </c>
      <c r="J381" s="1">
        <v>1</v>
      </c>
      <c r="K381" s="1" t="s">
        <v>37</v>
      </c>
      <c r="L381" s="1" t="s">
        <v>19</v>
      </c>
    </row>
    <row r="382" spans="1:12" hidden="1" x14ac:dyDescent="0.2">
      <c r="A382" s="1">
        <v>1986</v>
      </c>
      <c r="B382" s="2" t="d">
        <v>1986-06-07</v>
      </c>
      <c r="C382" s="1" t="s">
        <v>32</v>
      </c>
      <c r="D382" s="1" t="s">
        <v>310</v>
      </c>
      <c r="E382" s="1" t="s">
        <v>311</v>
      </c>
      <c r="F382" s="1" t="s">
        <v>312</v>
      </c>
      <c r="G382" s="1" t="s">
        <v>18</v>
      </c>
      <c r="H382" s="1" t="s">
        <v>96</v>
      </c>
      <c r="I382" s="1">
        <v>1</v>
      </c>
      <c r="J382" s="1">
        <v>0</v>
      </c>
      <c r="K382" s="1" t="s">
        <v>197</v>
      </c>
      <c r="L382" s="1" t="s">
        <v>19</v>
      </c>
    </row>
    <row r="383" spans="1:12" hidden="1" x14ac:dyDescent="0.2">
      <c r="A383" s="1">
        <v>1986</v>
      </c>
      <c r="B383" s="2" t="d">
        <v>1986-06-08</v>
      </c>
      <c r="C383" s="1" t="s">
        <v>204</v>
      </c>
      <c r="D383" s="1" t="s">
        <v>241</v>
      </c>
      <c r="E383" s="1" t="s">
        <v>315</v>
      </c>
      <c r="F383" s="1" t="s">
        <v>215</v>
      </c>
      <c r="G383" s="1" t="s">
        <v>18</v>
      </c>
      <c r="H383" s="1" t="s">
        <v>316</v>
      </c>
      <c r="I383" s="1">
        <v>1</v>
      </c>
      <c r="J383" s="1">
        <v>2</v>
      </c>
      <c r="K383" s="1" t="s">
        <v>23</v>
      </c>
      <c r="L383" s="1" t="s">
        <v>19</v>
      </c>
    </row>
    <row r="384" spans="1:12" hidden="1" x14ac:dyDescent="0.2">
      <c r="A384" s="1">
        <v>1986</v>
      </c>
      <c r="B384" s="2" t="d">
        <v>1986-06-08</v>
      </c>
      <c r="C384" s="1" t="s">
        <v>32</v>
      </c>
      <c r="D384" s="1" t="s">
        <v>317</v>
      </c>
      <c r="E384" s="1" t="s">
        <v>318</v>
      </c>
      <c r="F384" s="1" t="s">
        <v>319</v>
      </c>
      <c r="G384" s="1" t="s">
        <v>18</v>
      </c>
      <c r="H384" s="1" t="s">
        <v>320</v>
      </c>
      <c r="I384" s="1">
        <v>6</v>
      </c>
      <c r="J384" s="1">
        <v>1</v>
      </c>
      <c r="K384" s="1" t="s">
        <v>16</v>
      </c>
      <c r="L384" s="1" t="s">
        <v>19</v>
      </c>
    </row>
    <row r="385" spans="1:12" hidden="1" x14ac:dyDescent="0.2">
      <c r="A385" s="1">
        <v>1986</v>
      </c>
      <c r="B385" s="2" t="d">
        <v>1986-06-08</v>
      </c>
      <c r="C385" s="1" t="s">
        <v>204</v>
      </c>
      <c r="D385" s="1" t="s">
        <v>317</v>
      </c>
      <c r="E385" s="1" t="s">
        <v>321</v>
      </c>
      <c r="F385" s="1" t="s">
        <v>322</v>
      </c>
      <c r="G385" s="1" t="s">
        <v>18</v>
      </c>
      <c r="H385" s="1" t="s">
        <v>133</v>
      </c>
      <c r="I385" s="1">
        <v>2</v>
      </c>
      <c r="J385" s="1">
        <v>1</v>
      </c>
      <c r="K385" s="1" t="s">
        <v>128</v>
      </c>
      <c r="L385" s="1" t="s">
        <v>19</v>
      </c>
    </row>
    <row r="386" spans="1:12" hidden="1" x14ac:dyDescent="0.2">
      <c r="A386" s="1">
        <v>1986</v>
      </c>
      <c r="B386" s="2" t="d">
        <v>1986-06-09</v>
      </c>
      <c r="C386" s="1" t="s">
        <v>204</v>
      </c>
      <c r="D386" s="1" t="s">
        <v>304</v>
      </c>
      <c r="E386" s="1" t="s">
        <v>210</v>
      </c>
      <c r="F386" s="1" t="s">
        <v>211</v>
      </c>
      <c r="G386" s="1" t="s">
        <v>18</v>
      </c>
      <c r="H386" s="1" t="s">
        <v>54</v>
      </c>
      <c r="I386" s="1">
        <v>0</v>
      </c>
      <c r="J386" s="1">
        <v>3</v>
      </c>
      <c r="K386" s="1" t="s">
        <v>17</v>
      </c>
      <c r="L386" s="1" t="s">
        <v>19</v>
      </c>
    </row>
    <row r="387" spans="1:12" hidden="1" x14ac:dyDescent="0.2">
      <c r="A387" s="1">
        <v>1986</v>
      </c>
      <c r="B387" s="2" t="d">
        <v>1986-06-09</v>
      </c>
      <c r="C387" s="1" t="s">
        <v>204</v>
      </c>
      <c r="D387" s="1" t="s">
        <v>304</v>
      </c>
      <c r="E387" s="1" t="s">
        <v>307</v>
      </c>
      <c r="F387" s="1" t="s">
        <v>308</v>
      </c>
      <c r="G387" s="1" t="s">
        <v>18</v>
      </c>
      <c r="H387" s="1" t="s">
        <v>151</v>
      </c>
      <c r="I387" s="1">
        <v>2</v>
      </c>
      <c r="J387" s="1">
        <v>0</v>
      </c>
      <c r="K387" s="1" t="s">
        <v>305</v>
      </c>
      <c r="L387" s="1" t="s">
        <v>19</v>
      </c>
    </row>
    <row r="388" spans="1:12" hidden="1" x14ac:dyDescent="0.2">
      <c r="A388" s="1">
        <v>1986</v>
      </c>
      <c r="B388" s="2" t="d">
        <v>1986-06-10</v>
      </c>
      <c r="C388" s="1" t="s">
        <v>204</v>
      </c>
      <c r="D388" s="1" t="s">
        <v>242</v>
      </c>
      <c r="E388" s="1" t="s">
        <v>207</v>
      </c>
      <c r="F388" s="1" t="s">
        <v>208</v>
      </c>
      <c r="G388" s="1" t="s">
        <v>18</v>
      </c>
      <c r="H388" s="1" t="s">
        <v>135</v>
      </c>
      <c r="I388" s="1">
        <v>2</v>
      </c>
      <c r="J388" s="1">
        <v>3</v>
      </c>
      <c r="K388" s="1" t="s">
        <v>49</v>
      </c>
      <c r="L388" s="1" t="s">
        <v>19</v>
      </c>
    </row>
    <row r="389" spans="1:12" hidden="1" x14ac:dyDescent="0.2">
      <c r="A389" s="1">
        <v>1986</v>
      </c>
      <c r="B389" s="2" t="d">
        <v>1986-06-10</v>
      </c>
      <c r="C389" s="1" t="s">
        <v>204</v>
      </c>
      <c r="D389" s="1" t="s">
        <v>242</v>
      </c>
      <c r="E389" s="1" t="s">
        <v>309</v>
      </c>
      <c r="F389" s="1" t="s">
        <v>206</v>
      </c>
      <c r="G389" s="1" t="s">
        <v>18</v>
      </c>
      <c r="H389" s="1" t="s">
        <v>33</v>
      </c>
      <c r="I389" s="1">
        <v>2</v>
      </c>
      <c r="J389" s="1">
        <v>0</v>
      </c>
      <c r="K389" s="1" t="s">
        <v>182</v>
      </c>
      <c r="L389" s="1" t="s">
        <v>19</v>
      </c>
    </row>
    <row r="390" spans="1:12" hidden="1" x14ac:dyDescent="0.2">
      <c r="A390" s="1">
        <v>1986</v>
      </c>
      <c r="B390" s="2" t="d">
        <v>1986-06-11</v>
      </c>
      <c r="C390" s="1" t="s">
        <v>204</v>
      </c>
      <c r="D390" s="1" t="s">
        <v>241</v>
      </c>
      <c r="E390" s="1" t="s">
        <v>315</v>
      </c>
      <c r="F390" s="1" t="s">
        <v>215</v>
      </c>
      <c r="G390" s="1" t="s">
        <v>18</v>
      </c>
      <c r="H390" s="1" t="s">
        <v>37</v>
      </c>
      <c r="I390" s="1">
        <v>2</v>
      </c>
      <c r="J390" s="1">
        <v>2</v>
      </c>
      <c r="K390" s="1" t="s">
        <v>23</v>
      </c>
      <c r="L390" s="1" t="s">
        <v>19</v>
      </c>
    </row>
    <row r="391" spans="1:12" hidden="1" x14ac:dyDescent="0.2">
      <c r="A391" s="1">
        <v>1986</v>
      </c>
      <c r="B391" s="2" t="d">
        <v>1986-06-11</v>
      </c>
      <c r="C391" s="1" t="s">
        <v>204</v>
      </c>
      <c r="D391" s="1" t="s">
        <v>241</v>
      </c>
      <c r="E391" s="1" t="s">
        <v>205</v>
      </c>
      <c r="F391" s="1" t="s">
        <v>206</v>
      </c>
      <c r="G391" s="1" t="s">
        <v>18</v>
      </c>
      <c r="H391" s="1" t="s">
        <v>316</v>
      </c>
      <c r="I391" s="1">
        <v>0</v>
      </c>
      <c r="J391" s="1">
        <v>1</v>
      </c>
      <c r="K391" s="1" t="s">
        <v>18</v>
      </c>
      <c r="L391" s="1" t="s">
        <v>19</v>
      </c>
    </row>
    <row r="392" spans="1:12" hidden="1" x14ac:dyDescent="0.2">
      <c r="A392" s="1">
        <v>1986</v>
      </c>
      <c r="B392" s="2" t="d">
        <v>1986-06-11</v>
      </c>
      <c r="C392" s="1" t="s">
        <v>32</v>
      </c>
      <c r="D392" s="1" t="s">
        <v>310</v>
      </c>
      <c r="E392" s="1" t="s">
        <v>313</v>
      </c>
      <c r="F392" s="1" t="s">
        <v>213</v>
      </c>
      <c r="G392" s="1" t="s">
        <v>18</v>
      </c>
      <c r="H392" s="1" t="s">
        <v>197</v>
      </c>
      <c r="I392" s="1">
        <v>1</v>
      </c>
      <c r="J392" s="1">
        <v>3</v>
      </c>
      <c r="K392" s="1" t="s">
        <v>216</v>
      </c>
      <c r="L392" s="1" t="s">
        <v>19</v>
      </c>
    </row>
    <row r="393" spans="1:12" hidden="1" x14ac:dyDescent="0.2">
      <c r="A393" s="1">
        <v>1986</v>
      </c>
      <c r="B393" s="2" t="d">
        <v>1986-06-11</v>
      </c>
      <c r="C393" s="1" t="s">
        <v>32</v>
      </c>
      <c r="D393" s="1" t="s">
        <v>310</v>
      </c>
      <c r="E393" s="1" t="s">
        <v>314</v>
      </c>
      <c r="F393" s="1" t="s">
        <v>312</v>
      </c>
      <c r="G393" s="1" t="s">
        <v>18</v>
      </c>
      <c r="H393" s="1" t="s">
        <v>110</v>
      </c>
      <c r="I393" s="1">
        <v>3</v>
      </c>
      <c r="J393" s="1">
        <v>0</v>
      </c>
      <c r="K393" s="1" t="s">
        <v>96</v>
      </c>
      <c r="L393" s="1" t="s">
        <v>19</v>
      </c>
    </row>
    <row r="394" spans="1:12" x14ac:dyDescent="0.2">
      <c r="A394" s="1">
        <v>1986</v>
      </c>
      <c r="B394" s="2" t="d">
        <v>1986-06-12</v>
      </c>
      <c r="C394" s="1" t="s">
        <v>204</v>
      </c>
      <c r="D394" s="1" t="s">
        <v>306</v>
      </c>
      <c r="E394" s="1" t="s">
        <v>212</v>
      </c>
      <c r="F394" s="1" t="s">
        <v>213</v>
      </c>
      <c r="G394" s="1" t="s">
        <v>18</v>
      </c>
      <c r="H394" s="1" t="s">
        <v>165</v>
      </c>
      <c r="I394" s="1">
        <v>0</v>
      </c>
      <c r="J394" s="1">
        <v>3</v>
      </c>
      <c r="K394" s="1" t="s">
        <v>27</v>
      </c>
      <c r="L394" s="1" t="s">
        <v>19</v>
      </c>
    </row>
    <row r="395" spans="1:12" hidden="1" x14ac:dyDescent="0.2">
      <c r="A395" s="1">
        <v>1986</v>
      </c>
      <c r="B395" s="2" t="d">
        <v>1986-06-12</v>
      </c>
      <c r="C395" s="1" t="s">
        <v>204</v>
      </c>
      <c r="D395" s="1" t="s">
        <v>306</v>
      </c>
      <c r="E395" s="1" t="s">
        <v>314</v>
      </c>
      <c r="F395" s="1" t="s">
        <v>312</v>
      </c>
      <c r="G395" s="1" t="s">
        <v>18</v>
      </c>
      <c r="H395" s="1" t="s">
        <v>281</v>
      </c>
      <c r="I395" s="1">
        <v>0</v>
      </c>
      <c r="J395" s="1">
        <v>3</v>
      </c>
      <c r="K395" s="1" t="s">
        <v>68</v>
      </c>
      <c r="L395" s="1" t="s">
        <v>19</v>
      </c>
    </row>
    <row r="396" spans="1:12" hidden="1" x14ac:dyDescent="0.2">
      <c r="A396" s="1">
        <v>1986</v>
      </c>
      <c r="B396" s="2" t="d">
        <v>1986-06-13</v>
      </c>
      <c r="C396" s="1" t="s">
        <v>204</v>
      </c>
      <c r="D396" s="1" t="s">
        <v>317</v>
      </c>
      <c r="E396" s="1" t="s">
        <v>318</v>
      </c>
      <c r="F396" s="1" t="s">
        <v>319</v>
      </c>
      <c r="G396" s="1" t="s">
        <v>18</v>
      </c>
      <c r="H396" s="1" t="s">
        <v>128</v>
      </c>
      <c r="I396" s="1">
        <v>0</v>
      </c>
      <c r="J396" s="1">
        <v>0</v>
      </c>
      <c r="K396" s="1" t="s">
        <v>16</v>
      </c>
      <c r="L396" s="1" t="s">
        <v>19</v>
      </c>
    </row>
    <row r="397" spans="1:12" hidden="1" x14ac:dyDescent="0.2">
      <c r="A397" s="1">
        <v>1986</v>
      </c>
      <c r="B397" s="2" t="d">
        <v>1986-06-13</v>
      </c>
      <c r="C397" s="1" t="s">
        <v>204</v>
      </c>
      <c r="D397" s="1" t="s">
        <v>317</v>
      </c>
      <c r="E397" s="1" t="s">
        <v>321</v>
      </c>
      <c r="F397" s="1" t="s">
        <v>322</v>
      </c>
      <c r="G397" s="1" t="s">
        <v>18</v>
      </c>
      <c r="H397" s="1" t="s">
        <v>320</v>
      </c>
      <c r="I397" s="1">
        <v>2</v>
      </c>
      <c r="J397" s="1">
        <v>0</v>
      </c>
      <c r="K397" s="1" t="s">
        <v>133</v>
      </c>
      <c r="L397" s="1" t="s">
        <v>19</v>
      </c>
    </row>
    <row r="398" spans="1:12" hidden="1" x14ac:dyDescent="0.2">
      <c r="A398" s="1">
        <v>1986</v>
      </c>
      <c r="B398" s="2" t="d">
        <v>1986-06-15</v>
      </c>
      <c r="C398" s="1" t="s">
        <v>32</v>
      </c>
      <c r="D398" s="12" t="s">
        <v>323</v>
      </c>
      <c r="E398" s="1" t="s">
        <v>210</v>
      </c>
      <c r="F398" s="1" t="s">
        <v>211</v>
      </c>
      <c r="G398" s="1" t="s">
        <v>18</v>
      </c>
      <c r="H398" s="1" t="s">
        <v>151</v>
      </c>
      <c r="I398" s="1">
        <v>3</v>
      </c>
      <c r="J398" s="1">
        <v>4</v>
      </c>
      <c r="K398" s="1" t="s">
        <v>23</v>
      </c>
      <c r="L398" s="1" t="s">
        <v>324</v>
      </c>
    </row>
    <row r="399" spans="1:12" hidden="1" x14ac:dyDescent="0.2">
      <c r="A399" s="1">
        <v>1986</v>
      </c>
      <c r="B399" s="2" t="d">
        <v>1986-06-15</v>
      </c>
      <c r="C399" s="1" t="s">
        <v>204</v>
      </c>
      <c r="D399" s="12" t="s">
        <v>323</v>
      </c>
      <c r="E399" s="1" t="s">
        <v>205</v>
      </c>
      <c r="F399" s="1" t="s">
        <v>206</v>
      </c>
      <c r="G399" s="1" t="s">
        <v>18</v>
      </c>
      <c r="H399" s="1" t="s">
        <v>18</v>
      </c>
      <c r="I399" s="1">
        <v>2</v>
      </c>
      <c r="J399" s="1">
        <v>0</v>
      </c>
      <c r="K399" s="1" t="s">
        <v>182</v>
      </c>
      <c r="L399" s="1" t="s">
        <v>19</v>
      </c>
    </row>
    <row r="400" spans="1:12" hidden="1" x14ac:dyDescent="0.2">
      <c r="A400" s="1">
        <v>1986</v>
      </c>
      <c r="B400" s="2" t="d">
        <v>1986-06-16</v>
      </c>
      <c r="C400" s="1" t="s">
        <v>32</v>
      </c>
      <c r="D400" s="12" t="s">
        <v>323</v>
      </c>
      <c r="E400" s="1" t="s">
        <v>207</v>
      </c>
      <c r="F400" s="1" t="s">
        <v>208</v>
      </c>
      <c r="G400" s="1" t="s">
        <v>18</v>
      </c>
      <c r="H400" s="1" t="s">
        <v>33</v>
      </c>
      <c r="I400" s="1">
        <v>1</v>
      </c>
      <c r="J400" s="1">
        <v>0</v>
      </c>
      <c r="K400" s="1" t="s">
        <v>16</v>
      </c>
      <c r="L400" s="1" t="s">
        <v>19</v>
      </c>
    </row>
    <row r="401" spans="1:12" hidden="1" x14ac:dyDescent="0.2">
      <c r="A401" s="1">
        <v>1986</v>
      </c>
      <c r="B401" s="2" t="d">
        <v>1986-06-16</v>
      </c>
      <c r="C401" s="1" t="s">
        <v>204</v>
      </c>
      <c r="D401" s="12" t="s">
        <v>323</v>
      </c>
      <c r="E401" s="1" t="s">
        <v>212</v>
      </c>
      <c r="F401" s="1" t="s">
        <v>213</v>
      </c>
      <c r="G401" s="1" t="s">
        <v>18</v>
      </c>
      <c r="H401" s="1" t="s">
        <v>27</v>
      </c>
      <c r="I401" s="1">
        <v>4</v>
      </c>
      <c r="J401" s="1">
        <v>0</v>
      </c>
      <c r="K401" s="1" t="s">
        <v>96</v>
      </c>
      <c r="L401" s="1" t="s">
        <v>19</v>
      </c>
    </row>
    <row r="402" spans="1:12" hidden="1" x14ac:dyDescent="0.2">
      <c r="A402" s="1">
        <v>1986</v>
      </c>
      <c r="B402" s="2" t="d">
        <v>1986-06-17</v>
      </c>
      <c r="C402" s="1" t="s">
        <v>204</v>
      </c>
      <c r="D402" s="12" t="s">
        <v>323</v>
      </c>
      <c r="E402" s="1" t="s">
        <v>309</v>
      </c>
      <c r="F402" s="1" t="s">
        <v>206</v>
      </c>
      <c r="G402" s="1" t="s">
        <v>18</v>
      </c>
      <c r="H402" s="1" t="s">
        <v>49</v>
      </c>
      <c r="I402" s="1">
        <v>0</v>
      </c>
      <c r="J402" s="1">
        <v>2</v>
      </c>
      <c r="K402" s="1" t="s">
        <v>17</v>
      </c>
      <c r="L402" s="1" t="s">
        <v>19</v>
      </c>
    </row>
    <row r="403" spans="1:12" hidden="1" x14ac:dyDescent="0.2">
      <c r="A403" s="1">
        <v>1986</v>
      </c>
      <c r="B403" s="2" t="d">
        <v>1986-06-17</v>
      </c>
      <c r="C403" s="1" t="s">
        <v>32</v>
      </c>
      <c r="D403" s="12" t="s">
        <v>323</v>
      </c>
      <c r="E403" s="1" t="s">
        <v>311</v>
      </c>
      <c r="F403" s="1" t="s">
        <v>312</v>
      </c>
      <c r="G403" s="1" t="s">
        <v>18</v>
      </c>
      <c r="H403" s="1" t="s">
        <v>216</v>
      </c>
      <c r="I403" s="1">
        <v>0</v>
      </c>
      <c r="J403" s="1">
        <v>1</v>
      </c>
      <c r="K403" s="1" t="s">
        <v>133</v>
      </c>
      <c r="L403" s="1" t="s">
        <v>19</v>
      </c>
    </row>
    <row r="404" spans="1:12" hidden="1" x14ac:dyDescent="0.2">
      <c r="A404" s="1">
        <v>1986</v>
      </c>
      <c r="B404" s="2" t="d">
        <v>1986-06-18</v>
      </c>
      <c r="C404" s="1" t="s">
        <v>204</v>
      </c>
      <c r="D404" s="12" t="s">
        <v>323</v>
      </c>
      <c r="E404" s="1" t="s">
        <v>205</v>
      </c>
      <c r="F404" s="1" t="s">
        <v>206</v>
      </c>
      <c r="G404" s="1" t="s">
        <v>18</v>
      </c>
      <c r="H404" s="1" t="s">
        <v>110</v>
      </c>
      <c r="I404" s="1">
        <v>3</v>
      </c>
      <c r="J404" s="1">
        <v>0</v>
      </c>
      <c r="K404" s="1" t="s">
        <v>37</v>
      </c>
      <c r="L404" s="1" t="s">
        <v>19</v>
      </c>
    </row>
    <row r="405" spans="1:12" hidden="1" x14ac:dyDescent="0.2">
      <c r="A405" s="1">
        <v>1986</v>
      </c>
      <c r="B405" s="2" t="d">
        <v>1986-06-18</v>
      </c>
      <c r="C405" s="1" t="s">
        <v>32</v>
      </c>
      <c r="D405" s="12" t="s">
        <v>323</v>
      </c>
      <c r="E405" s="1" t="s">
        <v>321</v>
      </c>
      <c r="F405" s="1" t="s">
        <v>322</v>
      </c>
      <c r="G405" s="1" t="s">
        <v>18</v>
      </c>
      <c r="H405" s="1" t="s">
        <v>320</v>
      </c>
      <c r="I405" s="1">
        <v>1</v>
      </c>
      <c r="J405" s="1">
        <v>5</v>
      </c>
      <c r="K405" s="1" t="s">
        <v>68</v>
      </c>
      <c r="L405" s="1" t="s">
        <v>19</v>
      </c>
    </row>
    <row r="406" spans="1:12" hidden="1" x14ac:dyDescent="0.2">
      <c r="A406" s="1">
        <v>1986</v>
      </c>
      <c r="B406" s="2" t="d">
        <v>1986-06-21</v>
      </c>
      <c r="C406" s="1" t="s">
        <v>204</v>
      </c>
      <c r="D406" s="12" t="s">
        <v>74</v>
      </c>
      <c r="E406" s="1" t="s">
        <v>212</v>
      </c>
      <c r="F406" s="1" t="s">
        <v>213</v>
      </c>
      <c r="G406" s="1" t="s">
        <v>18</v>
      </c>
      <c r="H406" s="1" t="s">
        <v>27</v>
      </c>
      <c r="I406" s="1">
        <v>1</v>
      </c>
      <c r="J406" s="1">
        <v>1</v>
      </c>
      <c r="K406" s="1" t="s">
        <v>17</v>
      </c>
      <c r="L406" s="1" t="s">
        <v>325</v>
      </c>
    </row>
    <row r="407" spans="1:12" hidden="1" x14ac:dyDescent="0.2">
      <c r="A407" s="1">
        <v>1986</v>
      </c>
      <c r="B407" s="2" t="d">
        <v>1986-06-21</v>
      </c>
      <c r="C407" s="1" t="s">
        <v>32</v>
      </c>
      <c r="D407" s="12" t="s">
        <v>74</v>
      </c>
      <c r="E407" s="1" t="s">
        <v>311</v>
      </c>
      <c r="F407" s="1" t="s">
        <v>312</v>
      </c>
      <c r="G407" s="1" t="s">
        <v>18</v>
      </c>
      <c r="H407" s="1" t="s">
        <v>133</v>
      </c>
      <c r="I407" s="1">
        <v>0</v>
      </c>
      <c r="J407" s="1">
        <v>0</v>
      </c>
      <c r="K407" s="1" t="s">
        <v>18</v>
      </c>
      <c r="L407" s="1" t="s">
        <v>326</v>
      </c>
    </row>
    <row r="408" spans="1:12" hidden="1" x14ac:dyDescent="0.2">
      <c r="A408" s="1">
        <v>1986</v>
      </c>
      <c r="B408" s="2" t="d">
        <v>1986-06-22</v>
      </c>
      <c r="C408" s="1" t="s">
        <v>32</v>
      </c>
      <c r="D408" s="12" t="s">
        <v>74</v>
      </c>
      <c r="E408" s="1" t="s">
        <v>207</v>
      </c>
      <c r="F408" s="1" t="s">
        <v>208</v>
      </c>
      <c r="G408" s="1" t="s">
        <v>18</v>
      </c>
      <c r="H408" s="1" t="s">
        <v>68</v>
      </c>
      <c r="I408" s="1">
        <v>1</v>
      </c>
      <c r="J408" s="1">
        <v>1</v>
      </c>
      <c r="K408" s="1" t="s">
        <v>23</v>
      </c>
      <c r="L408" s="1" t="s">
        <v>327</v>
      </c>
    </row>
    <row r="409" spans="1:12" hidden="1" x14ac:dyDescent="0.2">
      <c r="A409" s="1">
        <v>1986</v>
      </c>
      <c r="B409" s="2" t="d">
        <v>1986-06-22</v>
      </c>
      <c r="C409" s="1" t="s">
        <v>204</v>
      </c>
      <c r="D409" s="12" t="s">
        <v>74</v>
      </c>
      <c r="E409" s="1" t="s">
        <v>205</v>
      </c>
      <c r="F409" s="1" t="s">
        <v>206</v>
      </c>
      <c r="G409" s="1" t="s">
        <v>18</v>
      </c>
      <c r="H409" s="1" t="s">
        <v>33</v>
      </c>
      <c r="I409" s="1">
        <v>2</v>
      </c>
      <c r="J409" s="1">
        <v>1</v>
      </c>
      <c r="K409" s="1" t="s">
        <v>110</v>
      </c>
      <c r="L409" s="1" t="s">
        <v>19</v>
      </c>
    </row>
    <row r="410" spans="1:12" hidden="1" x14ac:dyDescent="0.2">
      <c r="A410" s="1">
        <v>1986</v>
      </c>
      <c r="B410" s="2" t="d">
        <v>1986-06-25</v>
      </c>
      <c r="C410" s="1" t="s">
        <v>204</v>
      </c>
      <c r="D410" s="12" t="s">
        <v>42</v>
      </c>
      <c r="E410" s="1" t="s">
        <v>212</v>
      </c>
      <c r="F410" s="1" t="s">
        <v>213</v>
      </c>
      <c r="G410" s="1" t="s">
        <v>18</v>
      </c>
      <c r="H410" s="1" t="s">
        <v>17</v>
      </c>
      <c r="I410" s="1">
        <v>0</v>
      </c>
      <c r="J410" s="1">
        <v>2</v>
      </c>
      <c r="K410" s="1" t="s">
        <v>133</v>
      </c>
      <c r="L410" s="1" t="s">
        <v>19</v>
      </c>
    </row>
    <row r="411" spans="1:12" hidden="1" x14ac:dyDescent="0.2">
      <c r="A411" s="1">
        <v>1986</v>
      </c>
      <c r="B411" s="2" t="d">
        <v>1986-06-25</v>
      </c>
      <c r="C411" s="1" t="s">
        <v>32</v>
      </c>
      <c r="D411" s="12" t="s">
        <v>42</v>
      </c>
      <c r="E411" s="1" t="s">
        <v>205</v>
      </c>
      <c r="F411" s="1" t="s">
        <v>206</v>
      </c>
      <c r="G411" s="1" t="s">
        <v>18</v>
      </c>
      <c r="H411" s="1" t="s">
        <v>33</v>
      </c>
      <c r="I411" s="1">
        <v>2</v>
      </c>
      <c r="J411" s="1">
        <v>0</v>
      </c>
      <c r="K411" s="1" t="s">
        <v>23</v>
      </c>
      <c r="L411" s="1" t="s">
        <v>19</v>
      </c>
    </row>
    <row r="412" spans="1:12" hidden="1" x14ac:dyDescent="0.2">
      <c r="A412" s="1">
        <v>1986</v>
      </c>
      <c r="B412" s="2" t="d">
        <v>1986-06-28</v>
      </c>
      <c r="C412" s="1" t="s">
        <v>204</v>
      </c>
      <c r="D412" s="12" t="s">
        <v>76</v>
      </c>
      <c r="E412" s="1" t="s">
        <v>207</v>
      </c>
      <c r="F412" s="1" t="s">
        <v>208</v>
      </c>
      <c r="G412" s="1" t="s">
        <v>18</v>
      </c>
      <c r="H412" s="1" t="s">
        <v>17</v>
      </c>
      <c r="I412" s="1">
        <v>4</v>
      </c>
      <c r="J412" s="1">
        <v>2</v>
      </c>
      <c r="K412" s="1" t="s">
        <v>23</v>
      </c>
      <c r="L412" s="1" t="s">
        <v>328</v>
      </c>
    </row>
    <row r="413" spans="1:12" hidden="1" x14ac:dyDescent="0.2">
      <c r="A413" s="1">
        <v>1986</v>
      </c>
      <c r="B413" s="2" t="d">
        <v>1986-06-29</v>
      </c>
      <c r="C413" s="1" t="s">
        <v>204</v>
      </c>
      <c r="D413" s="12" t="s">
        <v>44</v>
      </c>
      <c r="E413" s="1" t="s">
        <v>205</v>
      </c>
      <c r="F413" s="1" t="s">
        <v>206</v>
      </c>
      <c r="G413" s="1" t="s">
        <v>18</v>
      </c>
      <c r="H413" s="1" t="s">
        <v>33</v>
      </c>
      <c r="I413" s="1">
        <v>3</v>
      </c>
      <c r="J413" s="1">
        <v>2</v>
      </c>
      <c r="K413" s="1" t="s">
        <v>133</v>
      </c>
      <c r="L413" s="1" t="s">
        <v>19</v>
      </c>
    </row>
    <row r="414" spans="1:12" hidden="1" x14ac:dyDescent="0.2">
      <c r="A414" s="1">
        <v>1990</v>
      </c>
      <c r="B414" s="2" t="d">
        <v>1990-06-08</v>
      </c>
      <c r="C414" s="1" t="s">
        <v>75</v>
      </c>
      <c r="D414" s="1" t="s">
        <v>241</v>
      </c>
      <c r="E414" s="1" t="s">
        <v>329</v>
      </c>
      <c r="F414" s="1" t="s">
        <v>57</v>
      </c>
      <c r="G414" s="1" t="s">
        <v>49</v>
      </c>
      <c r="H414" s="1" t="s">
        <v>33</v>
      </c>
      <c r="I414" s="1">
        <v>0</v>
      </c>
      <c r="J414" s="1">
        <v>1</v>
      </c>
      <c r="K414" s="1" t="s">
        <v>273</v>
      </c>
      <c r="L414" s="1" t="s">
        <v>19</v>
      </c>
    </row>
    <row r="415" spans="1:12" hidden="1" x14ac:dyDescent="0.2">
      <c r="A415" s="1">
        <v>1990</v>
      </c>
      <c r="B415" s="2" t="d">
        <v>1990-06-09</v>
      </c>
      <c r="C415" s="1" t="s">
        <v>79</v>
      </c>
      <c r="D415" s="1" t="s">
        <v>241</v>
      </c>
      <c r="E415" s="1" t="s">
        <v>330</v>
      </c>
      <c r="F415" s="1" t="s">
        <v>331</v>
      </c>
      <c r="G415" s="1" t="s">
        <v>49</v>
      </c>
      <c r="H415" s="1" t="s">
        <v>151</v>
      </c>
      <c r="I415" s="1">
        <v>0</v>
      </c>
      <c r="J415" s="1">
        <v>2</v>
      </c>
      <c r="K415" s="1" t="s">
        <v>30</v>
      </c>
      <c r="L415" s="1" t="s">
        <v>19</v>
      </c>
    </row>
    <row r="416" spans="1:12" hidden="1" x14ac:dyDescent="0.2">
      <c r="A416" s="1">
        <v>1990</v>
      </c>
      <c r="B416" s="2" t="d">
        <v>1990-06-09</v>
      </c>
      <c r="C416" s="1" t="s">
        <v>79</v>
      </c>
      <c r="D416" s="1" t="s">
        <v>306</v>
      </c>
      <c r="E416" s="1" t="s">
        <v>332</v>
      </c>
      <c r="F416" s="1" t="s">
        <v>61</v>
      </c>
      <c r="G416" s="1" t="s">
        <v>49</v>
      </c>
      <c r="H416" s="1" t="s">
        <v>333</v>
      </c>
      <c r="I416" s="1">
        <v>0</v>
      </c>
      <c r="J416" s="1">
        <v>2</v>
      </c>
      <c r="K416" s="1" t="s">
        <v>177</v>
      </c>
      <c r="L416" s="1" t="s">
        <v>19</v>
      </c>
    </row>
    <row r="417" spans="1:12" hidden="1" x14ac:dyDescent="0.2">
      <c r="A417" s="1">
        <v>1990</v>
      </c>
      <c r="B417" s="2" t="d">
        <v>1990-06-09</v>
      </c>
      <c r="C417" s="1" t="s">
        <v>268</v>
      </c>
      <c r="D417" s="1" t="s">
        <v>242</v>
      </c>
      <c r="E417" s="1" t="s">
        <v>334</v>
      </c>
      <c r="F417" s="1" t="s">
        <v>70</v>
      </c>
      <c r="G417" s="1" t="s">
        <v>49</v>
      </c>
      <c r="H417" s="1" t="s">
        <v>49</v>
      </c>
      <c r="I417" s="1">
        <v>1</v>
      </c>
      <c r="J417" s="1">
        <v>0</v>
      </c>
      <c r="K417" s="1" t="s">
        <v>50</v>
      </c>
      <c r="L417" s="1" t="s">
        <v>19</v>
      </c>
    </row>
    <row r="418" spans="1:12" hidden="1" x14ac:dyDescent="0.2">
      <c r="A418" s="1">
        <v>1990</v>
      </c>
      <c r="B418" s="2" t="d">
        <v>1990-06-10</v>
      </c>
      <c r="C418" s="1" t="s">
        <v>79</v>
      </c>
      <c r="D418" s="1" t="s">
        <v>242</v>
      </c>
      <c r="E418" s="1" t="s">
        <v>335</v>
      </c>
      <c r="F418" s="1" t="s">
        <v>64</v>
      </c>
      <c r="G418" s="1" t="s">
        <v>49</v>
      </c>
      <c r="H418" s="1" t="s">
        <v>22</v>
      </c>
      <c r="I418" s="1">
        <v>1</v>
      </c>
      <c r="J418" s="1">
        <v>5</v>
      </c>
      <c r="K418" s="1" t="s">
        <v>73</v>
      </c>
      <c r="L418" s="1" t="s">
        <v>19</v>
      </c>
    </row>
    <row r="419" spans="1:12" hidden="1" x14ac:dyDescent="0.2">
      <c r="A419" s="1">
        <v>1990</v>
      </c>
      <c r="B419" s="2" t="d">
        <v>1990-06-10</v>
      </c>
      <c r="C419" s="1" t="s">
        <v>268</v>
      </c>
      <c r="D419" s="1" t="s">
        <v>304</v>
      </c>
      <c r="E419" s="1" t="s">
        <v>336</v>
      </c>
      <c r="F419" s="1" t="s">
        <v>48</v>
      </c>
      <c r="G419" s="1" t="s">
        <v>49</v>
      </c>
      <c r="H419" s="1" t="s">
        <v>27</v>
      </c>
      <c r="I419" s="1">
        <v>2</v>
      </c>
      <c r="J419" s="1">
        <v>1</v>
      </c>
      <c r="K419" s="1" t="s">
        <v>62</v>
      </c>
      <c r="L419" s="1" t="s">
        <v>19</v>
      </c>
    </row>
    <row r="420" spans="1:12" hidden="1" x14ac:dyDescent="0.2">
      <c r="A420" s="1">
        <v>1990</v>
      </c>
      <c r="B420" s="2" t="d">
        <v>1990-06-10</v>
      </c>
      <c r="C420" s="1" t="s">
        <v>268</v>
      </c>
      <c r="D420" s="1" t="s">
        <v>306</v>
      </c>
      <c r="E420" s="1" t="s">
        <v>329</v>
      </c>
      <c r="F420" s="1" t="s">
        <v>57</v>
      </c>
      <c r="G420" s="1" t="s">
        <v>49</v>
      </c>
      <c r="H420" s="1" t="s">
        <v>133</v>
      </c>
      <c r="I420" s="1">
        <v>4</v>
      </c>
      <c r="J420" s="1">
        <v>1</v>
      </c>
      <c r="K420" s="1" t="s">
        <v>26</v>
      </c>
      <c r="L420" s="1" t="s">
        <v>19</v>
      </c>
    </row>
    <row r="421" spans="1:12" hidden="1" x14ac:dyDescent="0.2">
      <c r="A421" s="1">
        <v>1990</v>
      </c>
      <c r="B421" s="2" t="d">
        <v>1990-06-11</v>
      </c>
      <c r="C421" s="1" t="s">
        <v>79</v>
      </c>
      <c r="D421" s="1" t="s">
        <v>304</v>
      </c>
      <c r="E421" s="1" t="s">
        <v>66</v>
      </c>
      <c r="F421" s="1" t="s">
        <v>67</v>
      </c>
      <c r="G421" s="1" t="s">
        <v>49</v>
      </c>
      <c r="H421" s="1" t="s">
        <v>337</v>
      </c>
      <c r="I421" s="1">
        <v>1</v>
      </c>
      <c r="J421" s="1">
        <v>0</v>
      </c>
      <c r="K421" s="1" t="s">
        <v>128</v>
      </c>
      <c r="L421" s="1" t="s">
        <v>19</v>
      </c>
    </row>
    <row r="422" spans="1:12" hidden="1" x14ac:dyDescent="0.2">
      <c r="A422" s="1">
        <v>1990</v>
      </c>
      <c r="B422" s="2" t="d">
        <v>1990-06-11</v>
      </c>
      <c r="C422" s="1" t="s">
        <v>268</v>
      </c>
      <c r="D422" s="1" t="s">
        <v>310</v>
      </c>
      <c r="E422" s="1" t="s">
        <v>338</v>
      </c>
      <c r="F422" s="1" t="s">
        <v>339</v>
      </c>
      <c r="G422" s="1" t="s">
        <v>49</v>
      </c>
      <c r="H422" s="1" t="s">
        <v>110</v>
      </c>
      <c r="I422" s="1">
        <v>1</v>
      </c>
      <c r="J422" s="1">
        <v>1</v>
      </c>
      <c r="K422" s="1" t="s">
        <v>340</v>
      </c>
      <c r="L422" s="1" t="s">
        <v>19</v>
      </c>
    </row>
    <row r="423" spans="1:12" hidden="1" x14ac:dyDescent="0.2">
      <c r="A423" s="1">
        <v>1990</v>
      </c>
      <c r="B423" s="2" t="d">
        <v>1990-06-12</v>
      </c>
      <c r="C423" s="1" t="s">
        <v>79</v>
      </c>
      <c r="D423" s="1" t="s">
        <v>317</v>
      </c>
      <c r="E423" s="1" t="s">
        <v>341</v>
      </c>
      <c r="F423" s="1" t="s">
        <v>342</v>
      </c>
      <c r="G423" s="1" t="s">
        <v>49</v>
      </c>
      <c r="H423" s="1" t="s">
        <v>23</v>
      </c>
      <c r="I423" s="1">
        <v>2</v>
      </c>
      <c r="J423" s="1">
        <v>0</v>
      </c>
      <c r="K423" s="1" t="s">
        <v>135</v>
      </c>
      <c r="L423" s="1" t="s">
        <v>19</v>
      </c>
    </row>
    <row r="424" spans="1:12" hidden="1" x14ac:dyDescent="0.2">
      <c r="A424" s="1">
        <v>1990</v>
      </c>
      <c r="B424" s="2" t="d">
        <v>1990-06-12</v>
      </c>
      <c r="C424" s="1" t="s">
        <v>268</v>
      </c>
      <c r="D424" s="1" t="s">
        <v>310</v>
      </c>
      <c r="E424" s="1" t="s">
        <v>343</v>
      </c>
      <c r="F424" s="1" t="s">
        <v>344</v>
      </c>
      <c r="G424" s="1" t="s">
        <v>49</v>
      </c>
      <c r="H424" s="1" t="s">
        <v>59</v>
      </c>
      <c r="I424" s="1">
        <v>1</v>
      </c>
      <c r="J424" s="1">
        <v>1</v>
      </c>
      <c r="K424" s="1" t="s">
        <v>55</v>
      </c>
      <c r="L424" s="1" t="s">
        <v>19</v>
      </c>
    </row>
    <row r="425" spans="1:12" hidden="1" x14ac:dyDescent="0.2">
      <c r="A425" s="1">
        <v>1990</v>
      </c>
      <c r="B425" s="2" t="d">
        <v>1990-06-13</v>
      </c>
      <c r="C425" s="1" t="s">
        <v>79</v>
      </c>
      <c r="D425" s="1" t="s">
        <v>317</v>
      </c>
      <c r="E425" s="1" t="s">
        <v>345</v>
      </c>
      <c r="F425" s="1" t="s">
        <v>346</v>
      </c>
      <c r="G425" s="1" t="s">
        <v>49</v>
      </c>
      <c r="H425" s="1" t="s">
        <v>16</v>
      </c>
      <c r="I425" s="1">
        <v>0</v>
      </c>
      <c r="J425" s="1">
        <v>0</v>
      </c>
      <c r="K425" s="1" t="s">
        <v>68</v>
      </c>
      <c r="L425" s="1" t="s">
        <v>19</v>
      </c>
    </row>
    <row r="426" spans="1:12" hidden="1" x14ac:dyDescent="0.2">
      <c r="A426" s="1">
        <v>1990</v>
      </c>
      <c r="B426" s="2" t="d">
        <v>1990-06-13</v>
      </c>
      <c r="C426" s="1" t="s">
        <v>268</v>
      </c>
      <c r="D426" s="1" t="s">
        <v>241</v>
      </c>
      <c r="E426" s="1" t="s">
        <v>347</v>
      </c>
      <c r="F426" s="1" t="s">
        <v>53</v>
      </c>
      <c r="G426" s="1" t="s">
        <v>49</v>
      </c>
      <c r="H426" s="1" t="s">
        <v>33</v>
      </c>
      <c r="I426" s="1">
        <v>2</v>
      </c>
      <c r="J426" s="1">
        <v>0</v>
      </c>
      <c r="K426" s="1" t="s">
        <v>151</v>
      </c>
      <c r="L426" s="1" t="s">
        <v>19</v>
      </c>
    </row>
    <row r="427" spans="1:12" hidden="1" x14ac:dyDescent="0.2">
      <c r="A427" s="1">
        <v>1990</v>
      </c>
      <c r="B427" s="2" t="d">
        <v>1990-06-14</v>
      </c>
      <c r="C427" s="1" t="s">
        <v>79</v>
      </c>
      <c r="D427" s="1" t="s">
        <v>241</v>
      </c>
      <c r="E427" s="1" t="s">
        <v>330</v>
      </c>
      <c r="F427" s="1" t="s">
        <v>331</v>
      </c>
      <c r="G427" s="1" t="s">
        <v>49</v>
      </c>
      <c r="H427" s="1" t="s">
        <v>273</v>
      </c>
      <c r="I427" s="1">
        <v>2</v>
      </c>
      <c r="J427" s="1">
        <v>1</v>
      </c>
      <c r="K427" s="1" t="s">
        <v>30</v>
      </c>
      <c r="L427" s="1" t="s">
        <v>19</v>
      </c>
    </row>
    <row r="428" spans="1:12" hidden="1" x14ac:dyDescent="0.2">
      <c r="A428" s="1">
        <v>1990</v>
      </c>
      <c r="B428" s="2" t="d">
        <v>1990-06-14</v>
      </c>
      <c r="C428" s="1" t="s">
        <v>79</v>
      </c>
      <c r="D428" s="1" t="s">
        <v>306</v>
      </c>
      <c r="E428" s="1" t="s">
        <v>332</v>
      </c>
      <c r="F428" s="1" t="s">
        <v>61</v>
      </c>
      <c r="G428" s="1" t="s">
        <v>49</v>
      </c>
      <c r="H428" s="1" t="s">
        <v>26</v>
      </c>
      <c r="I428" s="1">
        <v>1</v>
      </c>
      <c r="J428" s="1">
        <v>0</v>
      </c>
      <c r="K428" s="1" t="s">
        <v>177</v>
      </c>
      <c r="L428" s="1" t="s">
        <v>19</v>
      </c>
    </row>
    <row r="429" spans="1:12" hidden="1" x14ac:dyDescent="0.2">
      <c r="A429" s="1">
        <v>1990</v>
      </c>
      <c r="B429" s="2" t="d">
        <v>1990-06-14</v>
      </c>
      <c r="C429" s="1" t="s">
        <v>268</v>
      </c>
      <c r="D429" s="1" t="s">
        <v>242</v>
      </c>
      <c r="E429" s="1" t="s">
        <v>334</v>
      </c>
      <c r="F429" s="1" t="s">
        <v>70</v>
      </c>
      <c r="G429" s="1" t="s">
        <v>49</v>
      </c>
      <c r="H429" s="1" t="s">
        <v>49</v>
      </c>
      <c r="I429" s="1">
        <v>1</v>
      </c>
      <c r="J429" s="1">
        <v>0</v>
      </c>
      <c r="K429" s="1" t="s">
        <v>22</v>
      </c>
      <c r="L429" s="1" t="s">
        <v>19</v>
      </c>
    </row>
    <row r="430" spans="1:12" hidden="1" x14ac:dyDescent="0.2">
      <c r="A430" s="1">
        <v>1990</v>
      </c>
      <c r="B430" s="2" t="d">
        <v>1990-06-15</v>
      </c>
      <c r="C430" s="1" t="s">
        <v>79</v>
      </c>
      <c r="D430" s="1" t="s">
        <v>242</v>
      </c>
      <c r="E430" s="1" t="s">
        <v>335</v>
      </c>
      <c r="F430" s="1" t="s">
        <v>64</v>
      </c>
      <c r="G430" s="1" t="s">
        <v>49</v>
      </c>
      <c r="H430" s="1" t="s">
        <v>50</v>
      </c>
      <c r="I430" s="1">
        <v>0</v>
      </c>
      <c r="J430" s="1">
        <v>1</v>
      </c>
      <c r="K430" s="1" t="s">
        <v>73</v>
      </c>
      <c r="L430" s="1" t="s">
        <v>19</v>
      </c>
    </row>
    <row r="431" spans="1:12" hidden="1" x14ac:dyDescent="0.2">
      <c r="A431" s="1">
        <v>1990</v>
      </c>
      <c r="B431" s="2" t="d">
        <v>1990-06-15</v>
      </c>
      <c r="C431" s="1" t="s">
        <v>268</v>
      </c>
      <c r="D431" s="1" t="s">
        <v>306</v>
      </c>
      <c r="E431" s="1" t="s">
        <v>329</v>
      </c>
      <c r="F431" s="1" t="s">
        <v>57</v>
      </c>
      <c r="G431" s="1" t="s">
        <v>49</v>
      </c>
      <c r="H431" s="1" t="s">
        <v>133</v>
      </c>
      <c r="I431" s="1">
        <v>5</v>
      </c>
      <c r="J431" s="1">
        <v>1</v>
      </c>
      <c r="K431" s="1" t="s">
        <v>333</v>
      </c>
      <c r="L431" s="1" t="s">
        <v>19</v>
      </c>
    </row>
    <row r="432" spans="1:12" hidden="1" x14ac:dyDescent="0.2">
      <c r="A432" s="1">
        <v>1990</v>
      </c>
      <c r="B432" s="2" t="d">
        <v>1990-06-16</v>
      </c>
      <c r="C432" s="1" t="s">
        <v>79</v>
      </c>
      <c r="D432" s="1" t="s">
        <v>304</v>
      </c>
      <c r="E432" s="1" t="s">
        <v>336</v>
      </c>
      <c r="F432" s="1" t="s">
        <v>48</v>
      </c>
      <c r="G432" s="1" t="s">
        <v>49</v>
      </c>
      <c r="H432" s="1" t="s">
        <v>27</v>
      </c>
      <c r="I432" s="1">
        <v>1</v>
      </c>
      <c r="J432" s="1">
        <v>0</v>
      </c>
      <c r="K432" s="1" t="s">
        <v>337</v>
      </c>
      <c r="L432" s="1" t="s">
        <v>19</v>
      </c>
    </row>
    <row r="433" spans="1:12" hidden="1" x14ac:dyDescent="0.2">
      <c r="A433" s="1">
        <v>1990</v>
      </c>
      <c r="B433" s="2" t="d">
        <v>1990-06-16</v>
      </c>
      <c r="C433" s="1" t="s">
        <v>268</v>
      </c>
      <c r="D433" s="1" t="s">
        <v>304</v>
      </c>
      <c r="E433" s="1" t="s">
        <v>66</v>
      </c>
      <c r="F433" s="1" t="s">
        <v>67</v>
      </c>
      <c r="G433" s="1" t="s">
        <v>49</v>
      </c>
      <c r="H433" s="1" t="s">
        <v>62</v>
      </c>
      <c r="I433" s="1">
        <v>1</v>
      </c>
      <c r="J433" s="1">
        <v>2</v>
      </c>
      <c r="K433" s="1" t="s">
        <v>128</v>
      </c>
      <c r="L433" s="1" t="s">
        <v>19</v>
      </c>
    </row>
    <row r="434" spans="1:12" hidden="1" x14ac:dyDescent="0.2">
      <c r="A434" s="1">
        <v>1990</v>
      </c>
      <c r="B434" s="2" t="d">
        <v>1990-06-16</v>
      </c>
      <c r="C434" s="1" t="s">
        <v>268</v>
      </c>
      <c r="D434" s="1" t="s">
        <v>310</v>
      </c>
      <c r="E434" s="1" t="s">
        <v>338</v>
      </c>
      <c r="F434" s="1" t="s">
        <v>339</v>
      </c>
      <c r="G434" s="1" t="s">
        <v>49</v>
      </c>
      <c r="H434" s="1" t="s">
        <v>110</v>
      </c>
      <c r="I434" s="1">
        <v>0</v>
      </c>
      <c r="J434" s="1">
        <v>0</v>
      </c>
      <c r="K434" s="1" t="s">
        <v>59</v>
      </c>
      <c r="L434" s="1" t="s">
        <v>19</v>
      </c>
    </row>
    <row r="435" spans="1:12" hidden="1" x14ac:dyDescent="0.2">
      <c r="A435" s="1">
        <v>1990</v>
      </c>
      <c r="B435" s="2" t="d">
        <v>1990-06-17</v>
      </c>
      <c r="C435" s="1" t="s">
        <v>79</v>
      </c>
      <c r="D435" s="1" t="s">
        <v>310</v>
      </c>
      <c r="E435" s="1" t="s">
        <v>343</v>
      </c>
      <c r="F435" s="1" t="s">
        <v>344</v>
      </c>
      <c r="G435" s="1" t="s">
        <v>49</v>
      </c>
      <c r="H435" s="1" t="s">
        <v>340</v>
      </c>
      <c r="I435" s="1">
        <v>0</v>
      </c>
      <c r="J435" s="1">
        <v>0</v>
      </c>
      <c r="K435" s="1" t="s">
        <v>55</v>
      </c>
      <c r="L435" s="1" t="s">
        <v>19</v>
      </c>
    </row>
    <row r="436" spans="1:12" hidden="1" x14ac:dyDescent="0.2">
      <c r="A436" s="1">
        <v>1990</v>
      </c>
      <c r="B436" s="2" t="d">
        <v>1990-06-17</v>
      </c>
      <c r="C436" s="1" t="s">
        <v>268</v>
      </c>
      <c r="D436" s="1" t="s">
        <v>317</v>
      </c>
      <c r="E436" s="1" t="s">
        <v>345</v>
      </c>
      <c r="F436" s="1" t="s">
        <v>346</v>
      </c>
      <c r="G436" s="1" t="s">
        <v>49</v>
      </c>
      <c r="H436" s="1" t="s">
        <v>135</v>
      </c>
      <c r="I436" s="1">
        <v>1</v>
      </c>
      <c r="J436" s="1">
        <v>3</v>
      </c>
      <c r="K436" s="1" t="s">
        <v>68</v>
      </c>
      <c r="L436" s="1" t="s">
        <v>19</v>
      </c>
    </row>
    <row r="437" spans="1:12" hidden="1" x14ac:dyDescent="0.2">
      <c r="A437" s="1">
        <v>1990</v>
      </c>
      <c r="B437" s="2" t="d">
        <v>1990-06-17</v>
      </c>
      <c r="C437" s="1" t="s">
        <v>268</v>
      </c>
      <c r="D437" s="1" t="s">
        <v>317</v>
      </c>
      <c r="E437" s="1" t="s">
        <v>341</v>
      </c>
      <c r="F437" s="1" t="s">
        <v>342</v>
      </c>
      <c r="G437" s="1" t="s">
        <v>49</v>
      </c>
      <c r="H437" s="1" t="s">
        <v>23</v>
      </c>
      <c r="I437" s="1">
        <v>3</v>
      </c>
      <c r="J437" s="1">
        <v>1</v>
      </c>
      <c r="K437" s="1" t="s">
        <v>16</v>
      </c>
      <c r="L437" s="1" t="s">
        <v>19</v>
      </c>
    </row>
    <row r="438" spans="1:12" hidden="1" x14ac:dyDescent="0.2">
      <c r="A438" s="1">
        <v>1990</v>
      </c>
      <c r="B438" s="2" t="d">
        <v>1990-06-18</v>
      </c>
      <c r="C438" s="1" t="s">
        <v>268</v>
      </c>
      <c r="D438" s="1" t="s">
        <v>241</v>
      </c>
      <c r="E438" s="1" t="s">
        <v>347</v>
      </c>
      <c r="F438" s="1" t="s">
        <v>53</v>
      </c>
      <c r="G438" s="1" t="s">
        <v>49</v>
      </c>
      <c r="H438" s="1" t="s">
        <v>33</v>
      </c>
      <c r="I438" s="1">
        <v>1</v>
      </c>
      <c r="J438" s="1">
        <v>1</v>
      </c>
      <c r="K438" s="1" t="s">
        <v>30</v>
      </c>
      <c r="L438" s="1" t="s">
        <v>19</v>
      </c>
    </row>
    <row r="439" spans="1:12" hidden="1" x14ac:dyDescent="0.2">
      <c r="A439" s="1">
        <v>1990</v>
      </c>
      <c r="B439" s="2" t="d">
        <v>1990-06-18</v>
      </c>
      <c r="C439" s="1" t="s">
        <v>268</v>
      </c>
      <c r="D439" s="1" t="s">
        <v>241</v>
      </c>
      <c r="E439" s="1" t="s">
        <v>330</v>
      </c>
      <c r="F439" s="1" t="s">
        <v>331</v>
      </c>
      <c r="G439" s="1" t="s">
        <v>49</v>
      </c>
      <c r="H439" s="1" t="s">
        <v>273</v>
      </c>
      <c r="I439" s="1">
        <v>0</v>
      </c>
      <c r="J439" s="1">
        <v>4</v>
      </c>
      <c r="K439" s="1" t="s">
        <v>151</v>
      </c>
      <c r="L439" s="1" t="s">
        <v>19</v>
      </c>
    </row>
    <row r="440" spans="1:12" hidden="1" x14ac:dyDescent="0.2">
      <c r="A440" s="1">
        <v>1990</v>
      </c>
      <c r="B440" s="2" t="d">
        <v>1990-06-19</v>
      </c>
      <c r="C440" s="1" t="s">
        <v>79</v>
      </c>
      <c r="D440" s="1" t="s">
        <v>306</v>
      </c>
      <c r="E440" s="1" t="s">
        <v>329</v>
      </c>
      <c r="F440" s="1" t="s">
        <v>57</v>
      </c>
      <c r="G440" s="1" t="s">
        <v>49</v>
      </c>
      <c r="H440" s="1" t="s">
        <v>133</v>
      </c>
      <c r="I440" s="1">
        <v>1</v>
      </c>
      <c r="J440" s="1">
        <v>1</v>
      </c>
      <c r="K440" s="1" t="s">
        <v>177</v>
      </c>
      <c r="L440" s="1" t="s">
        <v>19</v>
      </c>
    </row>
    <row r="441" spans="1:12" hidden="1" x14ac:dyDescent="0.2">
      <c r="A441" s="1">
        <v>1990</v>
      </c>
      <c r="B441" s="2" t="d">
        <v>1990-06-19</v>
      </c>
      <c r="C441" s="1" t="s">
        <v>79</v>
      </c>
      <c r="D441" s="1" t="s">
        <v>306</v>
      </c>
      <c r="E441" s="1" t="s">
        <v>332</v>
      </c>
      <c r="F441" s="1" t="s">
        <v>61</v>
      </c>
      <c r="G441" s="1" t="s">
        <v>49</v>
      </c>
      <c r="H441" s="1" t="s">
        <v>26</v>
      </c>
      <c r="I441" s="1">
        <v>4</v>
      </c>
      <c r="J441" s="1">
        <v>1</v>
      </c>
      <c r="K441" s="1" t="s">
        <v>333</v>
      </c>
      <c r="L441" s="1" t="s">
        <v>19</v>
      </c>
    </row>
    <row r="442" spans="1:12" hidden="1" x14ac:dyDescent="0.2">
      <c r="A442" s="1">
        <v>1990</v>
      </c>
      <c r="B442" s="2" t="d">
        <v>1990-06-19</v>
      </c>
      <c r="C442" s="1" t="s">
        <v>268</v>
      </c>
      <c r="D442" s="1" t="s">
        <v>242</v>
      </c>
      <c r="E442" s="1" t="s">
        <v>334</v>
      </c>
      <c r="F442" s="1" t="s">
        <v>70</v>
      </c>
      <c r="G442" s="1" t="s">
        <v>49</v>
      </c>
      <c r="H442" s="1" t="s">
        <v>49</v>
      </c>
      <c r="I442" s="1">
        <v>2</v>
      </c>
      <c r="J442" s="1">
        <v>0</v>
      </c>
      <c r="K442" s="1" t="s">
        <v>73</v>
      </c>
      <c r="L442" s="1" t="s">
        <v>19</v>
      </c>
    </row>
    <row r="443" spans="1:12" hidden="1" x14ac:dyDescent="0.2">
      <c r="A443" s="1">
        <v>1990</v>
      </c>
      <c r="B443" s="2" t="d">
        <v>1990-06-19</v>
      </c>
      <c r="C443" s="1" t="s">
        <v>268</v>
      </c>
      <c r="D443" s="1" t="s">
        <v>242</v>
      </c>
      <c r="E443" s="1" t="s">
        <v>335</v>
      </c>
      <c r="F443" s="1" t="s">
        <v>64</v>
      </c>
      <c r="G443" s="1" t="s">
        <v>49</v>
      </c>
      <c r="H443" s="1" t="s">
        <v>50</v>
      </c>
      <c r="I443" s="1">
        <v>2</v>
      </c>
      <c r="J443" s="1">
        <v>1</v>
      </c>
      <c r="K443" s="1" t="s">
        <v>22</v>
      </c>
      <c r="L443" s="1" t="s">
        <v>19</v>
      </c>
    </row>
    <row r="444" spans="1:12" hidden="1" x14ac:dyDescent="0.2">
      <c r="A444" s="1">
        <v>1990</v>
      </c>
      <c r="B444" s="2" t="d">
        <v>1990-06-20</v>
      </c>
      <c r="C444" s="1" t="s">
        <v>268</v>
      </c>
      <c r="D444" s="1" t="s">
        <v>304</v>
      </c>
      <c r="E444" s="1" t="s">
        <v>336</v>
      </c>
      <c r="F444" s="1" t="s">
        <v>48</v>
      </c>
      <c r="G444" s="1" t="s">
        <v>49</v>
      </c>
      <c r="H444" s="1" t="s">
        <v>27</v>
      </c>
      <c r="I444" s="1">
        <v>1</v>
      </c>
      <c r="J444" s="1">
        <v>0</v>
      </c>
      <c r="K444" s="1" t="s">
        <v>128</v>
      </c>
      <c r="L444" s="1" t="s">
        <v>19</v>
      </c>
    </row>
    <row r="445" spans="1:12" hidden="1" x14ac:dyDescent="0.2">
      <c r="A445" s="1">
        <v>1990</v>
      </c>
      <c r="B445" s="2" t="d">
        <v>1990-06-20</v>
      </c>
      <c r="C445" s="1" t="s">
        <v>268</v>
      </c>
      <c r="D445" s="1" t="s">
        <v>304</v>
      </c>
      <c r="E445" s="1" t="s">
        <v>66</v>
      </c>
      <c r="F445" s="1" t="s">
        <v>67</v>
      </c>
      <c r="G445" s="1" t="s">
        <v>49</v>
      </c>
      <c r="H445" s="1" t="s">
        <v>62</v>
      </c>
      <c r="I445" s="1">
        <v>1</v>
      </c>
      <c r="J445" s="1">
        <v>2</v>
      </c>
      <c r="K445" s="1" t="s">
        <v>337</v>
      </c>
      <c r="L445" s="1" t="s">
        <v>19</v>
      </c>
    </row>
    <row r="446" spans="1:12" hidden="1" x14ac:dyDescent="0.2">
      <c r="A446" s="1">
        <v>1990</v>
      </c>
      <c r="B446" s="2" t="d">
        <v>1990-06-21</v>
      </c>
      <c r="C446" s="1" t="s">
        <v>79</v>
      </c>
      <c r="D446" s="1" t="s">
        <v>317</v>
      </c>
      <c r="E446" s="1" t="s">
        <v>348</v>
      </c>
      <c r="F446" s="1" t="s">
        <v>346</v>
      </c>
      <c r="G446" s="1" t="s">
        <v>49</v>
      </c>
      <c r="H446" s="1" t="s">
        <v>135</v>
      </c>
      <c r="I446" s="1">
        <v>0</v>
      </c>
      <c r="J446" s="1">
        <v>1</v>
      </c>
      <c r="K446" s="1" t="s">
        <v>16</v>
      </c>
      <c r="L446" s="1" t="s">
        <v>19</v>
      </c>
    </row>
    <row r="447" spans="1:12" hidden="1" x14ac:dyDescent="0.2">
      <c r="A447" s="1">
        <v>1990</v>
      </c>
      <c r="B447" s="2" t="d">
        <v>1990-06-21</v>
      </c>
      <c r="C447" s="1" t="s">
        <v>79</v>
      </c>
      <c r="D447" s="1" t="s">
        <v>317</v>
      </c>
      <c r="E447" s="1" t="s">
        <v>341</v>
      </c>
      <c r="F447" s="1" t="s">
        <v>342</v>
      </c>
      <c r="G447" s="1" t="s">
        <v>49</v>
      </c>
      <c r="H447" s="1" t="s">
        <v>23</v>
      </c>
      <c r="I447" s="1">
        <v>1</v>
      </c>
      <c r="J447" s="1">
        <v>2</v>
      </c>
      <c r="K447" s="1" t="s">
        <v>68</v>
      </c>
      <c r="L447" s="1" t="s">
        <v>19</v>
      </c>
    </row>
    <row r="448" spans="1:12" hidden="1" x14ac:dyDescent="0.2">
      <c r="A448" s="1">
        <v>1990</v>
      </c>
      <c r="B448" s="2" t="d">
        <v>1990-06-21</v>
      </c>
      <c r="C448" s="1" t="s">
        <v>268</v>
      </c>
      <c r="D448" s="1" t="s">
        <v>310</v>
      </c>
      <c r="E448" s="1" t="s">
        <v>343</v>
      </c>
      <c r="F448" s="1" t="s">
        <v>344</v>
      </c>
      <c r="G448" s="1" t="s">
        <v>49</v>
      </c>
      <c r="H448" s="1" t="s">
        <v>340</v>
      </c>
      <c r="I448" s="1">
        <v>1</v>
      </c>
      <c r="J448" s="1">
        <v>1</v>
      </c>
      <c r="K448" s="1" t="s">
        <v>59</v>
      </c>
      <c r="L448" s="1" t="s">
        <v>19</v>
      </c>
    </row>
    <row r="449" spans="1:12" hidden="1" x14ac:dyDescent="0.2">
      <c r="A449" s="1">
        <v>1990</v>
      </c>
      <c r="B449" s="2" t="d">
        <v>1990-06-21</v>
      </c>
      <c r="C449" s="1" t="s">
        <v>268</v>
      </c>
      <c r="D449" s="1" t="s">
        <v>310</v>
      </c>
      <c r="E449" s="1" t="s">
        <v>338</v>
      </c>
      <c r="F449" s="1" t="s">
        <v>339</v>
      </c>
      <c r="G449" s="1" t="s">
        <v>49</v>
      </c>
      <c r="H449" s="1" t="s">
        <v>110</v>
      </c>
      <c r="I449" s="1">
        <v>1</v>
      </c>
      <c r="J449" s="1">
        <v>0</v>
      </c>
      <c r="K449" s="1" t="s">
        <v>55</v>
      </c>
      <c r="L449" s="1" t="s">
        <v>19</v>
      </c>
    </row>
    <row r="450" spans="1:12" hidden="1" x14ac:dyDescent="0.2">
      <c r="A450" s="1">
        <v>1990</v>
      </c>
      <c r="B450" s="2" t="d">
        <v>1990-06-23</v>
      </c>
      <c r="C450" s="1" t="s">
        <v>79</v>
      </c>
      <c r="D450" s="12" t="s">
        <v>323</v>
      </c>
      <c r="E450" s="1" t="s">
        <v>347</v>
      </c>
      <c r="F450" s="1" t="s">
        <v>53</v>
      </c>
      <c r="G450" s="1" t="s">
        <v>49</v>
      </c>
      <c r="H450" s="1" t="s">
        <v>273</v>
      </c>
      <c r="I450" s="1">
        <v>2</v>
      </c>
      <c r="J450" s="1">
        <v>1</v>
      </c>
      <c r="K450" s="1" t="s">
        <v>177</v>
      </c>
      <c r="L450" s="1" t="s">
        <v>349</v>
      </c>
    </row>
    <row r="451" spans="1:12" hidden="1" x14ac:dyDescent="0.2">
      <c r="A451" s="1">
        <v>1990</v>
      </c>
      <c r="B451" s="2" t="d">
        <v>1990-06-23</v>
      </c>
      <c r="C451" s="1" t="s">
        <v>268</v>
      </c>
      <c r="D451" s="12" t="s">
        <v>323</v>
      </c>
      <c r="E451" s="1" t="s">
        <v>330</v>
      </c>
      <c r="F451" s="1" t="s">
        <v>331</v>
      </c>
      <c r="G451" s="1" t="s">
        <v>49</v>
      </c>
      <c r="H451" s="1" t="s">
        <v>73</v>
      </c>
      <c r="I451" s="1">
        <v>4</v>
      </c>
      <c r="J451" s="1">
        <v>1</v>
      </c>
      <c r="K451" s="1" t="s">
        <v>337</v>
      </c>
      <c r="L451" s="1" t="s">
        <v>19</v>
      </c>
    </row>
    <row r="452" spans="1:12" hidden="1" x14ac:dyDescent="0.2">
      <c r="A452" s="1">
        <v>1990</v>
      </c>
      <c r="B452" s="2" t="d">
        <v>1990-06-24</v>
      </c>
      <c r="C452" s="1" t="s">
        <v>79</v>
      </c>
      <c r="D452" s="12" t="s">
        <v>323</v>
      </c>
      <c r="E452" s="1" t="s">
        <v>336</v>
      </c>
      <c r="F452" s="1" t="s">
        <v>48</v>
      </c>
      <c r="G452" s="1" t="s">
        <v>49</v>
      </c>
      <c r="H452" s="1" t="s">
        <v>27</v>
      </c>
      <c r="I452" s="1">
        <v>0</v>
      </c>
      <c r="J452" s="1">
        <v>1</v>
      </c>
      <c r="K452" s="1" t="s">
        <v>33</v>
      </c>
      <c r="L452" s="1" t="s">
        <v>19</v>
      </c>
    </row>
    <row r="453" spans="1:12" hidden="1" x14ac:dyDescent="0.2">
      <c r="A453" s="1">
        <v>1990</v>
      </c>
      <c r="B453" s="2" t="d">
        <v>1990-06-24</v>
      </c>
      <c r="C453" s="1" t="s">
        <v>268</v>
      </c>
      <c r="D453" s="12" t="s">
        <v>323</v>
      </c>
      <c r="E453" s="1" t="s">
        <v>329</v>
      </c>
      <c r="F453" s="1" t="s">
        <v>57</v>
      </c>
      <c r="G453" s="1" t="s">
        <v>49</v>
      </c>
      <c r="H453" s="1" t="s">
        <v>133</v>
      </c>
      <c r="I453" s="1">
        <v>2</v>
      </c>
      <c r="J453" s="1">
        <v>1</v>
      </c>
      <c r="K453" s="1" t="s">
        <v>59</v>
      </c>
      <c r="L453" s="1" t="s">
        <v>19</v>
      </c>
    </row>
    <row r="454" spans="1:12" hidden="1" x14ac:dyDescent="0.2">
      <c r="A454" s="1">
        <v>1990</v>
      </c>
      <c r="B454" s="2" t="d">
        <v>1990-06-25</v>
      </c>
      <c r="C454" s="1" t="s">
        <v>79</v>
      </c>
      <c r="D454" s="12" t="s">
        <v>323</v>
      </c>
      <c r="E454" s="1" t="s">
        <v>66</v>
      </c>
      <c r="F454" s="1" t="s">
        <v>67</v>
      </c>
      <c r="G454" s="1" t="s">
        <v>49</v>
      </c>
      <c r="H454" s="1" t="s">
        <v>340</v>
      </c>
      <c r="I454" s="1">
        <v>0</v>
      </c>
      <c r="J454" s="1">
        <v>0</v>
      </c>
      <c r="K454" s="1" t="s">
        <v>30</v>
      </c>
      <c r="L454" s="1" t="s">
        <v>350</v>
      </c>
    </row>
    <row r="455" spans="1:12" hidden="1" x14ac:dyDescent="0.2">
      <c r="A455" s="1">
        <v>1990</v>
      </c>
      <c r="B455" s="2" t="d">
        <v>1990-06-25</v>
      </c>
      <c r="C455" s="1" t="s">
        <v>268</v>
      </c>
      <c r="D455" s="12" t="s">
        <v>323</v>
      </c>
      <c r="E455" s="1" t="s">
        <v>334</v>
      </c>
      <c r="F455" s="1" t="s">
        <v>70</v>
      </c>
      <c r="G455" s="1" t="s">
        <v>49</v>
      </c>
      <c r="H455" s="1" t="s">
        <v>49</v>
      </c>
      <c r="I455" s="1">
        <v>2</v>
      </c>
      <c r="J455" s="1">
        <v>0</v>
      </c>
      <c r="K455" s="1" t="s">
        <v>16</v>
      </c>
      <c r="L455" s="1" t="s">
        <v>19</v>
      </c>
    </row>
    <row r="456" spans="1:12" hidden="1" x14ac:dyDescent="0.2">
      <c r="A456" s="1">
        <v>1990</v>
      </c>
      <c r="B456" s="2" t="d">
        <v>1990-06-26</v>
      </c>
      <c r="C456" s="1" t="s">
        <v>79</v>
      </c>
      <c r="D456" s="12" t="s">
        <v>323</v>
      </c>
      <c r="E456" s="1" t="s">
        <v>341</v>
      </c>
      <c r="F456" s="1" t="s">
        <v>342</v>
      </c>
      <c r="G456" s="1" t="s">
        <v>49</v>
      </c>
      <c r="H456" s="1" t="s">
        <v>68</v>
      </c>
      <c r="I456" s="1">
        <v>1</v>
      </c>
      <c r="J456" s="1">
        <v>2</v>
      </c>
      <c r="K456" s="1" t="s">
        <v>26</v>
      </c>
      <c r="L456" s="1" t="s">
        <v>351</v>
      </c>
    </row>
    <row r="457" spans="1:12" hidden="1" x14ac:dyDescent="0.2">
      <c r="A457" s="1">
        <v>1990</v>
      </c>
      <c r="B457" s="2" t="d">
        <v>1990-06-26</v>
      </c>
      <c r="C457" s="1" t="s">
        <v>268</v>
      </c>
      <c r="D457" s="12" t="s">
        <v>323</v>
      </c>
      <c r="E457" s="1" t="s">
        <v>332</v>
      </c>
      <c r="F457" s="1" t="s">
        <v>61</v>
      </c>
      <c r="G457" s="1" t="s">
        <v>49</v>
      </c>
      <c r="H457" s="1" t="s">
        <v>110</v>
      </c>
      <c r="I457" s="1">
        <v>1</v>
      </c>
      <c r="J457" s="1">
        <v>0</v>
      </c>
      <c r="K457" s="1" t="s">
        <v>23</v>
      </c>
      <c r="L457" s="1" t="s">
        <v>203</v>
      </c>
    </row>
    <row r="458" spans="1:12" hidden="1" x14ac:dyDescent="0.2">
      <c r="A458" s="1">
        <v>1990</v>
      </c>
      <c r="B458" s="2" t="d">
        <v>1990-06-30</v>
      </c>
      <c r="C458" s="1" t="s">
        <v>79</v>
      </c>
      <c r="D458" s="12" t="s">
        <v>74</v>
      </c>
      <c r="E458" s="1" t="s">
        <v>335</v>
      </c>
      <c r="F458" s="1" t="s">
        <v>64</v>
      </c>
      <c r="G458" s="1" t="s">
        <v>49</v>
      </c>
      <c r="H458" s="1" t="s">
        <v>26</v>
      </c>
      <c r="I458" s="1">
        <v>0</v>
      </c>
      <c r="J458" s="1">
        <v>0</v>
      </c>
      <c r="K458" s="1" t="s">
        <v>33</v>
      </c>
      <c r="L458" s="1" t="s">
        <v>352</v>
      </c>
    </row>
    <row r="459" spans="1:12" hidden="1" x14ac:dyDescent="0.2">
      <c r="A459" s="1">
        <v>1990</v>
      </c>
      <c r="B459" s="2" t="d">
        <v>1990-06-30</v>
      </c>
      <c r="C459" s="1" t="s">
        <v>268</v>
      </c>
      <c r="D459" s="12" t="s">
        <v>74</v>
      </c>
      <c r="E459" s="1" t="s">
        <v>334</v>
      </c>
      <c r="F459" s="1" t="s">
        <v>70</v>
      </c>
      <c r="G459" s="1" t="s">
        <v>49</v>
      </c>
      <c r="H459" s="1" t="s">
        <v>49</v>
      </c>
      <c r="I459" s="1">
        <v>1</v>
      </c>
      <c r="J459" s="1">
        <v>0</v>
      </c>
      <c r="K459" s="1" t="s">
        <v>340</v>
      </c>
      <c r="L459" s="1" t="s">
        <v>19</v>
      </c>
    </row>
    <row r="460" spans="1:12" hidden="1" x14ac:dyDescent="0.2">
      <c r="A460" s="1">
        <v>1990</v>
      </c>
      <c r="B460" s="2" t="d">
        <v>1990-07-01</v>
      </c>
      <c r="C460" s="1" t="s">
        <v>79</v>
      </c>
      <c r="D460" s="12" t="s">
        <v>74</v>
      </c>
      <c r="E460" s="1" t="s">
        <v>329</v>
      </c>
      <c r="F460" s="1" t="s">
        <v>57</v>
      </c>
      <c r="G460" s="1" t="s">
        <v>49</v>
      </c>
      <c r="H460" s="1" t="s">
        <v>133</v>
      </c>
      <c r="I460" s="1">
        <v>1</v>
      </c>
      <c r="J460" s="1">
        <v>0</v>
      </c>
      <c r="K460" s="1" t="s">
        <v>73</v>
      </c>
      <c r="L460" s="1" t="s">
        <v>19</v>
      </c>
    </row>
    <row r="461" spans="1:12" hidden="1" x14ac:dyDescent="0.2">
      <c r="A461" s="1">
        <v>1990</v>
      </c>
      <c r="B461" s="2" t="d">
        <v>1990-07-01</v>
      </c>
      <c r="C461" s="1" t="s">
        <v>268</v>
      </c>
      <c r="D461" s="12" t="s">
        <v>74</v>
      </c>
      <c r="E461" s="1" t="s">
        <v>347</v>
      </c>
      <c r="F461" s="1" t="s">
        <v>53</v>
      </c>
      <c r="G461" s="1" t="s">
        <v>49</v>
      </c>
      <c r="H461" s="1" t="s">
        <v>110</v>
      </c>
      <c r="I461" s="1">
        <v>3</v>
      </c>
      <c r="J461" s="1">
        <v>2</v>
      </c>
      <c r="K461" s="1" t="s">
        <v>273</v>
      </c>
      <c r="L461" s="1" t="s">
        <v>203</v>
      </c>
    </row>
    <row r="462" spans="1:12" hidden="1" x14ac:dyDescent="0.2">
      <c r="A462" s="1">
        <v>1990</v>
      </c>
      <c r="B462" s="2" t="d">
        <v>1990-07-03</v>
      </c>
      <c r="C462" s="1" t="s">
        <v>262</v>
      </c>
      <c r="D462" s="12" t="s">
        <v>42</v>
      </c>
      <c r="E462" s="1" t="s">
        <v>347</v>
      </c>
      <c r="F462" s="1" t="s">
        <v>53</v>
      </c>
      <c r="G462" s="1" t="s">
        <v>49</v>
      </c>
      <c r="H462" s="1" t="s">
        <v>49</v>
      </c>
      <c r="I462" s="1">
        <v>1</v>
      </c>
      <c r="J462" s="1">
        <v>1</v>
      </c>
      <c r="K462" s="1" t="s">
        <v>33</v>
      </c>
      <c r="L462" s="1" t="s">
        <v>353</v>
      </c>
    </row>
    <row r="463" spans="1:12" hidden="1" x14ac:dyDescent="0.2">
      <c r="A463" s="1">
        <v>1990</v>
      </c>
      <c r="B463" s="2" t="d">
        <v>1990-07-04</v>
      </c>
      <c r="C463" s="1" t="s">
        <v>262</v>
      </c>
      <c r="D463" s="12" t="s">
        <v>42</v>
      </c>
      <c r="E463" s="1" t="s">
        <v>336</v>
      </c>
      <c r="F463" s="1" t="s">
        <v>48</v>
      </c>
      <c r="G463" s="1" t="s">
        <v>49</v>
      </c>
      <c r="H463" s="1" t="s">
        <v>133</v>
      </c>
      <c r="I463" s="1">
        <v>1</v>
      </c>
      <c r="J463" s="1">
        <v>1</v>
      </c>
      <c r="K463" s="1" t="s">
        <v>110</v>
      </c>
      <c r="L463" s="1" t="s">
        <v>354</v>
      </c>
    </row>
    <row r="464" spans="1:12" hidden="1" x14ac:dyDescent="0.2">
      <c r="A464" s="1">
        <v>1990</v>
      </c>
      <c r="B464" s="2" t="d">
        <v>1990-07-07</v>
      </c>
      <c r="C464" s="1" t="s">
        <v>262</v>
      </c>
      <c r="D464" s="12" t="s">
        <v>76</v>
      </c>
      <c r="E464" s="1" t="s">
        <v>330</v>
      </c>
      <c r="F464" s="1" t="s">
        <v>331</v>
      </c>
      <c r="G464" s="1" t="s">
        <v>49</v>
      </c>
      <c r="H464" s="1" t="s">
        <v>49</v>
      </c>
      <c r="I464" s="1">
        <v>2</v>
      </c>
      <c r="J464" s="1">
        <v>1</v>
      </c>
      <c r="K464" s="1" t="s">
        <v>110</v>
      </c>
      <c r="L464" s="1" t="s">
        <v>19</v>
      </c>
    </row>
    <row r="465" spans="1:12" hidden="1" x14ac:dyDescent="0.2">
      <c r="A465" s="1">
        <v>1990</v>
      </c>
      <c r="B465" s="2" t="d">
        <v>1990-07-08</v>
      </c>
      <c r="C465" s="1" t="s">
        <v>262</v>
      </c>
      <c r="D465" s="12" t="s">
        <v>44</v>
      </c>
      <c r="E465" s="1" t="s">
        <v>334</v>
      </c>
      <c r="F465" s="1" t="s">
        <v>70</v>
      </c>
      <c r="G465" s="1" t="s">
        <v>49</v>
      </c>
      <c r="H465" s="1" t="s">
        <v>133</v>
      </c>
      <c r="I465" s="1">
        <v>1</v>
      </c>
      <c r="J465" s="1">
        <v>0</v>
      </c>
      <c r="K465" s="1" t="s">
        <v>33</v>
      </c>
      <c r="L465" s="1" t="s">
        <v>19</v>
      </c>
    </row>
    <row r="466" spans="1:12" hidden="1" x14ac:dyDescent="0.2">
      <c r="A466" s="1">
        <v>1994</v>
      </c>
      <c r="B466" s="2" t="d">
        <v>1994-06-17</v>
      </c>
      <c r="C466" s="1" t="s">
        <v>185</v>
      </c>
      <c r="D466" s="1" t="s">
        <v>304</v>
      </c>
      <c r="E466" s="1" t="s">
        <v>355</v>
      </c>
      <c r="F466" s="1" t="s">
        <v>356</v>
      </c>
      <c r="G466" s="1" t="s">
        <v>22</v>
      </c>
      <c r="H466" s="1" t="s">
        <v>68</v>
      </c>
      <c r="I466" s="1">
        <v>2</v>
      </c>
      <c r="J466" s="1">
        <v>2</v>
      </c>
      <c r="K466" s="1" t="s">
        <v>135</v>
      </c>
      <c r="L466" s="1" t="s">
        <v>19</v>
      </c>
    </row>
    <row r="467" spans="1:12" hidden="1" x14ac:dyDescent="0.2">
      <c r="A467" s="1">
        <v>1994</v>
      </c>
      <c r="B467" s="2" t="d">
        <v>1994-06-17</v>
      </c>
      <c r="C467" s="1" t="s">
        <v>12</v>
      </c>
      <c r="D467" s="1" t="s">
        <v>304</v>
      </c>
      <c r="E467" s="1" t="s">
        <v>357</v>
      </c>
      <c r="F467" s="1" t="s">
        <v>358</v>
      </c>
      <c r="G467" s="1" t="s">
        <v>22</v>
      </c>
      <c r="H467" s="1" t="s">
        <v>65</v>
      </c>
      <c r="I467" s="1">
        <v>1</v>
      </c>
      <c r="J467" s="1">
        <v>0</v>
      </c>
      <c r="K467" s="1" t="s">
        <v>36</v>
      </c>
      <c r="L467" s="1" t="s">
        <v>19</v>
      </c>
    </row>
    <row r="468" spans="1:12" hidden="1" x14ac:dyDescent="0.2">
      <c r="A468" s="1">
        <v>1994</v>
      </c>
      <c r="B468" s="2" t="d">
        <v>1994-06-18</v>
      </c>
      <c r="C468" s="1" t="s">
        <v>359</v>
      </c>
      <c r="D468" s="1" t="s">
        <v>242</v>
      </c>
      <c r="E468" s="1" t="s">
        <v>360</v>
      </c>
      <c r="F468" s="1" t="s">
        <v>361</v>
      </c>
      <c r="G468" s="1" t="s">
        <v>22</v>
      </c>
      <c r="H468" s="1" t="s">
        <v>22</v>
      </c>
      <c r="I468" s="1">
        <v>1</v>
      </c>
      <c r="J468" s="1">
        <v>1</v>
      </c>
      <c r="K468" s="1" t="s">
        <v>58</v>
      </c>
      <c r="L468" s="1" t="s">
        <v>19</v>
      </c>
    </row>
    <row r="469" spans="1:12" hidden="1" x14ac:dyDescent="0.2">
      <c r="A469" s="1">
        <v>1994</v>
      </c>
      <c r="B469" s="2" t="d">
        <v>1994-06-18</v>
      </c>
      <c r="C469" s="1" t="s">
        <v>32</v>
      </c>
      <c r="D469" s="1" t="s">
        <v>317</v>
      </c>
      <c r="E469" s="1" t="s">
        <v>362</v>
      </c>
      <c r="F469" s="1" t="s">
        <v>363</v>
      </c>
      <c r="G469" s="1" t="s">
        <v>22</v>
      </c>
      <c r="H469" s="1" t="s">
        <v>49</v>
      </c>
      <c r="I469" s="1">
        <v>0</v>
      </c>
      <c r="J469" s="1">
        <v>1</v>
      </c>
      <c r="K469" s="1" t="s">
        <v>340</v>
      </c>
      <c r="L469" s="1" t="s">
        <v>19</v>
      </c>
    </row>
    <row r="470" spans="1:12" hidden="1" x14ac:dyDescent="0.2">
      <c r="A470" s="1">
        <v>1994</v>
      </c>
      <c r="B470" s="2" t="d">
        <v>1994-06-18</v>
      </c>
      <c r="C470" s="1" t="s">
        <v>185</v>
      </c>
      <c r="D470" s="1" t="s">
        <v>242</v>
      </c>
      <c r="E470" s="1" t="s">
        <v>364</v>
      </c>
      <c r="F470" s="1" t="s">
        <v>365</v>
      </c>
      <c r="G470" s="1" t="s">
        <v>22</v>
      </c>
      <c r="H470" s="1" t="s">
        <v>177</v>
      </c>
      <c r="I470" s="1">
        <v>1</v>
      </c>
      <c r="J470" s="1">
        <v>3</v>
      </c>
      <c r="K470" s="1" t="s">
        <v>30</v>
      </c>
      <c r="L470" s="1" t="s">
        <v>19</v>
      </c>
    </row>
    <row r="471" spans="1:12" hidden="1" x14ac:dyDescent="0.2">
      <c r="A471" s="1">
        <v>1994</v>
      </c>
      <c r="B471" s="2" t="d">
        <v>1994-06-19</v>
      </c>
      <c r="C471" s="1" t="s">
        <v>366</v>
      </c>
      <c r="D471" s="1" t="s">
        <v>310</v>
      </c>
      <c r="E471" s="1" t="s">
        <v>367</v>
      </c>
      <c r="F471" s="1" t="s">
        <v>368</v>
      </c>
      <c r="G471" s="1" t="s">
        <v>22</v>
      </c>
      <c r="H471" s="1" t="s">
        <v>23</v>
      </c>
      <c r="I471" s="1">
        <v>1</v>
      </c>
      <c r="J471" s="1">
        <v>0</v>
      </c>
      <c r="K471" s="1" t="s">
        <v>216</v>
      </c>
      <c r="L471" s="1" t="s">
        <v>19</v>
      </c>
    </row>
    <row r="472" spans="1:12" hidden="1" x14ac:dyDescent="0.2">
      <c r="A472" s="1">
        <v>1994</v>
      </c>
      <c r="B472" s="2" t="d">
        <v>1994-06-19</v>
      </c>
      <c r="C472" s="1" t="s">
        <v>32</v>
      </c>
      <c r="D472" s="1" t="s">
        <v>317</v>
      </c>
      <c r="E472" s="1" t="s">
        <v>369</v>
      </c>
      <c r="F472" s="1" t="s">
        <v>370</v>
      </c>
      <c r="G472" s="1" t="s">
        <v>22</v>
      </c>
      <c r="H472" s="1" t="s">
        <v>93</v>
      </c>
      <c r="I472" s="1">
        <v>1</v>
      </c>
      <c r="J472" s="1">
        <v>0</v>
      </c>
      <c r="K472" s="1" t="s">
        <v>18</v>
      </c>
      <c r="L472" s="1" t="s">
        <v>19</v>
      </c>
    </row>
    <row r="473" spans="1:12" hidden="1" x14ac:dyDescent="0.2">
      <c r="A473" s="1">
        <v>1994</v>
      </c>
      <c r="B473" s="2" t="d">
        <v>1994-06-19</v>
      </c>
      <c r="C473" s="1" t="s">
        <v>185</v>
      </c>
      <c r="D473" s="1" t="s">
        <v>241</v>
      </c>
      <c r="E473" s="1" t="s">
        <v>364</v>
      </c>
      <c r="F473" s="1" t="s">
        <v>365</v>
      </c>
      <c r="G473" s="1" t="s">
        <v>22</v>
      </c>
      <c r="H473" s="1" t="s">
        <v>273</v>
      </c>
      <c r="I473" s="1">
        <v>2</v>
      </c>
      <c r="J473" s="1">
        <v>2</v>
      </c>
      <c r="K473" s="1" t="s">
        <v>62</v>
      </c>
      <c r="L473" s="1" t="s">
        <v>19</v>
      </c>
    </row>
    <row r="474" spans="1:12" hidden="1" x14ac:dyDescent="0.2">
      <c r="A474" s="1">
        <v>1994</v>
      </c>
      <c r="B474" s="2" t="d">
        <v>1994-06-20</v>
      </c>
      <c r="C474" s="1" t="s">
        <v>185</v>
      </c>
      <c r="D474" s="1" t="s">
        <v>310</v>
      </c>
      <c r="E474" s="1" t="s">
        <v>369</v>
      </c>
      <c r="F474" s="1" t="s">
        <v>370</v>
      </c>
      <c r="G474" s="1" t="s">
        <v>22</v>
      </c>
      <c r="H474" s="1" t="s">
        <v>59</v>
      </c>
      <c r="I474" s="1">
        <v>2</v>
      </c>
      <c r="J474" s="1">
        <v>1</v>
      </c>
      <c r="K474" s="1" t="s">
        <v>371</v>
      </c>
      <c r="L474" s="1" t="s">
        <v>19</v>
      </c>
    </row>
    <row r="475" spans="1:12" hidden="1" x14ac:dyDescent="0.2">
      <c r="A475" s="1">
        <v>1994</v>
      </c>
      <c r="B475" s="2" t="d">
        <v>1994-06-20</v>
      </c>
      <c r="C475" s="1" t="s">
        <v>32</v>
      </c>
      <c r="D475" s="1" t="s">
        <v>241</v>
      </c>
      <c r="E475" s="1" t="s">
        <v>372</v>
      </c>
      <c r="F475" s="1" t="s">
        <v>373</v>
      </c>
      <c r="G475" s="1" t="s">
        <v>22</v>
      </c>
      <c r="H475" s="1" t="s">
        <v>27</v>
      </c>
      <c r="I475" s="1">
        <v>2</v>
      </c>
      <c r="J475" s="1">
        <v>0</v>
      </c>
      <c r="K475" s="1" t="s">
        <v>374</v>
      </c>
      <c r="L475" s="1" t="s">
        <v>19</v>
      </c>
    </row>
    <row r="476" spans="1:12" hidden="1" x14ac:dyDescent="0.2">
      <c r="A476" s="1">
        <v>1994</v>
      </c>
      <c r="B476" s="2" t="d">
        <v>1994-06-21</v>
      </c>
      <c r="C476" s="1" t="s">
        <v>366</v>
      </c>
      <c r="D476" s="1" t="s">
        <v>306</v>
      </c>
      <c r="E476" s="1" t="s">
        <v>375</v>
      </c>
      <c r="F476" s="1" t="s">
        <v>376</v>
      </c>
      <c r="G476" s="1" t="s">
        <v>22</v>
      </c>
      <c r="H476" s="1" t="s">
        <v>33</v>
      </c>
      <c r="I476" s="1">
        <v>4</v>
      </c>
      <c r="J476" s="1">
        <v>0</v>
      </c>
      <c r="K476" s="1" t="s">
        <v>377</v>
      </c>
      <c r="L476" s="1" t="s">
        <v>19</v>
      </c>
    </row>
    <row r="477" spans="1:12" hidden="1" x14ac:dyDescent="0.2">
      <c r="A477" s="1">
        <v>1994</v>
      </c>
      <c r="B477" s="2" t="d">
        <v>1994-06-21</v>
      </c>
      <c r="C477" s="1" t="s">
        <v>185</v>
      </c>
      <c r="D477" s="1" t="s">
        <v>306</v>
      </c>
      <c r="E477" s="1" t="s">
        <v>355</v>
      </c>
      <c r="F477" s="1" t="s">
        <v>356</v>
      </c>
      <c r="G477" s="1" t="s">
        <v>22</v>
      </c>
      <c r="H477" s="1" t="s">
        <v>378</v>
      </c>
      <c r="I477" s="1">
        <v>3</v>
      </c>
      <c r="J477" s="1">
        <v>0</v>
      </c>
      <c r="K477" s="1" t="s">
        <v>182</v>
      </c>
      <c r="L477" s="1" t="s">
        <v>19</v>
      </c>
    </row>
    <row r="478" spans="1:12" hidden="1" x14ac:dyDescent="0.2">
      <c r="A478" s="1">
        <v>1994</v>
      </c>
      <c r="B478" s="2" t="d">
        <v>1994-06-21</v>
      </c>
      <c r="C478" s="1" t="s">
        <v>32</v>
      </c>
      <c r="D478" s="1" t="s">
        <v>304</v>
      </c>
      <c r="E478" s="1" t="s">
        <v>357</v>
      </c>
      <c r="F478" s="1" t="s">
        <v>358</v>
      </c>
      <c r="G478" s="1" t="s">
        <v>22</v>
      </c>
      <c r="H478" s="1" t="s">
        <v>65</v>
      </c>
      <c r="I478" s="1">
        <v>1</v>
      </c>
      <c r="J478" s="1">
        <v>1</v>
      </c>
      <c r="K478" s="1" t="s">
        <v>68</v>
      </c>
      <c r="L478" s="1" t="s">
        <v>19</v>
      </c>
    </row>
    <row r="479" spans="1:12" hidden="1" x14ac:dyDescent="0.2">
      <c r="A479" s="1">
        <v>1994</v>
      </c>
      <c r="B479" s="2" t="d">
        <v>1994-06-22</v>
      </c>
      <c r="C479" s="1" t="s">
        <v>32</v>
      </c>
      <c r="D479" s="1" t="s">
        <v>242</v>
      </c>
      <c r="E479" s="1" t="s">
        <v>360</v>
      </c>
      <c r="F479" s="1" t="s">
        <v>361</v>
      </c>
      <c r="G479" s="1" t="s">
        <v>22</v>
      </c>
      <c r="H479" s="1" t="s">
        <v>30</v>
      </c>
      <c r="I479" s="1">
        <v>1</v>
      </c>
      <c r="J479" s="1">
        <v>4</v>
      </c>
      <c r="K479" s="1" t="s">
        <v>58</v>
      </c>
      <c r="L479" s="1" t="s">
        <v>19</v>
      </c>
    </row>
    <row r="480" spans="1:12" hidden="1" x14ac:dyDescent="0.2">
      <c r="A480" s="1">
        <v>1994</v>
      </c>
      <c r="B480" s="2" t="d">
        <v>1994-06-22</v>
      </c>
      <c r="C480" s="1" t="s">
        <v>185</v>
      </c>
      <c r="D480" s="1" t="s">
        <v>242</v>
      </c>
      <c r="E480" s="1" t="s">
        <v>364</v>
      </c>
      <c r="F480" s="1" t="s">
        <v>365</v>
      </c>
      <c r="G480" s="1" t="s">
        <v>22</v>
      </c>
      <c r="H480" s="1" t="s">
        <v>22</v>
      </c>
      <c r="I480" s="1">
        <v>2</v>
      </c>
      <c r="J480" s="1">
        <v>1</v>
      </c>
      <c r="K480" s="1" t="s">
        <v>177</v>
      </c>
      <c r="L480" s="1" t="s">
        <v>19</v>
      </c>
    </row>
    <row r="481" spans="1:12" hidden="1" x14ac:dyDescent="0.2">
      <c r="A481" s="1">
        <v>1994</v>
      </c>
      <c r="B481" s="2" t="d">
        <v>1994-06-23</v>
      </c>
      <c r="C481" s="1" t="s">
        <v>32</v>
      </c>
      <c r="D481" s="1" t="s">
        <v>317</v>
      </c>
      <c r="E481" s="1" t="s">
        <v>362</v>
      </c>
      <c r="F481" s="1" t="s">
        <v>363</v>
      </c>
      <c r="G481" s="1" t="s">
        <v>22</v>
      </c>
      <c r="H481" s="1" t="s">
        <v>49</v>
      </c>
      <c r="I481" s="1">
        <v>1</v>
      </c>
      <c r="J481" s="1">
        <v>0</v>
      </c>
      <c r="K481" s="1" t="s">
        <v>93</v>
      </c>
      <c r="L481" s="1" t="s">
        <v>19</v>
      </c>
    </row>
    <row r="482" spans="1:12" hidden="1" x14ac:dyDescent="0.2">
      <c r="A482" s="1">
        <v>1994</v>
      </c>
      <c r="B482" s="2" t="d">
        <v>1994-06-23</v>
      </c>
      <c r="C482" s="1" t="s">
        <v>185</v>
      </c>
      <c r="D482" s="1" t="s">
        <v>304</v>
      </c>
      <c r="E482" s="1" t="s">
        <v>375</v>
      </c>
      <c r="F482" s="1" t="s">
        <v>376</v>
      </c>
      <c r="G482" s="1" t="s">
        <v>22</v>
      </c>
      <c r="H482" s="1" t="s">
        <v>135</v>
      </c>
      <c r="I482" s="1">
        <v>0</v>
      </c>
      <c r="J482" s="1">
        <v>0</v>
      </c>
      <c r="K482" s="1" t="s">
        <v>36</v>
      </c>
      <c r="L482" s="1" t="s">
        <v>19</v>
      </c>
    </row>
    <row r="483" spans="1:12" hidden="1" x14ac:dyDescent="0.2">
      <c r="A483" s="1">
        <v>1994</v>
      </c>
      <c r="B483" s="2" t="d">
        <v>1994-06-24</v>
      </c>
      <c r="C483" s="1" t="s">
        <v>366</v>
      </c>
      <c r="D483" s="1" t="s">
        <v>317</v>
      </c>
      <c r="E483" s="1" t="s">
        <v>367</v>
      </c>
      <c r="F483" s="1" t="s">
        <v>368</v>
      </c>
      <c r="G483" s="1" t="s">
        <v>22</v>
      </c>
      <c r="H483" s="1" t="s">
        <v>18</v>
      </c>
      <c r="I483" s="1">
        <v>2</v>
      </c>
      <c r="J483" s="1">
        <v>1</v>
      </c>
      <c r="K483" s="1" t="s">
        <v>340</v>
      </c>
      <c r="L483" s="1" t="s">
        <v>19</v>
      </c>
    </row>
    <row r="484" spans="1:12" hidden="1" x14ac:dyDescent="0.2">
      <c r="A484" s="1">
        <v>1994</v>
      </c>
      <c r="B484" s="2" t="d">
        <v>1994-06-24</v>
      </c>
      <c r="C484" s="1" t="s">
        <v>185</v>
      </c>
      <c r="D484" s="1" t="s">
        <v>241</v>
      </c>
      <c r="E484" s="1" t="s">
        <v>360</v>
      </c>
      <c r="F484" s="1" t="s">
        <v>361</v>
      </c>
      <c r="G484" s="1" t="s">
        <v>22</v>
      </c>
      <c r="H484" s="1" t="s">
        <v>62</v>
      </c>
      <c r="I484" s="1">
        <v>3</v>
      </c>
      <c r="J484" s="1">
        <v>1</v>
      </c>
      <c r="K484" s="1" t="s">
        <v>374</v>
      </c>
      <c r="L484" s="1" t="s">
        <v>19</v>
      </c>
    </row>
    <row r="485" spans="1:12" hidden="1" x14ac:dyDescent="0.2">
      <c r="A485" s="1">
        <v>1994</v>
      </c>
      <c r="B485" s="2" t="d">
        <v>1994-06-24</v>
      </c>
      <c r="C485" s="1" t="s">
        <v>32</v>
      </c>
      <c r="D485" s="1" t="s">
        <v>241</v>
      </c>
      <c r="E485" s="1" t="s">
        <v>372</v>
      </c>
      <c r="F485" s="1" t="s">
        <v>373</v>
      </c>
      <c r="G485" s="1" t="s">
        <v>22</v>
      </c>
      <c r="H485" s="1" t="s">
        <v>27</v>
      </c>
      <c r="I485" s="1">
        <v>3</v>
      </c>
      <c r="J485" s="1">
        <v>0</v>
      </c>
      <c r="K485" s="1" t="s">
        <v>273</v>
      </c>
      <c r="L485" s="1" t="s">
        <v>19</v>
      </c>
    </row>
    <row r="486" spans="1:12" hidden="1" x14ac:dyDescent="0.2">
      <c r="A486" s="1">
        <v>1994</v>
      </c>
      <c r="B486" s="2" t="d">
        <v>1994-06-25</v>
      </c>
      <c r="C486" s="1" t="s">
        <v>366</v>
      </c>
      <c r="D486" s="1" t="s">
        <v>310</v>
      </c>
      <c r="E486" s="1" t="s">
        <v>367</v>
      </c>
      <c r="F486" s="1" t="s">
        <v>368</v>
      </c>
      <c r="G486" s="1" t="s">
        <v>22</v>
      </c>
      <c r="H486" s="1" t="s">
        <v>23</v>
      </c>
      <c r="I486" s="1">
        <v>1</v>
      </c>
      <c r="J486" s="1">
        <v>0</v>
      </c>
      <c r="K486" s="1" t="s">
        <v>59</v>
      </c>
      <c r="L486" s="1" t="s">
        <v>19</v>
      </c>
    </row>
    <row r="487" spans="1:12" hidden="1" x14ac:dyDescent="0.2">
      <c r="A487" s="1">
        <v>1994</v>
      </c>
      <c r="B487" s="2" t="d">
        <v>1994-06-25</v>
      </c>
      <c r="C487" s="1" t="s">
        <v>366</v>
      </c>
      <c r="D487" s="1" t="s">
        <v>310</v>
      </c>
      <c r="E487" s="1" t="s">
        <v>362</v>
      </c>
      <c r="F487" s="1" t="s">
        <v>363</v>
      </c>
      <c r="G487" s="1" t="s">
        <v>22</v>
      </c>
      <c r="H487" s="1" t="s">
        <v>371</v>
      </c>
      <c r="I487" s="1">
        <v>2</v>
      </c>
      <c r="J487" s="1">
        <v>1</v>
      </c>
      <c r="K487" s="1" t="s">
        <v>216</v>
      </c>
      <c r="L487" s="1" t="s">
        <v>19</v>
      </c>
    </row>
    <row r="488" spans="1:12" hidden="1" x14ac:dyDescent="0.2">
      <c r="A488" s="1">
        <v>1994</v>
      </c>
      <c r="B488" s="2" t="d">
        <v>1994-06-25</v>
      </c>
      <c r="C488" s="1" t="s">
        <v>32</v>
      </c>
      <c r="D488" s="1" t="s">
        <v>306</v>
      </c>
      <c r="E488" s="1" t="s">
        <v>375</v>
      </c>
      <c r="F488" s="1" t="s">
        <v>376</v>
      </c>
      <c r="G488" s="1" t="s">
        <v>22</v>
      </c>
      <c r="H488" s="1" t="s">
        <v>33</v>
      </c>
      <c r="I488" s="1">
        <v>2</v>
      </c>
      <c r="J488" s="1">
        <v>1</v>
      </c>
      <c r="K488" s="1" t="s">
        <v>378</v>
      </c>
      <c r="L488" s="1" t="s">
        <v>19</v>
      </c>
    </row>
    <row r="489" spans="1:12" hidden="1" x14ac:dyDescent="0.2">
      <c r="A489" s="1">
        <v>1994</v>
      </c>
      <c r="B489" s="2" t="d">
        <v>1994-06-26</v>
      </c>
      <c r="C489" s="1" t="s">
        <v>366</v>
      </c>
      <c r="D489" s="1" t="s">
        <v>306</v>
      </c>
      <c r="E489" s="1" t="s">
        <v>357</v>
      </c>
      <c r="F489" s="1" t="s">
        <v>358</v>
      </c>
      <c r="G489" s="1" t="s">
        <v>22</v>
      </c>
      <c r="H489" s="1" t="s">
        <v>182</v>
      </c>
      <c r="I489" s="1">
        <v>4</v>
      </c>
      <c r="J489" s="1">
        <v>0</v>
      </c>
      <c r="K489" s="1" t="s">
        <v>377</v>
      </c>
      <c r="L489" s="1" t="s">
        <v>19</v>
      </c>
    </row>
    <row r="490" spans="1:12" hidden="1" x14ac:dyDescent="0.2">
      <c r="A490" s="1">
        <v>1994</v>
      </c>
      <c r="B490" s="2" t="d">
        <v>1994-06-26</v>
      </c>
      <c r="C490" s="1" t="s">
        <v>32</v>
      </c>
      <c r="D490" s="1" t="s">
        <v>242</v>
      </c>
      <c r="E490" s="1" t="s">
        <v>364</v>
      </c>
      <c r="F490" s="1" t="s">
        <v>365</v>
      </c>
      <c r="G490" s="1" t="s">
        <v>22</v>
      </c>
      <c r="H490" s="1" t="s">
        <v>22</v>
      </c>
      <c r="I490" s="1">
        <v>0</v>
      </c>
      <c r="J490" s="1">
        <v>1</v>
      </c>
      <c r="K490" s="1" t="s">
        <v>30</v>
      </c>
      <c r="L490" s="1" t="s">
        <v>19</v>
      </c>
    </row>
    <row r="491" spans="1:12" hidden="1" x14ac:dyDescent="0.2">
      <c r="A491" s="1">
        <v>1994</v>
      </c>
      <c r="B491" s="2" t="d">
        <v>1994-06-26</v>
      </c>
      <c r="C491" s="1" t="s">
        <v>32</v>
      </c>
      <c r="D491" s="1" t="s">
        <v>242</v>
      </c>
      <c r="E491" s="1" t="s">
        <v>372</v>
      </c>
      <c r="F491" s="1" t="s">
        <v>373</v>
      </c>
      <c r="G491" s="1" t="s">
        <v>22</v>
      </c>
      <c r="H491" s="1" t="s">
        <v>58</v>
      </c>
      <c r="I491" s="1">
        <v>0</v>
      </c>
      <c r="J491" s="1">
        <v>2</v>
      </c>
      <c r="K491" s="1" t="s">
        <v>177</v>
      </c>
      <c r="L491" s="1" t="s">
        <v>19</v>
      </c>
    </row>
    <row r="492" spans="1:12" hidden="1" x14ac:dyDescent="0.2">
      <c r="A492" s="1">
        <v>1994</v>
      </c>
      <c r="B492" s="2" t="d">
        <v>1994-06-27</v>
      </c>
      <c r="C492" s="1" t="s">
        <v>32</v>
      </c>
      <c r="D492" s="1" t="s">
        <v>304</v>
      </c>
      <c r="E492" s="1" t="s">
        <v>355</v>
      </c>
      <c r="F492" s="1" t="s">
        <v>356</v>
      </c>
      <c r="G492" s="1" t="s">
        <v>22</v>
      </c>
      <c r="H492" s="1" t="s">
        <v>65</v>
      </c>
      <c r="I492" s="1">
        <v>3</v>
      </c>
      <c r="J492" s="1">
        <v>2</v>
      </c>
      <c r="K492" s="1" t="s">
        <v>135</v>
      </c>
      <c r="L492" s="1" t="s">
        <v>19</v>
      </c>
    </row>
    <row r="493" spans="1:12" hidden="1" x14ac:dyDescent="0.2">
      <c r="A493" s="1">
        <v>1994</v>
      </c>
      <c r="B493" s="2" t="d">
        <v>1994-06-27</v>
      </c>
      <c r="C493" s="1" t="s">
        <v>32</v>
      </c>
      <c r="D493" s="1" t="s">
        <v>304</v>
      </c>
      <c r="E493" s="1" t="s">
        <v>357</v>
      </c>
      <c r="F493" s="1" t="s">
        <v>358</v>
      </c>
      <c r="G493" s="1" t="s">
        <v>22</v>
      </c>
      <c r="H493" s="1" t="s">
        <v>36</v>
      </c>
      <c r="I493" s="1">
        <v>1</v>
      </c>
      <c r="J493" s="1">
        <v>3</v>
      </c>
      <c r="K493" s="1" t="s">
        <v>68</v>
      </c>
      <c r="L493" s="1" t="s">
        <v>19</v>
      </c>
    </row>
    <row r="494" spans="1:12" hidden="1" x14ac:dyDescent="0.2">
      <c r="A494" s="1">
        <v>1994</v>
      </c>
      <c r="B494" s="2" t="d">
        <v>1994-06-28</v>
      </c>
      <c r="C494" s="1" t="s">
        <v>366</v>
      </c>
      <c r="D494" s="1" t="s">
        <v>317</v>
      </c>
      <c r="E494" s="1" t="s">
        <v>362</v>
      </c>
      <c r="F494" s="1" t="s">
        <v>363</v>
      </c>
      <c r="G494" s="1" t="s">
        <v>22</v>
      </c>
      <c r="H494" s="1" t="s">
        <v>340</v>
      </c>
      <c r="I494" s="1">
        <v>0</v>
      </c>
      <c r="J494" s="1">
        <v>0</v>
      </c>
      <c r="K494" s="1" t="s">
        <v>93</v>
      </c>
      <c r="L494" s="1" t="s">
        <v>19</v>
      </c>
    </row>
    <row r="495" spans="1:12" hidden="1" x14ac:dyDescent="0.2">
      <c r="A495" s="1">
        <v>1994</v>
      </c>
      <c r="B495" s="2" t="d">
        <v>1994-06-28</v>
      </c>
      <c r="C495" s="1" t="s">
        <v>32</v>
      </c>
      <c r="D495" s="1" t="s">
        <v>241</v>
      </c>
      <c r="E495" s="1" t="s">
        <v>360</v>
      </c>
      <c r="F495" s="1" t="s">
        <v>361</v>
      </c>
      <c r="G495" s="1" t="s">
        <v>22</v>
      </c>
      <c r="H495" s="1" t="s">
        <v>27</v>
      </c>
      <c r="I495" s="1">
        <v>1</v>
      </c>
      <c r="J495" s="1">
        <v>1</v>
      </c>
      <c r="K495" s="1" t="s">
        <v>62</v>
      </c>
      <c r="L495" s="1" t="s">
        <v>19</v>
      </c>
    </row>
    <row r="496" spans="1:12" hidden="1" x14ac:dyDescent="0.2">
      <c r="A496" s="1">
        <v>1994</v>
      </c>
      <c r="B496" s="2" t="d">
        <v>1994-06-28</v>
      </c>
      <c r="C496" s="1" t="s">
        <v>366</v>
      </c>
      <c r="D496" s="1" t="s">
        <v>317</v>
      </c>
      <c r="E496" s="1" t="s">
        <v>369</v>
      </c>
      <c r="F496" s="1" t="s">
        <v>370</v>
      </c>
      <c r="G496" s="1" t="s">
        <v>22</v>
      </c>
      <c r="H496" s="1" t="s">
        <v>49</v>
      </c>
      <c r="I496" s="1">
        <v>1</v>
      </c>
      <c r="J496" s="1">
        <v>1</v>
      </c>
      <c r="K496" s="1" t="s">
        <v>18</v>
      </c>
      <c r="L496" s="1" t="s">
        <v>19</v>
      </c>
    </row>
    <row r="497" spans="1:12" hidden="1" x14ac:dyDescent="0.2">
      <c r="A497" s="1">
        <v>1994</v>
      </c>
      <c r="B497" s="2" t="d">
        <v>1994-06-28</v>
      </c>
      <c r="C497" s="1" t="s">
        <v>32</v>
      </c>
      <c r="D497" s="1" t="s">
        <v>241</v>
      </c>
      <c r="E497" s="1" t="s">
        <v>372</v>
      </c>
      <c r="F497" s="1" t="s">
        <v>373</v>
      </c>
      <c r="G497" s="1" t="s">
        <v>22</v>
      </c>
      <c r="H497" s="1" t="s">
        <v>374</v>
      </c>
      <c r="I497" s="1">
        <v>6</v>
      </c>
      <c r="J497" s="1">
        <v>1</v>
      </c>
      <c r="K497" s="1" t="s">
        <v>273</v>
      </c>
      <c r="L497" s="1" t="s">
        <v>19</v>
      </c>
    </row>
    <row r="498" spans="1:12" hidden="1" x14ac:dyDescent="0.2">
      <c r="A498" s="1">
        <v>1994</v>
      </c>
      <c r="B498" s="2" t="d">
        <v>1994-06-29</v>
      </c>
      <c r="C498" s="1" t="s">
        <v>366</v>
      </c>
      <c r="D498" s="1" t="s">
        <v>310</v>
      </c>
      <c r="E498" s="1" t="s">
        <v>367</v>
      </c>
      <c r="F498" s="1" t="s">
        <v>368</v>
      </c>
      <c r="G498" s="1" t="s">
        <v>22</v>
      </c>
      <c r="H498" s="1" t="s">
        <v>216</v>
      </c>
      <c r="I498" s="1">
        <v>1</v>
      </c>
      <c r="J498" s="1">
        <v>2</v>
      </c>
      <c r="K498" s="1" t="s">
        <v>59</v>
      </c>
      <c r="L498" s="1" t="s">
        <v>19</v>
      </c>
    </row>
    <row r="499" spans="1:12" hidden="1" x14ac:dyDescent="0.2">
      <c r="A499" s="1">
        <v>1994</v>
      </c>
      <c r="B499" s="2" t="d">
        <v>1994-06-29</v>
      </c>
      <c r="C499" s="1" t="s">
        <v>366</v>
      </c>
      <c r="D499" s="1" t="s">
        <v>310</v>
      </c>
      <c r="E499" s="1" t="s">
        <v>369</v>
      </c>
      <c r="F499" s="1" t="s">
        <v>370</v>
      </c>
      <c r="G499" s="1" t="s">
        <v>22</v>
      </c>
      <c r="H499" s="1" t="s">
        <v>23</v>
      </c>
      <c r="I499" s="1">
        <v>0</v>
      </c>
      <c r="J499" s="1">
        <v>1</v>
      </c>
      <c r="K499" s="1" t="s">
        <v>371</v>
      </c>
      <c r="L499" s="1" t="s">
        <v>19</v>
      </c>
    </row>
    <row r="500" spans="1:12" hidden="1" x14ac:dyDescent="0.2">
      <c r="A500" s="1">
        <v>1994</v>
      </c>
      <c r="B500" s="2" t="d">
        <v>1994-06-30</v>
      </c>
      <c r="C500" s="1" t="s">
        <v>185</v>
      </c>
      <c r="D500" s="1" t="s">
        <v>306</v>
      </c>
      <c r="E500" s="1" t="s">
        <v>375</v>
      </c>
      <c r="F500" s="1" t="s">
        <v>376</v>
      </c>
      <c r="G500" s="1" t="s">
        <v>22</v>
      </c>
      <c r="H500" s="1" t="s">
        <v>377</v>
      </c>
      <c r="I500" s="1">
        <v>0</v>
      </c>
      <c r="J500" s="1">
        <v>2</v>
      </c>
      <c r="K500" s="1" t="s">
        <v>378</v>
      </c>
      <c r="L500" s="1" t="s">
        <v>19</v>
      </c>
    </row>
    <row r="501" spans="1:12" hidden="1" x14ac:dyDescent="0.2">
      <c r="A501" s="1">
        <v>1994</v>
      </c>
      <c r="B501" s="2" t="d">
        <v>1994-06-30</v>
      </c>
      <c r="C501" s="1" t="s">
        <v>185</v>
      </c>
      <c r="D501" s="1" t="s">
        <v>306</v>
      </c>
      <c r="E501" s="1" t="s">
        <v>355</v>
      </c>
      <c r="F501" s="1" t="s">
        <v>356</v>
      </c>
      <c r="G501" s="1" t="s">
        <v>22</v>
      </c>
      <c r="H501" s="1" t="s">
        <v>33</v>
      </c>
      <c r="I501" s="1">
        <v>0</v>
      </c>
      <c r="J501" s="1">
        <v>2</v>
      </c>
      <c r="K501" s="1" t="s">
        <v>182</v>
      </c>
      <c r="L501" s="1" t="s">
        <v>19</v>
      </c>
    </row>
    <row r="502" spans="1:12" hidden="1" x14ac:dyDescent="0.2">
      <c r="A502" s="1">
        <v>1994</v>
      </c>
      <c r="B502" s="2" t="d">
        <v>1994-07-02</v>
      </c>
      <c r="C502" s="1" t="s">
        <v>204</v>
      </c>
      <c r="D502" s="12" t="s">
        <v>323</v>
      </c>
      <c r="E502" s="1" t="s">
        <v>357</v>
      </c>
      <c r="F502" s="1" t="s">
        <v>358</v>
      </c>
      <c r="G502" s="1" t="s">
        <v>22</v>
      </c>
      <c r="H502" s="1" t="s">
        <v>65</v>
      </c>
      <c r="I502" s="1">
        <v>3</v>
      </c>
      <c r="J502" s="1">
        <v>2</v>
      </c>
      <c r="K502" s="1" t="s">
        <v>23</v>
      </c>
      <c r="L502" s="1" t="s">
        <v>19</v>
      </c>
    </row>
    <row r="503" spans="1:12" hidden="1" x14ac:dyDescent="0.2">
      <c r="A503" s="1">
        <v>1994</v>
      </c>
      <c r="B503" s="2" t="d">
        <v>1994-07-02</v>
      </c>
      <c r="C503" s="1" t="s">
        <v>45</v>
      </c>
      <c r="D503" s="12" t="s">
        <v>323</v>
      </c>
      <c r="E503" s="1" t="s">
        <v>369</v>
      </c>
      <c r="F503" s="1" t="s">
        <v>370</v>
      </c>
      <c r="G503" s="1" t="s">
        <v>22</v>
      </c>
      <c r="H503" s="1" t="s">
        <v>68</v>
      </c>
      <c r="I503" s="1">
        <v>3</v>
      </c>
      <c r="J503" s="1">
        <v>0</v>
      </c>
      <c r="K503" s="1" t="s">
        <v>58</v>
      </c>
      <c r="L503" s="1" t="s">
        <v>19</v>
      </c>
    </row>
    <row r="504" spans="1:12" hidden="1" x14ac:dyDescent="0.2">
      <c r="A504" s="1">
        <v>1994</v>
      </c>
      <c r="B504" s="2" t="d">
        <v>1994-07-03</v>
      </c>
      <c r="C504" s="1" t="s">
        <v>204</v>
      </c>
      <c r="D504" s="12" t="s">
        <v>323</v>
      </c>
      <c r="E504" s="1" t="s">
        <v>355</v>
      </c>
      <c r="F504" s="1" t="s">
        <v>356</v>
      </c>
      <c r="G504" s="1" t="s">
        <v>22</v>
      </c>
      <c r="H504" s="1" t="s">
        <v>371</v>
      </c>
      <c r="I504" s="1">
        <v>1</v>
      </c>
      <c r="J504" s="1">
        <v>3</v>
      </c>
      <c r="K504" s="1" t="s">
        <v>62</v>
      </c>
      <c r="L504" s="1" t="s">
        <v>19</v>
      </c>
    </row>
    <row r="505" spans="1:12" hidden="1" x14ac:dyDescent="0.2">
      <c r="A505" s="1">
        <v>1994</v>
      </c>
      <c r="B505" s="2" t="d">
        <v>1994-07-03</v>
      </c>
      <c r="C505" s="1" t="s">
        <v>379</v>
      </c>
      <c r="D505" s="12" t="s">
        <v>323</v>
      </c>
      <c r="E505" s="1" t="s">
        <v>364</v>
      </c>
      <c r="F505" s="1" t="s">
        <v>365</v>
      </c>
      <c r="G505" s="1" t="s">
        <v>22</v>
      </c>
      <c r="H505" s="1" t="s">
        <v>30</v>
      </c>
      <c r="I505" s="1">
        <v>3</v>
      </c>
      <c r="J505" s="1">
        <v>2</v>
      </c>
      <c r="K505" s="1" t="s">
        <v>33</v>
      </c>
      <c r="L505" s="1" t="s">
        <v>19</v>
      </c>
    </row>
    <row r="506" spans="1:12" hidden="1" x14ac:dyDescent="0.2">
      <c r="A506" s="1">
        <v>1994</v>
      </c>
      <c r="B506" s="2" t="d">
        <v>1994-07-04</v>
      </c>
      <c r="C506" s="1" t="s">
        <v>204</v>
      </c>
      <c r="D506" s="12" t="s">
        <v>323</v>
      </c>
      <c r="E506" s="1" t="s">
        <v>367</v>
      </c>
      <c r="F506" s="1" t="s">
        <v>368</v>
      </c>
      <c r="G506" s="1" t="s">
        <v>22</v>
      </c>
      <c r="H506" s="1" t="s">
        <v>59</v>
      </c>
      <c r="I506" s="1">
        <v>2</v>
      </c>
      <c r="J506" s="1">
        <v>0</v>
      </c>
      <c r="K506" s="1" t="s">
        <v>340</v>
      </c>
      <c r="L506" s="1" t="s">
        <v>19</v>
      </c>
    </row>
    <row r="507" spans="1:12" hidden="1" x14ac:dyDescent="0.2">
      <c r="A507" s="1">
        <v>1994</v>
      </c>
      <c r="B507" s="2" t="d">
        <v>1994-07-04</v>
      </c>
      <c r="C507" s="1" t="s">
        <v>366</v>
      </c>
      <c r="D507" s="12" t="s">
        <v>323</v>
      </c>
      <c r="E507" s="1" t="s">
        <v>372</v>
      </c>
      <c r="F507" s="1" t="s">
        <v>373</v>
      </c>
      <c r="G507" s="1" t="s">
        <v>22</v>
      </c>
      <c r="H507" s="1" t="s">
        <v>27</v>
      </c>
      <c r="I507" s="1">
        <v>1</v>
      </c>
      <c r="J507" s="1">
        <v>0</v>
      </c>
      <c r="K507" s="1" t="s">
        <v>22</v>
      </c>
      <c r="L507" s="1" t="s">
        <v>19</v>
      </c>
    </row>
    <row r="508" spans="1:12" hidden="1" x14ac:dyDescent="0.2">
      <c r="A508" s="1">
        <v>1994</v>
      </c>
      <c r="B508" s="2" t="d">
        <v>1994-07-05</v>
      </c>
      <c r="C508" s="1" t="s">
        <v>41</v>
      </c>
      <c r="D508" s="12" t="s">
        <v>323</v>
      </c>
      <c r="E508" s="1" t="s">
        <v>375</v>
      </c>
      <c r="F508" s="1" t="s">
        <v>376</v>
      </c>
      <c r="G508" s="1" t="s">
        <v>22</v>
      </c>
      <c r="H508" s="1" t="s">
        <v>378</v>
      </c>
      <c r="I508" s="1">
        <v>1</v>
      </c>
      <c r="J508" s="1">
        <v>2</v>
      </c>
      <c r="K508" s="1" t="s">
        <v>49</v>
      </c>
      <c r="L508" s="1" t="s">
        <v>78</v>
      </c>
    </row>
    <row r="509" spans="1:12" hidden="1" x14ac:dyDescent="0.2">
      <c r="A509" s="1">
        <v>1994</v>
      </c>
      <c r="B509" s="2" t="d">
        <v>1994-07-05</v>
      </c>
      <c r="C509" s="1" t="s">
        <v>45</v>
      </c>
      <c r="D509" s="12" t="s">
        <v>323</v>
      </c>
      <c r="E509" s="1" t="s">
        <v>362</v>
      </c>
      <c r="F509" s="1" t="s">
        <v>363</v>
      </c>
      <c r="G509" s="1" t="s">
        <v>22</v>
      </c>
      <c r="H509" s="1" t="s">
        <v>18</v>
      </c>
      <c r="I509" s="1">
        <v>1</v>
      </c>
      <c r="J509" s="1">
        <v>1</v>
      </c>
      <c r="K509" s="1" t="s">
        <v>182</v>
      </c>
      <c r="L509" s="1" t="s">
        <v>380</v>
      </c>
    </row>
    <row r="510" spans="1:12" hidden="1" x14ac:dyDescent="0.2">
      <c r="A510" s="1">
        <v>1994</v>
      </c>
      <c r="B510" s="2" t="d">
        <v>1994-07-09</v>
      </c>
      <c r="C510" s="1" t="s">
        <v>204</v>
      </c>
      <c r="D510" s="12" t="s">
        <v>74</v>
      </c>
      <c r="E510" s="1" t="s">
        <v>375</v>
      </c>
      <c r="F510" s="1" t="s">
        <v>376</v>
      </c>
      <c r="G510" s="1" t="s">
        <v>22</v>
      </c>
      <c r="H510" s="1" t="s">
        <v>49</v>
      </c>
      <c r="I510" s="1">
        <v>2</v>
      </c>
      <c r="J510" s="1">
        <v>1</v>
      </c>
      <c r="K510" s="1" t="s">
        <v>68</v>
      </c>
      <c r="L510" s="1" t="s">
        <v>19</v>
      </c>
    </row>
    <row r="511" spans="1:12" x14ac:dyDescent="0.2">
      <c r="A511" s="1">
        <v>1994</v>
      </c>
      <c r="B511" s="2" t="d">
        <v>1994-07-09</v>
      </c>
      <c r="C511" s="1" t="s">
        <v>38</v>
      </c>
      <c r="D511" s="12" t="s">
        <v>74</v>
      </c>
      <c r="E511" s="1" t="s">
        <v>355</v>
      </c>
      <c r="F511" s="1" t="s">
        <v>356</v>
      </c>
      <c r="G511" s="1" t="s">
        <v>22</v>
      </c>
      <c r="H511" s="1" t="s">
        <v>59</v>
      </c>
      <c r="I511" s="1">
        <v>2</v>
      </c>
      <c r="J511" s="1">
        <v>3</v>
      </c>
      <c r="K511" s="1" t="s">
        <v>27</v>
      </c>
      <c r="L511" s="1" t="s">
        <v>19</v>
      </c>
    </row>
    <row r="512" spans="1:12" hidden="1" x14ac:dyDescent="0.2">
      <c r="A512" s="1">
        <v>1994</v>
      </c>
      <c r="B512" s="2" t="d">
        <v>1994-07-10</v>
      </c>
      <c r="C512" s="1" t="s">
        <v>204</v>
      </c>
      <c r="D512" s="12" t="s">
        <v>74</v>
      </c>
      <c r="E512" s="1" t="s">
        <v>362</v>
      </c>
      <c r="F512" s="1" t="s">
        <v>363</v>
      </c>
      <c r="G512" s="1" t="s">
        <v>22</v>
      </c>
      <c r="H512" s="1" t="s">
        <v>182</v>
      </c>
      <c r="I512" s="1">
        <v>2</v>
      </c>
      <c r="J512" s="1">
        <v>1</v>
      </c>
      <c r="K512" s="1" t="s">
        <v>65</v>
      </c>
      <c r="L512" s="1" t="s">
        <v>19</v>
      </c>
    </row>
    <row r="513" spans="1:12" hidden="1" x14ac:dyDescent="0.2">
      <c r="A513" s="1">
        <v>1994</v>
      </c>
      <c r="B513" s="2" t="d">
        <v>1994-07-10</v>
      </c>
      <c r="C513" s="1" t="s">
        <v>366</v>
      </c>
      <c r="D513" s="12" t="s">
        <v>74</v>
      </c>
      <c r="E513" s="1" t="s">
        <v>372</v>
      </c>
      <c r="F513" s="1" t="s">
        <v>373</v>
      </c>
      <c r="G513" s="1" t="s">
        <v>22</v>
      </c>
      <c r="H513" s="1" t="s">
        <v>30</v>
      </c>
      <c r="I513" s="1">
        <v>2</v>
      </c>
      <c r="J513" s="1">
        <v>2</v>
      </c>
      <c r="K513" s="1" t="s">
        <v>62</v>
      </c>
      <c r="L513" s="1" t="s">
        <v>381</v>
      </c>
    </row>
    <row r="514" spans="1:12" hidden="1" x14ac:dyDescent="0.2">
      <c r="A514" s="1">
        <v>1994</v>
      </c>
      <c r="B514" s="2" t="d">
        <v>1994-07-13</v>
      </c>
      <c r="C514" s="1" t="s">
        <v>32</v>
      </c>
      <c r="D514" s="12" t="s">
        <v>42</v>
      </c>
      <c r="E514" s="1" t="s">
        <v>362</v>
      </c>
      <c r="F514" s="1" t="s">
        <v>363</v>
      </c>
      <c r="G514" s="1" t="s">
        <v>22</v>
      </c>
      <c r="H514" s="1" t="s">
        <v>182</v>
      </c>
      <c r="I514" s="1">
        <v>1</v>
      </c>
      <c r="J514" s="1">
        <v>2</v>
      </c>
      <c r="K514" s="1" t="s">
        <v>49</v>
      </c>
      <c r="L514" s="1" t="s">
        <v>19</v>
      </c>
    </row>
    <row r="515" spans="1:12" x14ac:dyDescent="0.2">
      <c r="A515" s="1">
        <v>1994</v>
      </c>
      <c r="B515" s="2" t="d">
        <v>1994-07-13</v>
      </c>
      <c r="C515" s="1" t="s">
        <v>45</v>
      </c>
      <c r="D515" s="12" t="s">
        <v>42</v>
      </c>
      <c r="E515" s="1" t="s">
        <v>364</v>
      </c>
      <c r="F515" s="1" t="s">
        <v>365</v>
      </c>
      <c r="G515" s="1" t="s">
        <v>22</v>
      </c>
      <c r="H515" s="1" t="s">
        <v>62</v>
      </c>
      <c r="I515" s="1">
        <v>0</v>
      </c>
      <c r="J515" s="1">
        <v>1</v>
      </c>
      <c r="K515" s="1" t="s">
        <v>27</v>
      </c>
      <c r="L515" s="1" t="s">
        <v>19</v>
      </c>
    </row>
    <row r="516" spans="1:12" hidden="1" x14ac:dyDescent="0.2">
      <c r="A516" s="1">
        <v>1994</v>
      </c>
      <c r="B516" s="2" t="d">
        <v>1994-07-16</v>
      </c>
      <c r="C516" s="1" t="s">
        <v>366</v>
      </c>
      <c r="D516" s="12" t="s">
        <v>76</v>
      </c>
      <c r="E516" s="1" t="s">
        <v>364</v>
      </c>
      <c r="F516" s="1" t="s">
        <v>365</v>
      </c>
      <c r="G516" s="1" t="s">
        <v>22</v>
      </c>
      <c r="H516" s="1" t="s">
        <v>62</v>
      </c>
      <c r="I516" s="1">
        <v>4</v>
      </c>
      <c r="J516" s="1">
        <v>0</v>
      </c>
      <c r="K516" s="1" t="s">
        <v>182</v>
      </c>
      <c r="L516" s="1" t="s">
        <v>19</v>
      </c>
    </row>
    <row r="517" spans="1:12" hidden="1" x14ac:dyDescent="0.2">
      <c r="A517" s="1">
        <v>1994</v>
      </c>
      <c r="B517" s="2" t="d">
        <v>1994-07-17</v>
      </c>
      <c r="C517" s="1" t="s">
        <v>366</v>
      </c>
      <c r="D517" s="12" t="s">
        <v>44</v>
      </c>
      <c r="E517" s="1" t="s">
        <v>364</v>
      </c>
      <c r="F517" s="1" t="s">
        <v>365</v>
      </c>
      <c r="G517" s="1" t="s">
        <v>22</v>
      </c>
      <c r="H517" s="1" t="s">
        <v>27</v>
      </c>
      <c r="I517" s="1">
        <v>0</v>
      </c>
      <c r="J517" s="1">
        <v>0</v>
      </c>
      <c r="K517" s="1" t="s">
        <v>49</v>
      </c>
      <c r="L517" s="1" t="s">
        <v>382</v>
      </c>
    </row>
    <row r="518" spans="1:12" hidden="1" x14ac:dyDescent="0.2">
      <c r="A518" s="1">
        <v>1998</v>
      </c>
      <c r="B518" s="2" t="d">
        <v>1998-06-10</v>
      </c>
      <c r="C518" s="1" t="s">
        <v>77</v>
      </c>
      <c r="D518" s="1" t="s">
        <v>242</v>
      </c>
      <c r="E518" s="1" t="s">
        <v>383</v>
      </c>
      <c r="F518" s="1" t="s">
        <v>384</v>
      </c>
      <c r="G518" s="1" t="s">
        <v>17</v>
      </c>
      <c r="H518" s="1" t="s">
        <v>27</v>
      </c>
      <c r="I518" s="1">
        <v>2</v>
      </c>
      <c r="J518" s="1">
        <v>1</v>
      </c>
      <c r="K518" s="1" t="s">
        <v>128</v>
      </c>
      <c r="L518" s="1" t="s">
        <v>19</v>
      </c>
    </row>
    <row r="519" spans="1:12" hidden="1" x14ac:dyDescent="0.2">
      <c r="A519" s="1">
        <v>1998</v>
      </c>
      <c r="B519" s="2" t="d">
        <v>1998-06-10</v>
      </c>
      <c r="C519" s="1" t="s">
        <v>268</v>
      </c>
      <c r="D519" s="1" t="s">
        <v>242</v>
      </c>
      <c r="E519" s="1" t="s">
        <v>385</v>
      </c>
      <c r="F519" s="1" t="s">
        <v>386</v>
      </c>
      <c r="G519" s="1" t="s">
        <v>17</v>
      </c>
      <c r="H519" s="1" t="s">
        <v>216</v>
      </c>
      <c r="I519" s="1">
        <v>2</v>
      </c>
      <c r="J519" s="1">
        <v>2</v>
      </c>
      <c r="K519" s="1" t="s">
        <v>93</v>
      </c>
      <c r="L519" s="1" t="s">
        <v>19</v>
      </c>
    </row>
    <row r="520" spans="1:12" hidden="1" x14ac:dyDescent="0.2">
      <c r="A520" s="1">
        <v>1998</v>
      </c>
      <c r="B520" s="2" t="d">
        <v>1998-06-11</v>
      </c>
      <c r="C520" s="1" t="s">
        <v>77</v>
      </c>
      <c r="D520" s="1" t="s">
        <v>241</v>
      </c>
      <c r="E520" s="1" t="s">
        <v>102</v>
      </c>
      <c r="F520" s="1" t="s">
        <v>103</v>
      </c>
      <c r="G520" s="1" t="s">
        <v>17</v>
      </c>
      <c r="H520" s="1" t="s">
        <v>49</v>
      </c>
      <c r="I520" s="1">
        <v>2</v>
      </c>
      <c r="J520" s="1">
        <v>2</v>
      </c>
      <c r="K520" s="1" t="s">
        <v>35</v>
      </c>
      <c r="L520" s="1" t="s">
        <v>19</v>
      </c>
    </row>
    <row r="521" spans="1:12" hidden="1" x14ac:dyDescent="0.2">
      <c r="A521" s="1">
        <v>1998</v>
      </c>
      <c r="B521" s="2" t="d">
        <v>1998-06-11</v>
      </c>
      <c r="C521" s="1" t="s">
        <v>268</v>
      </c>
      <c r="D521" s="1" t="s">
        <v>241</v>
      </c>
      <c r="E521" s="1" t="s">
        <v>88</v>
      </c>
      <c r="F521" s="1" t="s">
        <v>89</v>
      </c>
      <c r="G521" s="1" t="s">
        <v>17</v>
      </c>
      <c r="H521" s="1" t="s">
        <v>273</v>
      </c>
      <c r="I521" s="1">
        <v>1</v>
      </c>
      <c r="J521" s="1">
        <v>1</v>
      </c>
      <c r="K521" s="1" t="s">
        <v>50</v>
      </c>
      <c r="L521" s="1" t="s">
        <v>19</v>
      </c>
    </row>
    <row r="522" spans="1:12" hidden="1" x14ac:dyDescent="0.2">
      <c r="A522" s="1">
        <v>1998</v>
      </c>
      <c r="B522" s="2" t="d">
        <v>1998-06-12</v>
      </c>
      <c r="C522" s="1" t="s">
        <v>38</v>
      </c>
      <c r="D522" s="1" t="s">
        <v>306</v>
      </c>
      <c r="E522" s="1" t="s">
        <v>385</v>
      </c>
      <c r="F522" s="1" t="s">
        <v>386</v>
      </c>
      <c r="G522" s="1" t="s">
        <v>17</v>
      </c>
      <c r="H522" s="1" t="s">
        <v>37</v>
      </c>
      <c r="I522" s="1">
        <v>0</v>
      </c>
      <c r="J522" s="1">
        <v>0</v>
      </c>
      <c r="K522" s="1" t="s">
        <v>182</v>
      </c>
      <c r="L522" s="1" t="s">
        <v>19</v>
      </c>
    </row>
    <row r="523" spans="1:12" hidden="1" x14ac:dyDescent="0.2">
      <c r="A523" s="1">
        <v>1998</v>
      </c>
      <c r="B523" s="2" t="d">
        <v>1998-06-12</v>
      </c>
      <c r="C523" s="1" t="s">
        <v>77</v>
      </c>
      <c r="D523" s="1" t="s">
        <v>304</v>
      </c>
      <c r="E523" s="1" t="s">
        <v>387</v>
      </c>
      <c r="F523" s="1" t="s">
        <v>388</v>
      </c>
      <c r="G523" s="1" t="s">
        <v>17</v>
      </c>
      <c r="H523" s="1" t="s">
        <v>371</v>
      </c>
      <c r="I523" s="1">
        <v>0</v>
      </c>
      <c r="J523" s="1">
        <v>1</v>
      </c>
      <c r="K523" s="1" t="s">
        <v>320</v>
      </c>
      <c r="L523" s="1" t="s">
        <v>19</v>
      </c>
    </row>
    <row r="524" spans="1:12" hidden="1" x14ac:dyDescent="0.2">
      <c r="A524" s="1">
        <v>1998</v>
      </c>
      <c r="B524" s="2" t="d">
        <v>1998-06-12</v>
      </c>
      <c r="C524" s="1" t="s">
        <v>268</v>
      </c>
      <c r="D524" s="1" t="s">
        <v>304</v>
      </c>
      <c r="E524" s="1" t="s">
        <v>91</v>
      </c>
      <c r="F524" s="1" t="s">
        <v>92</v>
      </c>
      <c r="G524" s="1" t="s">
        <v>17</v>
      </c>
      <c r="H524" s="1" t="s">
        <v>17</v>
      </c>
      <c r="I524" s="1">
        <v>3</v>
      </c>
      <c r="J524" s="1">
        <v>0</v>
      </c>
      <c r="K524" s="1" t="s">
        <v>389</v>
      </c>
      <c r="L524" s="1" t="s">
        <v>19</v>
      </c>
    </row>
    <row r="525" spans="1:12" hidden="1" x14ac:dyDescent="0.2">
      <c r="A525" s="1">
        <v>1998</v>
      </c>
      <c r="B525" s="2" t="d">
        <v>1998-06-13</v>
      </c>
      <c r="C525" s="1" t="s">
        <v>38</v>
      </c>
      <c r="D525" s="1" t="s">
        <v>306</v>
      </c>
      <c r="E525" s="1" t="s">
        <v>390</v>
      </c>
      <c r="F525" s="1" t="s">
        <v>391</v>
      </c>
      <c r="G525" s="1" t="s">
        <v>17</v>
      </c>
      <c r="H525" s="1" t="s">
        <v>68</v>
      </c>
      <c r="I525" s="1">
        <v>2</v>
      </c>
      <c r="J525" s="1">
        <v>3</v>
      </c>
      <c r="K525" s="1" t="s">
        <v>378</v>
      </c>
      <c r="L525" s="1" t="s">
        <v>19</v>
      </c>
    </row>
    <row r="526" spans="1:12" hidden="1" x14ac:dyDescent="0.2">
      <c r="A526" s="1">
        <v>1998</v>
      </c>
      <c r="B526" s="2" t="d">
        <v>1998-06-13</v>
      </c>
      <c r="C526" s="1" t="s">
        <v>77</v>
      </c>
      <c r="D526" s="1" t="s">
        <v>317</v>
      </c>
      <c r="E526" s="1" t="s">
        <v>392</v>
      </c>
      <c r="F526" s="1" t="s">
        <v>393</v>
      </c>
      <c r="G526" s="1" t="s">
        <v>17</v>
      </c>
      <c r="H526" s="1" t="s">
        <v>135</v>
      </c>
      <c r="I526" s="1">
        <v>1</v>
      </c>
      <c r="J526" s="1">
        <v>3</v>
      </c>
      <c r="K526" s="1" t="s">
        <v>18</v>
      </c>
      <c r="L526" s="1" t="s">
        <v>19</v>
      </c>
    </row>
    <row r="527" spans="1:12" hidden="1" x14ac:dyDescent="0.2">
      <c r="A527" s="1">
        <v>1998</v>
      </c>
      <c r="B527" s="2" t="d">
        <v>1998-06-13</v>
      </c>
      <c r="C527" s="1" t="s">
        <v>268</v>
      </c>
      <c r="D527" s="1" t="s">
        <v>317</v>
      </c>
      <c r="E527" s="1" t="s">
        <v>383</v>
      </c>
      <c r="F527" s="1" t="s">
        <v>384</v>
      </c>
      <c r="G527" s="1" t="s">
        <v>17</v>
      </c>
      <c r="H527" s="1" t="s">
        <v>59</v>
      </c>
      <c r="I527" s="1">
        <v>0</v>
      </c>
      <c r="J527" s="1">
        <v>0</v>
      </c>
      <c r="K527" s="1" t="s">
        <v>23</v>
      </c>
      <c r="L527" s="1" t="s">
        <v>19</v>
      </c>
    </row>
    <row r="528" spans="1:12" hidden="1" x14ac:dyDescent="0.2">
      <c r="A528" s="1">
        <v>1998</v>
      </c>
      <c r="B528" s="2" t="d">
        <v>1998-06-14</v>
      </c>
      <c r="C528" s="1" t="s">
        <v>38</v>
      </c>
      <c r="D528" s="1" t="s">
        <v>394</v>
      </c>
      <c r="E528" s="1" t="s">
        <v>88</v>
      </c>
      <c r="F528" s="1" t="s">
        <v>89</v>
      </c>
      <c r="G528" s="1" t="s">
        <v>17</v>
      </c>
      <c r="H528" s="1" t="s">
        <v>33</v>
      </c>
      <c r="I528" s="1">
        <v>1</v>
      </c>
      <c r="J528" s="1">
        <v>0</v>
      </c>
      <c r="K528" s="1" t="s">
        <v>395</v>
      </c>
      <c r="L528" s="1" t="s">
        <v>19</v>
      </c>
    </row>
    <row r="529" spans="1:12" hidden="1" x14ac:dyDescent="0.2">
      <c r="A529" s="1">
        <v>1998</v>
      </c>
      <c r="B529" s="2" t="d">
        <v>1998-06-14</v>
      </c>
      <c r="C529" s="1" t="s">
        <v>77</v>
      </c>
      <c r="D529" s="1" t="s">
        <v>310</v>
      </c>
      <c r="E529" s="1" t="s">
        <v>396</v>
      </c>
      <c r="F529" s="1" t="s">
        <v>397</v>
      </c>
      <c r="G529" s="1" t="s">
        <v>17</v>
      </c>
      <c r="H529" s="1" t="s">
        <v>26</v>
      </c>
      <c r="I529" s="1">
        <v>1</v>
      </c>
      <c r="J529" s="1">
        <v>0</v>
      </c>
      <c r="K529" s="1" t="s">
        <v>260</v>
      </c>
      <c r="L529" s="1" t="s">
        <v>19</v>
      </c>
    </row>
    <row r="530" spans="1:12" hidden="1" x14ac:dyDescent="0.2">
      <c r="A530" s="1">
        <v>1998</v>
      </c>
      <c r="B530" s="2" t="d">
        <v>1998-06-14</v>
      </c>
      <c r="C530" s="1" t="s">
        <v>268</v>
      </c>
      <c r="D530" s="1" t="s">
        <v>394</v>
      </c>
      <c r="E530" s="1" t="s">
        <v>387</v>
      </c>
      <c r="F530" s="1" t="s">
        <v>388</v>
      </c>
      <c r="G530" s="1" t="s">
        <v>17</v>
      </c>
      <c r="H530" s="1" t="s">
        <v>398</v>
      </c>
      <c r="I530" s="1">
        <v>1</v>
      </c>
      <c r="J530" s="1">
        <v>3</v>
      </c>
      <c r="K530" s="1" t="s">
        <v>399</v>
      </c>
      <c r="L530" s="1" t="s">
        <v>19</v>
      </c>
    </row>
    <row r="531" spans="1:12" hidden="1" x14ac:dyDescent="0.2">
      <c r="A531" s="1">
        <v>1998</v>
      </c>
      <c r="B531" s="2" t="d">
        <v>1998-06-15</v>
      </c>
      <c r="C531" s="1" t="s">
        <v>38</v>
      </c>
      <c r="D531" s="1" t="s">
        <v>400</v>
      </c>
      <c r="E531" s="1" t="s">
        <v>91</v>
      </c>
      <c r="F531" s="1" t="s">
        <v>92</v>
      </c>
      <c r="G531" s="1" t="s">
        <v>17</v>
      </c>
      <c r="H531" s="1" t="s">
        <v>110</v>
      </c>
      <c r="I531" s="1">
        <v>2</v>
      </c>
      <c r="J531" s="1">
        <v>0</v>
      </c>
      <c r="K531" s="1" t="s">
        <v>251</v>
      </c>
      <c r="L531" s="1" t="s">
        <v>19</v>
      </c>
    </row>
    <row r="532" spans="1:12" hidden="1" x14ac:dyDescent="0.2">
      <c r="A532" s="1">
        <v>1998</v>
      </c>
      <c r="B532" s="2" t="d">
        <v>1998-06-15</v>
      </c>
      <c r="C532" s="1" t="s">
        <v>77</v>
      </c>
      <c r="D532" s="1" t="s">
        <v>400</v>
      </c>
      <c r="E532" s="1" t="s">
        <v>392</v>
      </c>
      <c r="F532" s="1" t="s">
        <v>393</v>
      </c>
      <c r="G532" s="1" t="s">
        <v>17</v>
      </c>
      <c r="H532" s="1" t="s">
        <v>30</v>
      </c>
      <c r="I532" s="1">
        <v>1</v>
      </c>
      <c r="J532" s="1">
        <v>0</v>
      </c>
      <c r="K532" s="1" t="s">
        <v>177</v>
      </c>
      <c r="L532" s="1" t="s">
        <v>19</v>
      </c>
    </row>
    <row r="533" spans="1:12" hidden="1" x14ac:dyDescent="0.2">
      <c r="A533" s="1">
        <v>1998</v>
      </c>
      <c r="B533" s="2" t="d">
        <v>1998-06-15</v>
      </c>
      <c r="C533" s="1" t="s">
        <v>268</v>
      </c>
      <c r="D533" s="1" t="s">
        <v>310</v>
      </c>
      <c r="E533" s="1" t="s">
        <v>81</v>
      </c>
      <c r="F533" s="1" t="s">
        <v>82</v>
      </c>
      <c r="G533" s="1" t="s">
        <v>17</v>
      </c>
      <c r="H533" s="1" t="s">
        <v>65</v>
      </c>
      <c r="I533" s="1">
        <v>2</v>
      </c>
      <c r="J533" s="1">
        <v>0</v>
      </c>
      <c r="K533" s="1" t="s">
        <v>22</v>
      </c>
      <c r="L533" s="1" t="s">
        <v>19</v>
      </c>
    </row>
    <row r="534" spans="1:12" hidden="1" x14ac:dyDescent="0.2">
      <c r="A534" s="1">
        <v>1998</v>
      </c>
      <c r="B534" s="2" t="d">
        <v>1998-06-16</v>
      </c>
      <c r="C534" s="1" t="s">
        <v>77</v>
      </c>
      <c r="D534" s="1" t="s">
        <v>242</v>
      </c>
      <c r="E534" s="1" t="s">
        <v>102</v>
      </c>
      <c r="F534" s="1" t="s">
        <v>103</v>
      </c>
      <c r="G534" s="1" t="s">
        <v>17</v>
      </c>
      <c r="H534" s="1" t="s">
        <v>128</v>
      </c>
      <c r="I534" s="1">
        <v>1</v>
      </c>
      <c r="J534" s="1">
        <v>1</v>
      </c>
      <c r="K534" s="1" t="s">
        <v>93</v>
      </c>
      <c r="L534" s="1" t="s">
        <v>19</v>
      </c>
    </row>
    <row r="535" spans="1:12" hidden="1" x14ac:dyDescent="0.2">
      <c r="A535" s="1">
        <v>1998</v>
      </c>
      <c r="B535" s="2" t="d">
        <v>1998-06-16</v>
      </c>
      <c r="C535" s="1" t="s">
        <v>268</v>
      </c>
      <c r="D535" s="1" t="s">
        <v>242</v>
      </c>
      <c r="E535" s="1" t="s">
        <v>390</v>
      </c>
      <c r="F535" s="1" t="s">
        <v>391</v>
      </c>
      <c r="G535" s="1" t="s">
        <v>17</v>
      </c>
      <c r="H535" s="1" t="s">
        <v>27</v>
      </c>
      <c r="I535" s="1">
        <v>3</v>
      </c>
      <c r="J535" s="1">
        <v>0</v>
      </c>
      <c r="K535" s="1" t="s">
        <v>216</v>
      </c>
      <c r="L535" s="1" t="s">
        <v>19</v>
      </c>
    </row>
    <row r="536" spans="1:12" hidden="1" x14ac:dyDescent="0.2">
      <c r="A536" s="1">
        <v>1998</v>
      </c>
      <c r="B536" s="2" t="d">
        <v>1998-06-17</v>
      </c>
      <c r="C536" s="1" t="s">
        <v>77</v>
      </c>
      <c r="D536" s="1" t="s">
        <v>241</v>
      </c>
      <c r="E536" s="1" t="s">
        <v>396</v>
      </c>
      <c r="F536" s="1" t="s">
        <v>397</v>
      </c>
      <c r="G536" s="1" t="s">
        <v>17</v>
      </c>
      <c r="H536" s="1" t="s">
        <v>35</v>
      </c>
      <c r="I536" s="1">
        <v>1</v>
      </c>
      <c r="J536" s="1">
        <v>1</v>
      </c>
      <c r="K536" s="1" t="s">
        <v>50</v>
      </c>
      <c r="L536" s="1" t="s">
        <v>19</v>
      </c>
    </row>
    <row r="537" spans="1:12" hidden="1" x14ac:dyDescent="0.2">
      <c r="A537" s="1">
        <v>1998</v>
      </c>
      <c r="B537" s="2" t="d">
        <v>1998-06-17</v>
      </c>
      <c r="C537" s="1" t="s">
        <v>268</v>
      </c>
      <c r="D537" s="1" t="s">
        <v>241</v>
      </c>
      <c r="E537" s="1" t="s">
        <v>385</v>
      </c>
      <c r="F537" s="1" t="s">
        <v>386</v>
      </c>
      <c r="G537" s="1" t="s">
        <v>17</v>
      </c>
      <c r="H537" s="1" t="s">
        <v>49</v>
      </c>
      <c r="I537" s="1">
        <v>3</v>
      </c>
      <c r="J537" s="1">
        <v>0</v>
      </c>
      <c r="K537" s="1" t="s">
        <v>273</v>
      </c>
      <c r="L537" s="1" t="s">
        <v>19</v>
      </c>
    </row>
    <row r="538" spans="1:12" hidden="1" x14ac:dyDescent="0.2">
      <c r="A538" s="1">
        <v>1998</v>
      </c>
      <c r="B538" s="2" t="d">
        <v>1998-06-18</v>
      </c>
      <c r="C538" s="1" t="s">
        <v>77</v>
      </c>
      <c r="D538" s="1" t="s">
        <v>304</v>
      </c>
      <c r="E538" s="1" t="s">
        <v>88</v>
      </c>
      <c r="F538" s="1" t="s">
        <v>89</v>
      </c>
      <c r="G538" s="1" t="s">
        <v>17</v>
      </c>
      <c r="H538" s="1" t="s">
        <v>389</v>
      </c>
      <c r="I538" s="1">
        <v>1</v>
      </c>
      <c r="J538" s="1">
        <v>1</v>
      </c>
      <c r="K538" s="1" t="s">
        <v>320</v>
      </c>
      <c r="L538" s="1" t="s">
        <v>19</v>
      </c>
    </row>
    <row r="539" spans="1:12" hidden="1" x14ac:dyDescent="0.2">
      <c r="A539" s="1">
        <v>1998</v>
      </c>
      <c r="B539" s="2" t="d">
        <v>1998-06-18</v>
      </c>
      <c r="C539" s="1" t="s">
        <v>268</v>
      </c>
      <c r="D539" s="1" t="s">
        <v>304</v>
      </c>
      <c r="E539" s="1" t="s">
        <v>383</v>
      </c>
      <c r="F539" s="1" t="s">
        <v>384</v>
      </c>
      <c r="G539" s="1" t="s">
        <v>17</v>
      </c>
      <c r="H539" s="1" t="s">
        <v>17</v>
      </c>
      <c r="I539" s="1">
        <v>4</v>
      </c>
      <c r="J539" s="1">
        <v>0</v>
      </c>
      <c r="K539" s="1" t="s">
        <v>371</v>
      </c>
      <c r="L539" s="1" t="s">
        <v>19</v>
      </c>
    </row>
    <row r="540" spans="1:12" hidden="1" x14ac:dyDescent="0.2">
      <c r="A540" s="1">
        <v>1998</v>
      </c>
      <c r="B540" s="2" t="d">
        <v>1998-06-19</v>
      </c>
      <c r="C540" s="1" t="s">
        <v>77</v>
      </c>
      <c r="D540" s="1" t="s">
        <v>306</v>
      </c>
      <c r="E540" s="1" t="s">
        <v>81</v>
      </c>
      <c r="F540" s="1" t="s">
        <v>82</v>
      </c>
      <c r="G540" s="1" t="s">
        <v>17</v>
      </c>
      <c r="H540" s="1" t="s">
        <v>378</v>
      </c>
      <c r="I540" s="1">
        <v>1</v>
      </c>
      <c r="J540" s="1">
        <v>0</v>
      </c>
      <c r="K540" s="1" t="s">
        <v>182</v>
      </c>
      <c r="L540" s="1" t="s">
        <v>19</v>
      </c>
    </row>
    <row r="541" spans="1:12" hidden="1" x14ac:dyDescent="0.2">
      <c r="A541" s="1">
        <v>1998</v>
      </c>
      <c r="B541" s="2" t="d">
        <v>1998-06-19</v>
      </c>
      <c r="C541" s="1" t="s">
        <v>268</v>
      </c>
      <c r="D541" s="1" t="s">
        <v>306</v>
      </c>
      <c r="E541" s="1" t="s">
        <v>396</v>
      </c>
      <c r="F541" s="1" t="s">
        <v>397</v>
      </c>
      <c r="G541" s="1" t="s">
        <v>17</v>
      </c>
      <c r="H541" s="1" t="s">
        <v>68</v>
      </c>
      <c r="I541" s="1">
        <v>0</v>
      </c>
      <c r="J541" s="1">
        <v>0</v>
      </c>
      <c r="K541" s="1" t="s">
        <v>37</v>
      </c>
      <c r="L541" s="1" t="s">
        <v>19</v>
      </c>
    </row>
    <row r="542" spans="1:12" hidden="1" x14ac:dyDescent="0.2">
      <c r="A542" s="1">
        <v>1998</v>
      </c>
      <c r="B542" s="2" t="d">
        <v>1998-06-20</v>
      </c>
      <c r="C542" s="1" t="s">
        <v>38</v>
      </c>
      <c r="D542" s="1" t="s">
        <v>394</v>
      </c>
      <c r="E542" s="1" t="s">
        <v>390</v>
      </c>
      <c r="F542" s="1" t="s">
        <v>391</v>
      </c>
      <c r="G542" s="1" t="s">
        <v>17</v>
      </c>
      <c r="H542" s="1" t="s">
        <v>395</v>
      </c>
      <c r="I542" s="1">
        <v>0</v>
      </c>
      <c r="J542" s="1">
        <v>1</v>
      </c>
      <c r="K542" s="1" t="s">
        <v>399</v>
      </c>
      <c r="L542" s="1" t="s">
        <v>19</v>
      </c>
    </row>
    <row r="543" spans="1:12" hidden="1" x14ac:dyDescent="0.2">
      <c r="A543" s="1">
        <v>1998</v>
      </c>
      <c r="B543" s="2" t="d">
        <v>1998-06-20</v>
      </c>
      <c r="C543" s="1" t="s">
        <v>77</v>
      </c>
      <c r="D543" s="1" t="s">
        <v>317</v>
      </c>
      <c r="E543" s="1" t="s">
        <v>102</v>
      </c>
      <c r="F543" s="1" t="s">
        <v>103</v>
      </c>
      <c r="G543" s="1" t="s">
        <v>17</v>
      </c>
      <c r="H543" s="1" t="s">
        <v>23</v>
      </c>
      <c r="I543" s="1">
        <v>2</v>
      </c>
      <c r="J543" s="1">
        <v>2</v>
      </c>
      <c r="K543" s="1" t="s">
        <v>18</v>
      </c>
      <c r="L543" s="1" t="s">
        <v>19</v>
      </c>
    </row>
    <row r="544" spans="1:12" hidden="1" x14ac:dyDescent="0.2">
      <c r="A544" s="1">
        <v>1998</v>
      </c>
      <c r="B544" s="2" t="d">
        <v>1998-06-20</v>
      </c>
      <c r="C544" s="1" t="s">
        <v>268</v>
      </c>
      <c r="D544" s="1" t="s">
        <v>317</v>
      </c>
      <c r="E544" s="1" t="s">
        <v>91</v>
      </c>
      <c r="F544" s="1" t="s">
        <v>92</v>
      </c>
      <c r="G544" s="1" t="s">
        <v>17</v>
      </c>
      <c r="H544" s="1" t="s">
        <v>59</v>
      </c>
      <c r="I544" s="1">
        <v>5</v>
      </c>
      <c r="J544" s="1">
        <v>0</v>
      </c>
      <c r="K544" s="1" t="s">
        <v>135</v>
      </c>
      <c r="L544" s="1" t="s">
        <v>19</v>
      </c>
    </row>
    <row r="545" spans="1:12" hidden="1" x14ac:dyDescent="0.2">
      <c r="A545" s="1">
        <v>1998</v>
      </c>
      <c r="B545" s="2" t="d">
        <v>1998-06-21</v>
      </c>
      <c r="C545" s="1" t="s">
        <v>38</v>
      </c>
      <c r="D545" s="1" t="s">
        <v>310</v>
      </c>
      <c r="E545" s="1" t="s">
        <v>387</v>
      </c>
      <c r="F545" s="1" t="s">
        <v>388</v>
      </c>
      <c r="G545" s="1" t="s">
        <v>17</v>
      </c>
      <c r="H545" s="1" t="s">
        <v>65</v>
      </c>
      <c r="I545" s="1">
        <v>2</v>
      </c>
      <c r="J545" s="1">
        <v>2</v>
      </c>
      <c r="K545" s="1" t="s">
        <v>26</v>
      </c>
      <c r="L545" s="1" t="s">
        <v>19</v>
      </c>
    </row>
    <row r="546" spans="1:12" hidden="1" x14ac:dyDescent="0.2">
      <c r="A546" s="1">
        <v>1998</v>
      </c>
      <c r="B546" s="2" t="d">
        <v>1998-06-21</v>
      </c>
      <c r="C546" s="1" t="s">
        <v>77</v>
      </c>
      <c r="D546" s="1" t="s">
        <v>394</v>
      </c>
      <c r="E546" s="1" t="s">
        <v>81</v>
      </c>
      <c r="F546" s="1" t="s">
        <v>82</v>
      </c>
      <c r="G546" s="1" t="s">
        <v>17</v>
      </c>
      <c r="H546" s="1" t="s">
        <v>33</v>
      </c>
      <c r="I546" s="1">
        <v>5</v>
      </c>
      <c r="J546" s="1">
        <v>0</v>
      </c>
      <c r="K546" s="1" t="s">
        <v>398</v>
      </c>
      <c r="L546" s="1" t="s">
        <v>19</v>
      </c>
    </row>
    <row r="547" spans="1:12" hidden="1" x14ac:dyDescent="0.2">
      <c r="A547" s="1">
        <v>1998</v>
      </c>
      <c r="B547" s="2" t="d">
        <v>1998-06-21</v>
      </c>
      <c r="C547" s="1" t="s">
        <v>268</v>
      </c>
      <c r="D547" s="1" t="s">
        <v>310</v>
      </c>
      <c r="E547" s="1" t="s">
        <v>392</v>
      </c>
      <c r="F547" s="1" t="s">
        <v>393</v>
      </c>
      <c r="G547" s="1" t="s">
        <v>17</v>
      </c>
      <c r="H547" s="1" t="s">
        <v>22</v>
      </c>
      <c r="I547" s="1">
        <v>1</v>
      </c>
      <c r="J547" s="1">
        <v>2</v>
      </c>
      <c r="K547" s="1" t="s">
        <v>260</v>
      </c>
      <c r="L547" s="1" t="s">
        <v>19</v>
      </c>
    </row>
    <row r="548" spans="1:12" hidden="1" x14ac:dyDescent="0.2">
      <c r="A548" s="1">
        <v>1998</v>
      </c>
      <c r="B548" s="2" t="d">
        <v>1998-06-22</v>
      </c>
      <c r="C548" s="1" t="s">
        <v>77</v>
      </c>
      <c r="D548" s="1" t="s">
        <v>400</v>
      </c>
      <c r="E548" s="1" t="s">
        <v>385</v>
      </c>
      <c r="F548" s="1" t="s">
        <v>386</v>
      </c>
      <c r="G548" s="1" t="s">
        <v>17</v>
      </c>
      <c r="H548" s="1" t="s">
        <v>177</v>
      </c>
      <c r="I548" s="1">
        <v>1</v>
      </c>
      <c r="J548" s="1">
        <v>0</v>
      </c>
      <c r="K548" s="1" t="s">
        <v>251</v>
      </c>
      <c r="L548" s="1" t="s">
        <v>19</v>
      </c>
    </row>
    <row r="549" spans="1:12" hidden="1" x14ac:dyDescent="0.2">
      <c r="A549" s="1">
        <v>1998</v>
      </c>
      <c r="B549" s="2" t="d">
        <v>1998-06-22</v>
      </c>
      <c r="C549" s="1" t="s">
        <v>268</v>
      </c>
      <c r="D549" s="1" t="s">
        <v>400</v>
      </c>
      <c r="E549" s="1" t="s">
        <v>88</v>
      </c>
      <c r="F549" s="1" t="s">
        <v>89</v>
      </c>
      <c r="G549" s="1" t="s">
        <v>17</v>
      </c>
      <c r="H549" s="1" t="s">
        <v>30</v>
      </c>
      <c r="I549" s="1">
        <v>2</v>
      </c>
      <c r="J549" s="1">
        <v>1</v>
      </c>
      <c r="K549" s="1" t="s">
        <v>110</v>
      </c>
      <c r="L549" s="1" t="s">
        <v>19</v>
      </c>
    </row>
    <row r="550" spans="1:12" hidden="1" x14ac:dyDescent="0.2">
      <c r="A550" s="1">
        <v>1998</v>
      </c>
      <c r="B550" s="2" t="d">
        <v>1998-06-23</v>
      </c>
      <c r="C550" s="1" t="s">
        <v>32</v>
      </c>
      <c r="D550" s="1" t="s">
        <v>241</v>
      </c>
      <c r="E550" s="1" t="s">
        <v>383</v>
      </c>
      <c r="F550" s="1" t="s">
        <v>384</v>
      </c>
      <c r="G550" s="1" t="s">
        <v>17</v>
      </c>
      <c r="H550" s="1" t="s">
        <v>49</v>
      </c>
      <c r="I550" s="1">
        <v>2</v>
      </c>
      <c r="J550" s="1">
        <v>1</v>
      </c>
      <c r="K550" s="1" t="s">
        <v>50</v>
      </c>
      <c r="L550" s="1" t="s">
        <v>19</v>
      </c>
    </row>
    <row r="551" spans="1:12" hidden="1" x14ac:dyDescent="0.2">
      <c r="A551" s="1">
        <v>1998</v>
      </c>
      <c r="B551" s="2" t="d">
        <v>1998-06-23</v>
      </c>
      <c r="C551" s="1" t="s">
        <v>32</v>
      </c>
      <c r="D551" s="1" t="s">
        <v>241</v>
      </c>
      <c r="E551" s="1" t="s">
        <v>390</v>
      </c>
      <c r="F551" s="1" t="s">
        <v>391</v>
      </c>
      <c r="G551" s="1" t="s">
        <v>17</v>
      </c>
      <c r="H551" s="1" t="s">
        <v>35</v>
      </c>
      <c r="I551" s="1">
        <v>1</v>
      </c>
      <c r="J551" s="1">
        <v>1</v>
      </c>
      <c r="K551" s="1" t="s">
        <v>273</v>
      </c>
      <c r="L551" s="1" t="s">
        <v>19</v>
      </c>
    </row>
    <row r="552" spans="1:12" hidden="1" x14ac:dyDescent="0.2">
      <c r="A552" s="1">
        <v>1998</v>
      </c>
      <c r="B552" s="2" t="d">
        <v>1998-06-23</v>
      </c>
      <c r="C552" s="1" t="s">
        <v>268</v>
      </c>
      <c r="D552" s="1" t="s">
        <v>242</v>
      </c>
      <c r="E552" s="1" t="s">
        <v>396</v>
      </c>
      <c r="F552" s="1" t="s">
        <v>397</v>
      </c>
      <c r="G552" s="1" t="s">
        <v>17</v>
      </c>
      <c r="H552" s="1" t="s">
        <v>128</v>
      </c>
      <c r="I552" s="1">
        <v>0</v>
      </c>
      <c r="J552" s="1">
        <v>3</v>
      </c>
      <c r="K552" s="1" t="s">
        <v>216</v>
      </c>
      <c r="L552" s="1" t="s">
        <v>19</v>
      </c>
    </row>
    <row r="553" spans="1:12" hidden="1" x14ac:dyDescent="0.2">
      <c r="A553" s="1">
        <v>1998</v>
      </c>
      <c r="B553" s="2" t="d">
        <v>1998-06-23</v>
      </c>
      <c r="C553" s="1" t="s">
        <v>268</v>
      </c>
      <c r="D553" s="1" t="s">
        <v>242</v>
      </c>
      <c r="E553" s="1" t="s">
        <v>91</v>
      </c>
      <c r="F553" s="1" t="s">
        <v>92</v>
      </c>
      <c r="G553" s="1" t="s">
        <v>17</v>
      </c>
      <c r="H553" s="1" t="s">
        <v>27</v>
      </c>
      <c r="I553" s="1">
        <v>1</v>
      </c>
      <c r="J553" s="1">
        <v>2</v>
      </c>
      <c r="K553" s="1" t="s">
        <v>93</v>
      </c>
      <c r="L553" s="1" t="s">
        <v>19</v>
      </c>
    </row>
    <row r="554" spans="1:12" hidden="1" x14ac:dyDescent="0.2">
      <c r="A554" s="1">
        <v>1998</v>
      </c>
      <c r="B554" s="2" t="d">
        <v>1998-06-24</v>
      </c>
      <c r="C554" s="1" t="s">
        <v>32</v>
      </c>
      <c r="D554" s="1" t="s">
        <v>304</v>
      </c>
      <c r="E554" s="1" t="s">
        <v>392</v>
      </c>
      <c r="F554" s="1" t="s">
        <v>393</v>
      </c>
      <c r="G554" s="1" t="s">
        <v>17</v>
      </c>
      <c r="H554" s="1" t="s">
        <v>17</v>
      </c>
      <c r="I554" s="1">
        <v>2</v>
      </c>
      <c r="J554" s="1">
        <v>1</v>
      </c>
      <c r="K554" s="1" t="s">
        <v>320</v>
      </c>
      <c r="L554" s="1" t="s">
        <v>19</v>
      </c>
    </row>
    <row r="555" spans="1:12" hidden="1" x14ac:dyDescent="0.2">
      <c r="A555" s="1">
        <v>1998</v>
      </c>
      <c r="B555" s="2" t="d">
        <v>1998-06-24</v>
      </c>
      <c r="C555" s="1" t="s">
        <v>32</v>
      </c>
      <c r="D555" s="1" t="s">
        <v>304</v>
      </c>
      <c r="E555" s="1" t="s">
        <v>102</v>
      </c>
      <c r="F555" s="1" t="s">
        <v>103</v>
      </c>
      <c r="G555" s="1" t="s">
        <v>17</v>
      </c>
      <c r="H555" s="1" t="s">
        <v>389</v>
      </c>
      <c r="I555" s="1">
        <v>2</v>
      </c>
      <c r="J555" s="1">
        <v>2</v>
      </c>
      <c r="K555" s="1" t="s">
        <v>371</v>
      </c>
      <c r="L555" s="1" t="s">
        <v>19</v>
      </c>
    </row>
    <row r="556" spans="1:12" hidden="1" x14ac:dyDescent="0.2">
      <c r="A556" s="1">
        <v>1998</v>
      </c>
      <c r="B556" s="2" t="d">
        <v>1998-06-24</v>
      </c>
      <c r="C556" s="1" t="s">
        <v>268</v>
      </c>
      <c r="D556" s="1" t="s">
        <v>306</v>
      </c>
      <c r="E556" s="1" t="s">
        <v>387</v>
      </c>
      <c r="F556" s="1" t="s">
        <v>388</v>
      </c>
      <c r="G556" s="1" t="s">
        <v>17</v>
      </c>
      <c r="H556" s="1" t="s">
        <v>68</v>
      </c>
      <c r="I556" s="1">
        <v>6</v>
      </c>
      <c r="J556" s="1">
        <v>1</v>
      </c>
      <c r="K556" s="1" t="s">
        <v>182</v>
      </c>
      <c r="L556" s="1" t="s">
        <v>19</v>
      </c>
    </row>
    <row r="557" spans="1:12" hidden="1" x14ac:dyDescent="0.2">
      <c r="A557" s="1">
        <v>1998</v>
      </c>
      <c r="B557" s="2" t="d">
        <v>1998-06-24</v>
      </c>
      <c r="C557" s="1" t="s">
        <v>268</v>
      </c>
      <c r="D557" s="1" t="s">
        <v>306</v>
      </c>
      <c r="E557" s="1" t="s">
        <v>88</v>
      </c>
      <c r="F557" s="1" t="s">
        <v>89</v>
      </c>
      <c r="G557" s="1" t="s">
        <v>17</v>
      </c>
      <c r="H557" s="1" t="s">
        <v>378</v>
      </c>
      <c r="I557" s="1">
        <v>1</v>
      </c>
      <c r="J557" s="1">
        <v>3</v>
      </c>
      <c r="K557" s="1" t="s">
        <v>37</v>
      </c>
      <c r="L557" s="1" t="s">
        <v>19</v>
      </c>
    </row>
    <row r="558" spans="1:12" hidden="1" x14ac:dyDescent="0.2">
      <c r="A558" s="1">
        <v>1998</v>
      </c>
      <c r="B558" s="2" t="d">
        <v>1998-06-25</v>
      </c>
      <c r="C558" s="1" t="s">
        <v>32</v>
      </c>
      <c r="D558" s="1" t="s">
        <v>317</v>
      </c>
      <c r="E558" s="1" t="s">
        <v>81</v>
      </c>
      <c r="F558" s="1" t="s">
        <v>82</v>
      </c>
      <c r="G558" s="1" t="s">
        <v>17</v>
      </c>
      <c r="H558" s="1" t="s">
        <v>23</v>
      </c>
      <c r="I558" s="1">
        <v>1</v>
      </c>
      <c r="J558" s="1">
        <v>1</v>
      </c>
      <c r="K558" s="1" t="s">
        <v>135</v>
      </c>
      <c r="L558" s="1" t="s">
        <v>19</v>
      </c>
    </row>
    <row r="559" spans="1:12" hidden="1" x14ac:dyDescent="0.2">
      <c r="A559" s="1">
        <v>1998</v>
      </c>
      <c r="B559" s="2" t="d">
        <v>1998-06-25</v>
      </c>
      <c r="C559" s="1" t="s">
        <v>32</v>
      </c>
      <c r="D559" s="1" t="s">
        <v>317</v>
      </c>
      <c r="E559" s="1" t="s">
        <v>396</v>
      </c>
      <c r="F559" s="1" t="s">
        <v>397</v>
      </c>
      <c r="G559" s="1" t="s">
        <v>17</v>
      </c>
      <c r="H559" s="1" t="s">
        <v>59</v>
      </c>
      <c r="I559" s="1">
        <v>2</v>
      </c>
      <c r="J559" s="1">
        <v>2</v>
      </c>
      <c r="K559" s="1" t="s">
        <v>18</v>
      </c>
      <c r="L559" s="1" t="s">
        <v>19</v>
      </c>
    </row>
    <row r="560" spans="1:12" hidden="1" x14ac:dyDescent="0.2">
      <c r="A560" s="1">
        <v>1998</v>
      </c>
      <c r="B560" s="2" t="d">
        <v>1998-06-25</v>
      </c>
      <c r="C560" s="1" t="s">
        <v>268</v>
      </c>
      <c r="D560" s="1" t="s">
        <v>310</v>
      </c>
      <c r="E560" s="1" t="s">
        <v>385</v>
      </c>
      <c r="F560" s="1" t="s">
        <v>386</v>
      </c>
      <c r="G560" s="1" t="s">
        <v>17</v>
      </c>
      <c r="H560" s="1" t="s">
        <v>65</v>
      </c>
      <c r="I560" s="1">
        <v>2</v>
      </c>
      <c r="J560" s="1">
        <v>0</v>
      </c>
      <c r="K560" s="1" t="s">
        <v>260</v>
      </c>
      <c r="L560" s="1" t="s">
        <v>19</v>
      </c>
    </row>
    <row r="561" spans="1:12" hidden="1" x14ac:dyDescent="0.2">
      <c r="A561" s="1">
        <v>1998</v>
      </c>
      <c r="B561" s="2" t="d">
        <v>1998-06-25</v>
      </c>
      <c r="C561" s="1" t="s">
        <v>268</v>
      </c>
      <c r="D561" s="1" t="s">
        <v>310</v>
      </c>
      <c r="E561" s="1" t="s">
        <v>390</v>
      </c>
      <c r="F561" s="1" t="s">
        <v>391</v>
      </c>
      <c r="G561" s="1" t="s">
        <v>17</v>
      </c>
      <c r="H561" s="1" t="s">
        <v>22</v>
      </c>
      <c r="I561" s="1">
        <v>0</v>
      </c>
      <c r="J561" s="1">
        <v>1</v>
      </c>
      <c r="K561" s="1" t="s">
        <v>26</v>
      </c>
      <c r="L561" s="1" t="s">
        <v>19</v>
      </c>
    </row>
    <row r="562" spans="1:12" hidden="1" x14ac:dyDescent="0.2">
      <c r="A562" s="1">
        <v>1998</v>
      </c>
      <c r="B562" s="2" t="d">
        <v>1998-06-26</v>
      </c>
      <c r="C562" s="1" t="s">
        <v>32</v>
      </c>
      <c r="D562" s="1" t="s">
        <v>394</v>
      </c>
      <c r="E562" s="1" t="s">
        <v>392</v>
      </c>
      <c r="F562" s="1" t="s">
        <v>393</v>
      </c>
      <c r="G562" s="1" t="s">
        <v>17</v>
      </c>
      <c r="H562" s="1" t="s">
        <v>395</v>
      </c>
      <c r="I562" s="1">
        <v>1</v>
      </c>
      <c r="J562" s="1">
        <v>2</v>
      </c>
      <c r="K562" s="1" t="s">
        <v>398</v>
      </c>
      <c r="L562" s="1" t="s">
        <v>19</v>
      </c>
    </row>
    <row r="563" spans="1:12" hidden="1" x14ac:dyDescent="0.2">
      <c r="A563" s="1">
        <v>1998</v>
      </c>
      <c r="B563" s="2" t="d">
        <v>1998-06-26</v>
      </c>
      <c r="C563" s="1" t="s">
        <v>32</v>
      </c>
      <c r="D563" s="1" t="s">
        <v>394</v>
      </c>
      <c r="E563" s="1" t="s">
        <v>102</v>
      </c>
      <c r="F563" s="1" t="s">
        <v>103</v>
      </c>
      <c r="G563" s="1" t="s">
        <v>17</v>
      </c>
      <c r="H563" s="1" t="s">
        <v>33</v>
      </c>
      <c r="I563" s="1">
        <v>1</v>
      </c>
      <c r="J563" s="1">
        <v>0</v>
      </c>
      <c r="K563" s="1" t="s">
        <v>399</v>
      </c>
      <c r="L563" s="1" t="s">
        <v>19</v>
      </c>
    </row>
    <row r="564" spans="1:12" hidden="1" x14ac:dyDescent="0.2">
      <c r="A564" s="1">
        <v>1998</v>
      </c>
      <c r="B564" s="2" t="d">
        <v>1998-06-26</v>
      </c>
      <c r="C564" s="1" t="s">
        <v>268</v>
      </c>
      <c r="D564" s="1" t="s">
        <v>400</v>
      </c>
      <c r="E564" s="1" t="s">
        <v>383</v>
      </c>
      <c r="F564" s="1" t="s">
        <v>384</v>
      </c>
      <c r="G564" s="1" t="s">
        <v>17</v>
      </c>
      <c r="H564" s="1" t="s">
        <v>30</v>
      </c>
      <c r="I564" s="1">
        <v>1</v>
      </c>
      <c r="J564" s="1">
        <v>1</v>
      </c>
      <c r="K564" s="1" t="s">
        <v>251</v>
      </c>
      <c r="L564" s="1" t="s">
        <v>19</v>
      </c>
    </row>
    <row r="565" spans="1:12" hidden="1" x14ac:dyDescent="0.2">
      <c r="A565" s="1">
        <v>1998</v>
      </c>
      <c r="B565" s="2" t="d">
        <v>1998-06-26</v>
      </c>
      <c r="C565" s="1" t="s">
        <v>268</v>
      </c>
      <c r="D565" s="1" t="s">
        <v>400</v>
      </c>
      <c r="E565" s="1" t="s">
        <v>387</v>
      </c>
      <c r="F565" s="1" t="s">
        <v>388</v>
      </c>
      <c r="G565" s="1" t="s">
        <v>17</v>
      </c>
      <c r="H565" s="1" t="s">
        <v>177</v>
      </c>
      <c r="I565" s="1">
        <v>0</v>
      </c>
      <c r="J565" s="1">
        <v>2</v>
      </c>
      <c r="K565" s="1" t="s">
        <v>110</v>
      </c>
      <c r="L565" s="1" t="s">
        <v>19</v>
      </c>
    </row>
    <row r="566" spans="1:12" hidden="1" x14ac:dyDescent="0.2">
      <c r="A566" s="1">
        <v>1998</v>
      </c>
      <c r="B566" s="2" t="d">
        <v>1998-06-27</v>
      </c>
      <c r="C566" s="1" t="s">
        <v>45</v>
      </c>
      <c r="D566" s="12" t="s">
        <v>323</v>
      </c>
      <c r="E566" s="1" t="s">
        <v>91</v>
      </c>
      <c r="F566" s="1" t="s">
        <v>92</v>
      </c>
      <c r="G566" s="1" t="s">
        <v>17</v>
      </c>
      <c r="H566" s="1" t="s">
        <v>49</v>
      </c>
      <c r="I566" s="1">
        <v>1</v>
      </c>
      <c r="J566" s="1">
        <v>0</v>
      </c>
      <c r="K566" s="1" t="s">
        <v>93</v>
      </c>
      <c r="L566" s="1" t="s">
        <v>19</v>
      </c>
    </row>
    <row r="567" spans="1:12" hidden="1" x14ac:dyDescent="0.2">
      <c r="A567" s="1">
        <v>1998</v>
      </c>
      <c r="B567" s="2" t="d">
        <v>1998-06-27</v>
      </c>
      <c r="C567" s="1" t="s">
        <v>268</v>
      </c>
      <c r="D567" s="12" t="s">
        <v>323</v>
      </c>
      <c r="E567" s="1" t="s">
        <v>81</v>
      </c>
      <c r="F567" s="1" t="s">
        <v>82</v>
      </c>
      <c r="G567" s="1" t="s">
        <v>17</v>
      </c>
      <c r="H567" s="1" t="s">
        <v>27</v>
      </c>
      <c r="I567" s="1">
        <v>4</v>
      </c>
      <c r="J567" s="1">
        <v>1</v>
      </c>
      <c r="K567" s="1" t="s">
        <v>35</v>
      </c>
      <c r="L567" s="1" t="s">
        <v>19</v>
      </c>
    </row>
    <row r="568" spans="1:12" hidden="1" x14ac:dyDescent="0.2">
      <c r="A568" s="1">
        <v>1998</v>
      </c>
      <c r="B568" s="2" t="d">
        <v>1998-06-28</v>
      </c>
      <c r="C568" s="1" t="s">
        <v>45</v>
      </c>
      <c r="D568" s="12" t="s">
        <v>323</v>
      </c>
      <c r="E568" s="1" t="s">
        <v>387</v>
      </c>
      <c r="F568" s="1" t="s">
        <v>388</v>
      </c>
      <c r="G568" s="1" t="s">
        <v>17</v>
      </c>
      <c r="H568" s="1" t="s">
        <v>17</v>
      </c>
      <c r="I568" s="1">
        <v>1</v>
      </c>
      <c r="J568" s="1">
        <v>0</v>
      </c>
      <c r="K568" s="1" t="s">
        <v>37</v>
      </c>
      <c r="L568" s="1" t="s">
        <v>328</v>
      </c>
    </row>
    <row r="569" spans="1:12" hidden="1" x14ac:dyDescent="0.2">
      <c r="A569" s="1">
        <v>1998</v>
      </c>
      <c r="B569" s="2" t="d">
        <v>1998-06-28</v>
      </c>
      <c r="C569" s="1" t="s">
        <v>268</v>
      </c>
      <c r="D569" s="12" t="s">
        <v>323</v>
      </c>
      <c r="E569" s="1" t="s">
        <v>383</v>
      </c>
      <c r="F569" s="1" t="s">
        <v>384</v>
      </c>
      <c r="G569" s="1" t="s">
        <v>17</v>
      </c>
      <c r="H569" s="1" t="s">
        <v>378</v>
      </c>
      <c r="I569" s="1">
        <v>1</v>
      </c>
      <c r="J569" s="1">
        <v>4</v>
      </c>
      <c r="K569" s="1" t="s">
        <v>320</v>
      </c>
      <c r="L569" s="1" t="s">
        <v>19</v>
      </c>
    </row>
    <row r="570" spans="1:12" hidden="1" x14ac:dyDescent="0.2">
      <c r="A570" s="1">
        <v>1998</v>
      </c>
      <c r="B570" s="2" t="d">
        <v>1998-06-29</v>
      </c>
      <c r="C570" s="1" t="s">
        <v>45</v>
      </c>
      <c r="D570" s="12" t="s">
        <v>323</v>
      </c>
      <c r="E570" s="1" t="s">
        <v>385</v>
      </c>
      <c r="F570" s="1" t="s">
        <v>386</v>
      </c>
      <c r="G570" s="1" t="s">
        <v>17</v>
      </c>
      <c r="H570" s="1" t="s">
        <v>65</v>
      </c>
      <c r="I570" s="1">
        <v>2</v>
      </c>
      <c r="J570" s="1">
        <v>1</v>
      </c>
      <c r="K570" s="1" t="s">
        <v>18</v>
      </c>
      <c r="L570" s="1" t="s">
        <v>19</v>
      </c>
    </row>
    <row r="571" spans="1:12" hidden="1" x14ac:dyDescent="0.2">
      <c r="A571" s="1">
        <v>1998</v>
      </c>
      <c r="B571" s="2" t="d">
        <v>1998-06-29</v>
      </c>
      <c r="C571" s="1" t="s">
        <v>268</v>
      </c>
      <c r="D571" s="12" t="s">
        <v>323</v>
      </c>
      <c r="E571" s="1" t="s">
        <v>88</v>
      </c>
      <c r="F571" s="1" t="s">
        <v>89</v>
      </c>
      <c r="G571" s="1" t="s">
        <v>17</v>
      </c>
      <c r="H571" s="1" t="s">
        <v>59</v>
      </c>
      <c r="I571" s="1">
        <v>2</v>
      </c>
      <c r="J571" s="1">
        <v>1</v>
      </c>
      <c r="K571" s="1" t="s">
        <v>26</v>
      </c>
      <c r="L571" s="1" t="s">
        <v>19</v>
      </c>
    </row>
    <row r="572" spans="1:12" hidden="1" x14ac:dyDescent="0.2">
      <c r="A572" s="1">
        <v>1998</v>
      </c>
      <c r="B572" s="2" t="d">
        <v>1998-06-30</v>
      </c>
      <c r="C572" s="1" t="s">
        <v>45</v>
      </c>
      <c r="D572" s="12" t="s">
        <v>323</v>
      </c>
      <c r="E572" s="1" t="s">
        <v>102</v>
      </c>
      <c r="F572" s="1" t="s">
        <v>103</v>
      </c>
      <c r="G572" s="1" t="s">
        <v>17</v>
      </c>
      <c r="H572" s="1" t="s">
        <v>30</v>
      </c>
      <c r="I572" s="1">
        <v>0</v>
      </c>
      <c r="J572" s="1">
        <v>1</v>
      </c>
      <c r="K572" s="1" t="s">
        <v>399</v>
      </c>
      <c r="L572" s="1" t="s">
        <v>19</v>
      </c>
    </row>
    <row r="573" spans="1:12" hidden="1" x14ac:dyDescent="0.2">
      <c r="A573" s="1">
        <v>1998</v>
      </c>
      <c r="B573" s="2" t="d">
        <v>1998-06-30</v>
      </c>
      <c r="C573" s="1" t="s">
        <v>268</v>
      </c>
      <c r="D573" s="12" t="s">
        <v>323</v>
      </c>
      <c r="E573" s="1" t="s">
        <v>396</v>
      </c>
      <c r="F573" s="1" t="s">
        <v>397</v>
      </c>
      <c r="G573" s="1" t="s">
        <v>17</v>
      </c>
      <c r="H573" s="1" t="s">
        <v>33</v>
      </c>
      <c r="I573" s="1">
        <v>2</v>
      </c>
      <c r="J573" s="1">
        <v>2</v>
      </c>
      <c r="K573" s="1" t="s">
        <v>110</v>
      </c>
      <c r="L573" s="1" t="s">
        <v>401</v>
      </c>
    </row>
    <row r="574" spans="1:12" hidden="1" x14ac:dyDescent="0.2">
      <c r="A574" s="1">
        <v>1998</v>
      </c>
      <c r="B574" s="2" t="d">
        <v>1998-07-03</v>
      </c>
      <c r="C574" s="1" t="s">
        <v>45</v>
      </c>
      <c r="D574" s="12" t="s">
        <v>74</v>
      </c>
      <c r="E574" s="1" t="s">
        <v>383</v>
      </c>
      <c r="F574" s="1" t="s">
        <v>384</v>
      </c>
      <c r="G574" s="1" t="s">
        <v>17</v>
      </c>
      <c r="H574" s="1" t="s">
        <v>49</v>
      </c>
      <c r="I574" s="1">
        <v>0</v>
      </c>
      <c r="J574" s="1">
        <v>0</v>
      </c>
      <c r="K574" s="1" t="s">
        <v>17</v>
      </c>
      <c r="L574" s="1" t="s">
        <v>325</v>
      </c>
    </row>
    <row r="575" spans="1:12" hidden="1" x14ac:dyDescent="0.2">
      <c r="A575" s="1">
        <v>1998</v>
      </c>
      <c r="B575" s="2" t="d">
        <v>1998-07-03</v>
      </c>
      <c r="C575" s="1" t="s">
        <v>268</v>
      </c>
      <c r="D575" s="12" t="s">
        <v>74</v>
      </c>
      <c r="E575" s="1" t="s">
        <v>390</v>
      </c>
      <c r="F575" s="1" t="s">
        <v>391</v>
      </c>
      <c r="G575" s="1" t="s">
        <v>17</v>
      </c>
      <c r="H575" s="1" t="s">
        <v>27</v>
      </c>
      <c r="I575" s="1">
        <v>3</v>
      </c>
      <c r="J575" s="1">
        <v>2</v>
      </c>
      <c r="K575" s="1" t="s">
        <v>320</v>
      </c>
      <c r="L575" s="1" t="s">
        <v>19</v>
      </c>
    </row>
    <row r="576" spans="1:12" hidden="1" x14ac:dyDescent="0.2">
      <c r="A576" s="1">
        <v>1998</v>
      </c>
      <c r="B576" s="2" t="d">
        <v>1998-07-04</v>
      </c>
      <c r="C576" s="1" t="s">
        <v>45</v>
      </c>
      <c r="D576" s="12" t="s">
        <v>74</v>
      </c>
      <c r="E576" s="1" t="s">
        <v>91</v>
      </c>
      <c r="F576" s="1" t="s">
        <v>92</v>
      </c>
      <c r="G576" s="1" t="s">
        <v>17</v>
      </c>
      <c r="H576" s="1" t="s">
        <v>59</v>
      </c>
      <c r="I576" s="1">
        <v>2</v>
      </c>
      <c r="J576" s="1">
        <v>1</v>
      </c>
      <c r="K576" s="1" t="s">
        <v>33</v>
      </c>
      <c r="L576" s="1" t="s">
        <v>19</v>
      </c>
    </row>
    <row r="577" spans="1:12" hidden="1" x14ac:dyDescent="0.2">
      <c r="A577" s="1">
        <v>1998</v>
      </c>
      <c r="B577" s="2" t="d">
        <v>1998-07-04</v>
      </c>
      <c r="C577" s="1" t="s">
        <v>268</v>
      </c>
      <c r="D577" s="12" t="s">
        <v>74</v>
      </c>
      <c r="E577" s="1" t="s">
        <v>392</v>
      </c>
      <c r="F577" s="1" t="s">
        <v>393</v>
      </c>
      <c r="G577" s="1" t="s">
        <v>17</v>
      </c>
      <c r="H577" s="1" t="s">
        <v>65</v>
      </c>
      <c r="I577" s="1">
        <v>0</v>
      </c>
      <c r="J577" s="1">
        <v>3</v>
      </c>
      <c r="K577" s="1" t="s">
        <v>399</v>
      </c>
      <c r="L577" s="1" t="s">
        <v>19</v>
      </c>
    </row>
    <row r="578" spans="1:12" hidden="1" x14ac:dyDescent="0.2">
      <c r="A578" s="1">
        <v>1998</v>
      </c>
      <c r="B578" s="2" t="d">
        <v>1998-07-07</v>
      </c>
      <c r="C578" s="1" t="s">
        <v>268</v>
      </c>
      <c r="D578" s="12" t="s">
        <v>42</v>
      </c>
      <c r="E578" s="1" t="s">
        <v>91</v>
      </c>
      <c r="F578" s="1" t="s">
        <v>92</v>
      </c>
      <c r="G578" s="1" t="s">
        <v>17</v>
      </c>
      <c r="H578" s="1" t="s">
        <v>27</v>
      </c>
      <c r="I578" s="1">
        <v>1</v>
      </c>
      <c r="J578" s="1">
        <v>1</v>
      </c>
      <c r="K578" s="1" t="s">
        <v>59</v>
      </c>
      <c r="L578" s="1" t="s">
        <v>402</v>
      </c>
    </row>
    <row r="579" spans="1:12" hidden="1" x14ac:dyDescent="0.2">
      <c r="A579" s="1">
        <v>1998</v>
      </c>
      <c r="B579" s="2" t="d">
        <v>1998-07-08</v>
      </c>
      <c r="C579" s="1" t="s">
        <v>268</v>
      </c>
      <c r="D579" s="12" t="s">
        <v>42</v>
      </c>
      <c r="E579" s="1" t="s">
        <v>383</v>
      </c>
      <c r="F579" s="1" t="s">
        <v>384</v>
      </c>
      <c r="G579" s="1" t="s">
        <v>17</v>
      </c>
      <c r="H579" s="1" t="s">
        <v>17</v>
      </c>
      <c r="I579" s="1">
        <v>2</v>
      </c>
      <c r="J579" s="1">
        <v>1</v>
      </c>
      <c r="K579" s="1" t="s">
        <v>399</v>
      </c>
      <c r="L579" s="1" t="s">
        <v>19</v>
      </c>
    </row>
    <row r="580" spans="1:12" hidden="1" x14ac:dyDescent="0.2">
      <c r="A580" s="1">
        <v>1998</v>
      </c>
      <c r="B580" s="2" t="d">
        <v>1998-07-11</v>
      </c>
      <c r="C580" s="1" t="s">
        <v>268</v>
      </c>
      <c r="D580" s="12" t="s">
        <v>76</v>
      </c>
      <c r="E580" s="1" t="s">
        <v>81</v>
      </c>
      <c r="F580" s="1" t="s">
        <v>82</v>
      </c>
      <c r="G580" s="1" t="s">
        <v>17</v>
      </c>
      <c r="H580" s="1" t="s">
        <v>59</v>
      </c>
      <c r="I580" s="1">
        <v>1</v>
      </c>
      <c r="J580" s="1">
        <v>2</v>
      </c>
      <c r="K580" s="1" t="s">
        <v>399</v>
      </c>
      <c r="L580" s="1" t="s">
        <v>19</v>
      </c>
    </row>
    <row r="581" spans="1:12" hidden="1" x14ac:dyDescent="0.2">
      <c r="A581" s="1">
        <v>1998</v>
      </c>
      <c r="B581" s="2" t="d">
        <v>1998-07-12</v>
      </c>
      <c r="C581" s="1" t="s">
        <v>268</v>
      </c>
      <c r="D581" s="12" t="s">
        <v>44</v>
      </c>
      <c r="E581" s="1" t="s">
        <v>383</v>
      </c>
      <c r="F581" s="1" t="s">
        <v>384</v>
      </c>
      <c r="G581" s="1" t="s">
        <v>17</v>
      </c>
      <c r="H581" s="1" t="s">
        <v>27</v>
      </c>
      <c r="I581" s="1">
        <v>0</v>
      </c>
      <c r="J581" s="1">
        <v>3</v>
      </c>
      <c r="K581" s="1" t="s">
        <v>17</v>
      </c>
      <c r="L581" s="1" t="s">
        <v>19</v>
      </c>
    </row>
    <row r="582" spans="1:12" hidden="1" x14ac:dyDescent="0.2">
      <c r="A582" s="1">
        <v>2002</v>
      </c>
      <c r="B582" s="2" t="d">
        <v>2002-05-31</v>
      </c>
      <c r="C582" s="1" t="s">
        <v>403</v>
      </c>
      <c r="D582" s="1" t="s">
        <v>242</v>
      </c>
      <c r="E582" s="1" t="s">
        <v>404</v>
      </c>
      <c r="F582" s="1" t="s">
        <v>405</v>
      </c>
      <c r="G582" s="1" t="s">
        <v>406</v>
      </c>
      <c r="H582" s="1" t="s">
        <v>17</v>
      </c>
      <c r="I582" s="1">
        <v>0</v>
      </c>
      <c r="J582" s="1">
        <v>1</v>
      </c>
      <c r="K582" s="1" t="s">
        <v>407</v>
      </c>
      <c r="L582" s="1" t="s">
        <v>19</v>
      </c>
    </row>
    <row r="583" spans="1:12" hidden="1" x14ac:dyDescent="0.2">
      <c r="A583" s="1">
        <v>2002</v>
      </c>
      <c r="B583" s="2" t="d">
        <v>2002-06-01</v>
      </c>
      <c r="C583" s="1" t="s">
        <v>75</v>
      </c>
      <c r="D583" s="1" t="s">
        <v>242</v>
      </c>
      <c r="E583" s="1" t="s">
        <v>408</v>
      </c>
      <c r="F583" s="1" t="s">
        <v>409</v>
      </c>
      <c r="G583" s="1" t="s">
        <v>406</v>
      </c>
      <c r="H583" s="1" t="s">
        <v>16</v>
      </c>
      <c r="I583" s="1">
        <v>1</v>
      </c>
      <c r="J583" s="1">
        <v>2</v>
      </c>
      <c r="K583" s="1" t="s">
        <v>320</v>
      </c>
      <c r="L583" s="1" t="s">
        <v>19</v>
      </c>
    </row>
    <row r="584" spans="1:12" hidden="1" x14ac:dyDescent="0.2">
      <c r="A584" s="1">
        <v>2002</v>
      </c>
      <c r="B584" s="2" t="d">
        <v>2002-06-01</v>
      </c>
      <c r="C584" s="1" t="s">
        <v>119</v>
      </c>
      <c r="D584" s="1" t="s">
        <v>317</v>
      </c>
      <c r="E584" s="1" t="s">
        <v>410</v>
      </c>
      <c r="F584" s="1" t="s">
        <v>411</v>
      </c>
      <c r="G584" s="1" t="s">
        <v>406</v>
      </c>
      <c r="H584" s="1" t="s">
        <v>340</v>
      </c>
      <c r="I584" s="1">
        <v>1</v>
      </c>
      <c r="J584" s="1">
        <v>1</v>
      </c>
      <c r="K584" s="1" t="s">
        <v>273</v>
      </c>
      <c r="L584" s="1" t="s">
        <v>19</v>
      </c>
    </row>
    <row r="585" spans="1:12" hidden="1" x14ac:dyDescent="0.2">
      <c r="A585" s="1">
        <v>2002</v>
      </c>
      <c r="B585" s="2" t="d">
        <v>2002-06-01</v>
      </c>
      <c r="C585" s="1" t="s">
        <v>403</v>
      </c>
      <c r="D585" s="1" t="s">
        <v>317</v>
      </c>
      <c r="E585" s="1" t="s">
        <v>412</v>
      </c>
      <c r="F585" s="1" t="s">
        <v>413</v>
      </c>
      <c r="G585" s="1" t="s">
        <v>406</v>
      </c>
      <c r="H585" s="1" t="s">
        <v>65</v>
      </c>
      <c r="I585" s="1">
        <v>8</v>
      </c>
      <c r="J585" s="1">
        <v>0</v>
      </c>
      <c r="K585" s="1" t="s">
        <v>371</v>
      </c>
      <c r="L585" s="1" t="s">
        <v>19</v>
      </c>
    </row>
    <row r="586" spans="1:12" hidden="1" x14ac:dyDescent="0.2">
      <c r="A586" s="1">
        <v>2002</v>
      </c>
      <c r="B586" s="2" t="d">
        <v>2002-06-02</v>
      </c>
      <c r="C586" s="1" t="s">
        <v>38</v>
      </c>
      <c r="D586" s="1" t="s">
        <v>310</v>
      </c>
      <c r="E586" s="1" t="s">
        <v>414</v>
      </c>
      <c r="F586" s="1" t="s">
        <v>415</v>
      </c>
      <c r="G586" s="1" t="s">
        <v>406</v>
      </c>
      <c r="H586" s="1" t="s">
        <v>33</v>
      </c>
      <c r="I586" s="1">
        <v>1</v>
      </c>
      <c r="J586" s="1">
        <v>0</v>
      </c>
      <c r="K586" s="1" t="s">
        <v>378</v>
      </c>
      <c r="L586" s="1" t="s">
        <v>19</v>
      </c>
    </row>
    <row r="587" spans="1:12" hidden="1" x14ac:dyDescent="0.2">
      <c r="A587" s="1">
        <v>2002</v>
      </c>
      <c r="B587" s="2" t="d">
        <v>2002-06-02</v>
      </c>
      <c r="C587" s="1" t="s">
        <v>45</v>
      </c>
      <c r="D587" s="1" t="s">
        <v>241</v>
      </c>
      <c r="E587" s="1" t="s">
        <v>416</v>
      </c>
      <c r="F587" s="1" t="s">
        <v>417</v>
      </c>
      <c r="G587" s="1" t="s">
        <v>406</v>
      </c>
      <c r="H587" s="1" t="s">
        <v>37</v>
      </c>
      <c r="I587" s="1">
        <v>2</v>
      </c>
      <c r="J587" s="1">
        <v>2</v>
      </c>
      <c r="K587" s="1" t="s">
        <v>389</v>
      </c>
      <c r="L587" s="1" t="s">
        <v>19</v>
      </c>
    </row>
    <row r="588" spans="1:12" hidden="1" x14ac:dyDescent="0.2">
      <c r="A588" s="1">
        <v>2002</v>
      </c>
      <c r="B588" s="2" t="d">
        <v>2002-06-02</v>
      </c>
      <c r="C588" s="1" t="s">
        <v>98</v>
      </c>
      <c r="D588" s="1" t="s">
        <v>310</v>
      </c>
      <c r="E588" s="1" t="s">
        <v>418</v>
      </c>
      <c r="F588" s="1" t="s">
        <v>419</v>
      </c>
      <c r="G588" s="1" t="s">
        <v>406</v>
      </c>
      <c r="H588" s="1" t="s">
        <v>110</v>
      </c>
      <c r="I588" s="1">
        <v>1</v>
      </c>
      <c r="J588" s="1">
        <v>1</v>
      </c>
      <c r="K588" s="1" t="s">
        <v>62</v>
      </c>
      <c r="L588" s="1" t="s">
        <v>19</v>
      </c>
    </row>
    <row r="589" spans="1:12" hidden="1" x14ac:dyDescent="0.2">
      <c r="A589" s="1">
        <v>2002</v>
      </c>
      <c r="B589" s="2" t="d">
        <v>2002-06-02</v>
      </c>
      <c r="C589" s="1" t="s">
        <v>403</v>
      </c>
      <c r="D589" s="1" t="s">
        <v>241</v>
      </c>
      <c r="E589" s="1" t="s">
        <v>420</v>
      </c>
      <c r="F589" s="1" t="s">
        <v>421</v>
      </c>
      <c r="G589" s="1" t="s">
        <v>406</v>
      </c>
      <c r="H589" s="1" t="s">
        <v>68</v>
      </c>
      <c r="I589" s="1">
        <v>3</v>
      </c>
      <c r="J589" s="1">
        <v>1</v>
      </c>
      <c r="K589" s="1" t="s">
        <v>422</v>
      </c>
      <c r="L589" s="1" t="s">
        <v>19</v>
      </c>
    </row>
    <row r="590" spans="1:12" hidden="1" x14ac:dyDescent="0.2">
      <c r="A590" s="1">
        <v>2002</v>
      </c>
      <c r="B590" s="2" t="d">
        <v>2002-06-03</v>
      </c>
      <c r="C590" s="1" t="s">
        <v>75</v>
      </c>
      <c r="D590" s="1" t="s">
        <v>304</v>
      </c>
      <c r="E590" s="1" t="s">
        <v>408</v>
      </c>
      <c r="F590" s="1" t="s">
        <v>409</v>
      </c>
      <c r="G590" s="1" t="s">
        <v>406</v>
      </c>
      <c r="H590" s="1" t="s">
        <v>27</v>
      </c>
      <c r="I590" s="1">
        <v>2</v>
      </c>
      <c r="J590" s="1">
        <v>1</v>
      </c>
      <c r="K590" s="1" t="s">
        <v>134</v>
      </c>
      <c r="L590" s="1" t="s">
        <v>19</v>
      </c>
    </row>
    <row r="591" spans="1:12" hidden="1" x14ac:dyDescent="0.2">
      <c r="A591" s="1">
        <v>2002</v>
      </c>
      <c r="B591" s="2" t="d">
        <v>2002-06-03</v>
      </c>
      <c r="C591" s="1" t="s">
        <v>403</v>
      </c>
      <c r="D591" s="1" t="s">
        <v>400</v>
      </c>
      <c r="E591" s="1" t="s">
        <v>412</v>
      </c>
      <c r="F591" s="1" t="s">
        <v>413</v>
      </c>
      <c r="G591" s="1" t="s">
        <v>406</v>
      </c>
      <c r="H591" s="1" t="s">
        <v>49</v>
      </c>
      <c r="I591" s="1">
        <v>2</v>
      </c>
      <c r="J591" s="1">
        <v>0</v>
      </c>
      <c r="K591" s="1" t="s">
        <v>423</v>
      </c>
      <c r="L591" s="1" t="s">
        <v>19</v>
      </c>
    </row>
    <row r="592" spans="1:12" hidden="1" x14ac:dyDescent="0.2">
      <c r="A592" s="1">
        <v>2002</v>
      </c>
      <c r="B592" s="2" t="d">
        <v>2002-06-03</v>
      </c>
      <c r="C592" s="1" t="s">
        <v>119</v>
      </c>
      <c r="D592" s="1" t="s">
        <v>400</v>
      </c>
      <c r="E592" s="1" t="s">
        <v>410</v>
      </c>
      <c r="F592" s="1" t="s">
        <v>411</v>
      </c>
      <c r="G592" s="1" t="s">
        <v>406</v>
      </c>
      <c r="H592" s="1" t="s">
        <v>399</v>
      </c>
      <c r="I592" s="1">
        <v>0</v>
      </c>
      <c r="J592" s="1">
        <v>1</v>
      </c>
      <c r="K592" s="1" t="s">
        <v>18</v>
      </c>
      <c r="L592" s="1" t="s">
        <v>19</v>
      </c>
    </row>
    <row r="593" spans="1:12" hidden="1" x14ac:dyDescent="0.2">
      <c r="A593" s="1">
        <v>2002</v>
      </c>
      <c r="B593" s="2" t="d">
        <v>2002-06-04</v>
      </c>
      <c r="C593" s="1" t="s">
        <v>119</v>
      </c>
      <c r="D593" s="1" t="s">
        <v>304</v>
      </c>
      <c r="E593" s="1" t="s">
        <v>420</v>
      </c>
      <c r="F593" s="1" t="s">
        <v>421</v>
      </c>
      <c r="G593" s="1" t="s">
        <v>406</v>
      </c>
      <c r="H593" s="1" t="s">
        <v>424</v>
      </c>
      <c r="I593" s="1">
        <v>0</v>
      </c>
      <c r="J593" s="1">
        <v>2</v>
      </c>
      <c r="K593" s="1" t="s">
        <v>337</v>
      </c>
      <c r="L593" s="1" t="s">
        <v>19</v>
      </c>
    </row>
    <row r="594" spans="1:12" hidden="1" x14ac:dyDescent="0.2">
      <c r="A594" s="1">
        <v>2002</v>
      </c>
      <c r="B594" s="2" t="d">
        <v>2002-06-04</v>
      </c>
      <c r="C594" s="1" t="s">
        <v>75</v>
      </c>
      <c r="D594" s="1" t="s">
        <v>394</v>
      </c>
      <c r="E594" s="1" t="s">
        <v>418</v>
      </c>
      <c r="F594" s="1" t="s">
        <v>419</v>
      </c>
      <c r="G594" s="1" t="s">
        <v>406</v>
      </c>
      <c r="H594" s="1" t="s">
        <v>395</v>
      </c>
      <c r="I594" s="1">
        <v>2</v>
      </c>
      <c r="J594" s="1">
        <v>2</v>
      </c>
      <c r="K594" s="1" t="s">
        <v>23</v>
      </c>
      <c r="L594" s="1" t="s">
        <v>19</v>
      </c>
    </row>
    <row r="595" spans="1:12" hidden="1" x14ac:dyDescent="0.2">
      <c r="A595" s="1">
        <v>2002</v>
      </c>
      <c r="B595" s="2" t="d">
        <v>2002-06-04</v>
      </c>
      <c r="C595" s="1" t="s">
        <v>403</v>
      </c>
      <c r="D595" s="1" t="s">
        <v>306</v>
      </c>
      <c r="E595" s="1" t="s">
        <v>416</v>
      </c>
      <c r="F595" s="1" t="s">
        <v>417</v>
      </c>
      <c r="G595" s="1" t="s">
        <v>406</v>
      </c>
      <c r="H595" s="1" t="s">
        <v>135</v>
      </c>
      <c r="I595" s="1">
        <v>2</v>
      </c>
      <c r="J595" s="1">
        <v>0</v>
      </c>
      <c r="K595" s="1" t="s">
        <v>96</v>
      </c>
      <c r="L595" s="1" t="s">
        <v>19</v>
      </c>
    </row>
    <row r="596" spans="1:12" hidden="1" x14ac:dyDescent="0.2">
      <c r="A596" s="1">
        <v>2002</v>
      </c>
      <c r="B596" s="2" t="d">
        <v>2002-06-05</v>
      </c>
      <c r="C596" s="1" t="s">
        <v>119</v>
      </c>
      <c r="D596" s="1" t="s">
        <v>394</v>
      </c>
      <c r="E596" s="1" t="s">
        <v>425</v>
      </c>
      <c r="F596" s="1" t="s">
        <v>426</v>
      </c>
      <c r="G596" s="1" t="s">
        <v>406</v>
      </c>
      <c r="H596" s="1" t="s">
        <v>374</v>
      </c>
      <c r="I596" s="1">
        <v>2</v>
      </c>
      <c r="J596" s="1">
        <v>0</v>
      </c>
      <c r="K596" s="1" t="s">
        <v>251</v>
      </c>
      <c r="L596" s="1" t="s">
        <v>19</v>
      </c>
    </row>
    <row r="597" spans="1:12" hidden="1" x14ac:dyDescent="0.2">
      <c r="A597" s="1">
        <v>2002</v>
      </c>
      <c r="B597" s="2" t="d">
        <v>2002-06-05</v>
      </c>
      <c r="C597" s="1" t="s">
        <v>75</v>
      </c>
      <c r="D597" s="1" t="s">
        <v>306</v>
      </c>
      <c r="E597" s="1" t="s">
        <v>427</v>
      </c>
      <c r="F597" s="1" t="s">
        <v>428</v>
      </c>
      <c r="G597" s="1" t="s">
        <v>406</v>
      </c>
      <c r="H597" s="1" t="s">
        <v>22</v>
      </c>
      <c r="I597" s="1">
        <v>3</v>
      </c>
      <c r="J597" s="1">
        <v>2</v>
      </c>
      <c r="K597" s="1" t="s">
        <v>197</v>
      </c>
      <c r="L597" s="1" t="s">
        <v>19</v>
      </c>
    </row>
    <row r="598" spans="1:12" hidden="1" x14ac:dyDescent="0.2">
      <c r="A598" s="1">
        <v>2002</v>
      </c>
      <c r="B598" s="2" t="d">
        <v>2002-06-05</v>
      </c>
      <c r="C598" s="1" t="s">
        <v>403</v>
      </c>
      <c r="D598" s="1" t="s">
        <v>317</v>
      </c>
      <c r="E598" s="1" t="s">
        <v>414</v>
      </c>
      <c r="F598" s="1" t="s">
        <v>415</v>
      </c>
      <c r="G598" s="1" t="s">
        <v>406</v>
      </c>
      <c r="H598" s="1" t="s">
        <v>65</v>
      </c>
      <c r="I598" s="1">
        <v>1</v>
      </c>
      <c r="J598" s="1">
        <v>1</v>
      </c>
      <c r="K598" s="1" t="s">
        <v>340</v>
      </c>
      <c r="L598" s="1" t="s">
        <v>19</v>
      </c>
    </row>
    <row r="599" spans="1:12" hidden="1" x14ac:dyDescent="0.2">
      <c r="A599" s="1">
        <v>2002</v>
      </c>
      <c r="B599" s="2" t="d">
        <v>2002-06-06</v>
      </c>
      <c r="C599" s="1" t="s">
        <v>119</v>
      </c>
      <c r="D599" s="1" t="s">
        <v>242</v>
      </c>
      <c r="E599" s="1" t="s">
        <v>429</v>
      </c>
      <c r="F599" s="1" t="s">
        <v>430</v>
      </c>
      <c r="G599" s="1" t="s">
        <v>406</v>
      </c>
      <c r="H599" s="1" t="s">
        <v>320</v>
      </c>
      <c r="I599" s="1">
        <v>1</v>
      </c>
      <c r="J599" s="1">
        <v>1</v>
      </c>
      <c r="K599" s="1" t="s">
        <v>407</v>
      </c>
      <c r="L599" s="1" t="s">
        <v>19</v>
      </c>
    </row>
    <row r="600" spans="1:12" hidden="1" x14ac:dyDescent="0.2">
      <c r="A600" s="1">
        <v>2002</v>
      </c>
      <c r="B600" s="2" t="d">
        <v>2002-06-06</v>
      </c>
      <c r="C600" s="1" t="s">
        <v>75</v>
      </c>
      <c r="D600" s="1" t="s">
        <v>317</v>
      </c>
      <c r="E600" s="1" t="s">
        <v>418</v>
      </c>
      <c r="F600" s="1" t="s">
        <v>419</v>
      </c>
      <c r="G600" s="1" t="s">
        <v>406</v>
      </c>
      <c r="H600" s="1" t="s">
        <v>273</v>
      </c>
      <c r="I600" s="1">
        <v>1</v>
      </c>
      <c r="J600" s="1">
        <v>0</v>
      </c>
      <c r="K600" s="1" t="s">
        <v>371</v>
      </c>
      <c r="L600" s="1" t="s">
        <v>19</v>
      </c>
    </row>
    <row r="601" spans="1:12" hidden="1" x14ac:dyDescent="0.2">
      <c r="A601" s="1">
        <v>2002</v>
      </c>
      <c r="B601" s="2" t="d">
        <v>2002-06-06</v>
      </c>
      <c r="C601" s="1" t="s">
        <v>403</v>
      </c>
      <c r="D601" s="1" t="s">
        <v>242</v>
      </c>
      <c r="E601" s="1" t="s">
        <v>416</v>
      </c>
      <c r="F601" s="1" t="s">
        <v>417</v>
      </c>
      <c r="G601" s="1" t="s">
        <v>406</v>
      </c>
      <c r="H601" s="1" t="s">
        <v>17</v>
      </c>
      <c r="I601" s="1">
        <v>0</v>
      </c>
      <c r="J601" s="1">
        <v>0</v>
      </c>
      <c r="K601" s="1" t="s">
        <v>16</v>
      </c>
      <c r="L601" s="1" t="s">
        <v>19</v>
      </c>
    </row>
    <row r="602" spans="1:12" hidden="1" x14ac:dyDescent="0.2">
      <c r="A602" s="1">
        <v>2002</v>
      </c>
      <c r="B602" s="2" t="d">
        <v>2002-06-07</v>
      </c>
      <c r="C602" s="1" t="s">
        <v>119</v>
      </c>
      <c r="D602" s="1" t="s">
        <v>310</v>
      </c>
      <c r="E602" s="1" t="s">
        <v>425</v>
      </c>
      <c r="F602" s="1" t="s">
        <v>426</v>
      </c>
      <c r="G602" s="1" t="s">
        <v>406</v>
      </c>
      <c r="H602" s="1" t="s">
        <v>62</v>
      </c>
      <c r="I602" s="1">
        <v>2</v>
      </c>
      <c r="J602" s="1">
        <v>1</v>
      </c>
      <c r="K602" s="1" t="s">
        <v>378</v>
      </c>
      <c r="L602" s="1" t="s">
        <v>19</v>
      </c>
    </row>
    <row r="603" spans="1:12" hidden="1" x14ac:dyDescent="0.2">
      <c r="A603" s="1">
        <v>2002</v>
      </c>
      <c r="B603" s="2" t="d">
        <v>2002-06-07</v>
      </c>
      <c r="C603" s="1" t="s">
        <v>403</v>
      </c>
      <c r="D603" s="1" t="s">
        <v>310</v>
      </c>
      <c r="E603" s="1" t="s">
        <v>412</v>
      </c>
      <c r="F603" s="1" t="s">
        <v>413</v>
      </c>
      <c r="G603" s="1" t="s">
        <v>406</v>
      </c>
      <c r="H603" s="1" t="s">
        <v>33</v>
      </c>
      <c r="I603" s="1">
        <v>0</v>
      </c>
      <c r="J603" s="1">
        <v>1</v>
      </c>
      <c r="K603" s="1" t="s">
        <v>110</v>
      </c>
      <c r="L603" s="1" t="s">
        <v>19</v>
      </c>
    </row>
    <row r="604" spans="1:12" hidden="1" x14ac:dyDescent="0.2">
      <c r="A604" s="1">
        <v>2002</v>
      </c>
      <c r="B604" s="2" t="d">
        <v>2002-06-07</v>
      </c>
      <c r="C604" s="1" t="s">
        <v>75</v>
      </c>
      <c r="D604" s="1" t="s">
        <v>241</v>
      </c>
      <c r="E604" s="1" t="s">
        <v>431</v>
      </c>
      <c r="F604" s="1" t="s">
        <v>432</v>
      </c>
      <c r="G604" s="1" t="s">
        <v>406</v>
      </c>
      <c r="H604" s="1" t="s">
        <v>68</v>
      </c>
      <c r="I604" s="1">
        <v>3</v>
      </c>
      <c r="J604" s="1">
        <v>1</v>
      </c>
      <c r="K604" s="1" t="s">
        <v>37</v>
      </c>
      <c r="L604" s="1" t="s">
        <v>19</v>
      </c>
    </row>
    <row r="605" spans="1:12" hidden="1" x14ac:dyDescent="0.2">
      <c r="A605" s="1">
        <v>2002</v>
      </c>
      <c r="B605" s="2" t="d">
        <v>2002-06-08</v>
      </c>
      <c r="C605" s="1" t="s">
        <v>119</v>
      </c>
      <c r="D605" s="1" t="s">
        <v>241</v>
      </c>
      <c r="E605" s="1" t="s">
        <v>429</v>
      </c>
      <c r="F605" s="1" t="s">
        <v>430</v>
      </c>
      <c r="G605" s="1" t="s">
        <v>406</v>
      </c>
      <c r="H605" s="1" t="s">
        <v>389</v>
      </c>
      <c r="I605" s="1">
        <v>1</v>
      </c>
      <c r="J605" s="1">
        <v>0</v>
      </c>
      <c r="K605" s="1" t="s">
        <v>422</v>
      </c>
      <c r="L605" s="1" t="s">
        <v>19</v>
      </c>
    </row>
    <row r="606" spans="1:12" hidden="1" x14ac:dyDescent="0.2">
      <c r="A606" s="1">
        <v>2002</v>
      </c>
      <c r="B606" s="2" t="d">
        <v>2002-06-08</v>
      </c>
      <c r="C606" s="1" t="s">
        <v>403</v>
      </c>
      <c r="D606" s="1" t="s">
        <v>304</v>
      </c>
      <c r="E606" s="1" t="s">
        <v>433</v>
      </c>
      <c r="F606" s="1" t="s">
        <v>434</v>
      </c>
      <c r="G606" s="1" t="s">
        <v>406</v>
      </c>
      <c r="H606" s="1" t="s">
        <v>27</v>
      </c>
      <c r="I606" s="1">
        <v>4</v>
      </c>
      <c r="J606" s="1">
        <v>0</v>
      </c>
      <c r="K606" s="1" t="s">
        <v>424</v>
      </c>
      <c r="L606" s="1" t="s">
        <v>19</v>
      </c>
    </row>
    <row r="607" spans="1:12" hidden="1" x14ac:dyDescent="0.2">
      <c r="A607" s="1">
        <v>2002</v>
      </c>
      <c r="B607" s="2" t="d">
        <v>2002-06-08</v>
      </c>
      <c r="C607" s="1" t="s">
        <v>75</v>
      </c>
      <c r="D607" s="1" t="s">
        <v>400</v>
      </c>
      <c r="E607" s="1" t="s">
        <v>414</v>
      </c>
      <c r="F607" s="1" t="s">
        <v>415</v>
      </c>
      <c r="G607" s="1" t="s">
        <v>406</v>
      </c>
      <c r="H607" s="1" t="s">
        <v>49</v>
      </c>
      <c r="I607" s="1">
        <v>1</v>
      </c>
      <c r="J607" s="1">
        <v>2</v>
      </c>
      <c r="K607" s="1" t="s">
        <v>399</v>
      </c>
      <c r="L607" s="1" t="s">
        <v>19</v>
      </c>
    </row>
    <row r="608" spans="1:12" hidden="1" x14ac:dyDescent="0.2">
      <c r="A608" s="1">
        <v>2002</v>
      </c>
      <c r="B608" s="2" t="d">
        <v>2002-06-09</v>
      </c>
      <c r="C608" s="1" t="s">
        <v>75</v>
      </c>
      <c r="D608" s="1" t="s">
        <v>304</v>
      </c>
      <c r="E608" s="1" t="s">
        <v>435</v>
      </c>
      <c r="F608" s="1" t="s">
        <v>436</v>
      </c>
      <c r="G608" s="1" t="s">
        <v>406</v>
      </c>
      <c r="H608" s="1" t="s">
        <v>337</v>
      </c>
      <c r="I608" s="1">
        <v>1</v>
      </c>
      <c r="J608" s="1">
        <v>1</v>
      </c>
      <c r="K608" s="1" t="s">
        <v>134</v>
      </c>
      <c r="L608" s="1" t="s">
        <v>19</v>
      </c>
    </row>
    <row r="609" spans="1:12" hidden="1" x14ac:dyDescent="0.2">
      <c r="A609" s="1">
        <v>2002</v>
      </c>
      <c r="B609" s="2" t="d">
        <v>2002-06-09</v>
      </c>
      <c r="C609" s="1" t="s">
        <v>403</v>
      </c>
      <c r="D609" s="1" t="s">
        <v>394</v>
      </c>
      <c r="E609" s="1" t="s">
        <v>437</v>
      </c>
      <c r="F609" s="1" t="s">
        <v>438</v>
      </c>
      <c r="G609" s="1" t="s">
        <v>406</v>
      </c>
      <c r="H609" s="1" t="s">
        <v>395</v>
      </c>
      <c r="I609" s="1">
        <v>1</v>
      </c>
      <c r="J609" s="1">
        <v>0</v>
      </c>
      <c r="K609" s="1" t="s">
        <v>374</v>
      </c>
      <c r="L609" s="1" t="s">
        <v>19</v>
      </c>
    </row>
    <row r="610" spans="1:12" hidden="1" x14ac:dyDescent="0.2">
      <c r="A610" s="1">
        <v>2002</v>
      </c>
      <c r="B610" s="2" t="d">
        <v>2002-06-09</v>
      </c>
      <c r="C610" s="1" t="s">
        <v>119</v>
      </c>
      <c r="D610" s="1" t="s">
        <v>400</v>
      </c>
      <c r="E610" s="1" t="s">
        <v>439</v>
      </c>
      <c r="F610" s="1" t="s">
        <v>440</v>
      </c>
      <c r="G610" s="1" t="s">
        <v>406</v>
      </c>
      <c r="H610" s="1" t="s">
        <v>18</v>
      </c>
      <c r="I610" s="1">
        <v>2</v>
      </c>
      <c r="J610" s="1">
        <v>1</v>
      </c>
      <c r="K610" s="1" t="s">
        <v>423</v>
      </c>
      <c r="L610" s="1" t="s">
        <v>19</v>
      </c>
    </row>
    <row r="611" spans="1:12" hidden="1" x14ac:dyDescent="0.2">
      <c r="A611" s="1">
        <v>2002</v>
      </c>
      <c r="B611" s="2" t="d">
        <v>2002-06-10</v>
      </c>
      <c r="C611" s="1" t="s">
        <v>119</v>
      </c>
      <c r="D611" s="1" t="s">
        <v>306</v>
      </c>
      <c r="E611" s="1" t="s">
        <v>429</v>
      </c>
      <c r="F611" s="1" t="s">
        <v>430</v>
      </c>
      <c r="G611" s="1" t="s">
        <v>406</v>
      </c>
      <c r="H611" s="1" t="s">
        <v>135</v>
      </c>
      <c r="I611" s="1">
        <v>1</v>
      </c>
      <c r="J611" s="1">
        <v>1</v>
      </c>
      <c r="K611" s="1" t="s">
        <v>22</v>
      </c>
      <c r="L611" s="1" t="s">
        <v>19</v>
      </c>
    </row>
    <row r="612" spans="1:12" hidden="1" x14ac:dyDescent="0.2">
      <c r="A612" s="1">
        <v>2002</v>
      </c>
      <c r="B612" s="2" t="d">
        <v>2002-06-10</v>
      </c>
      <c r="C612" s="1" t="s">
        <v>403</v>
      </c>
      <c r="D612" s="1" t="s">
        <v>306</v>
      </c>
      <c r="E612" s="1" t="s">
        <v>431</v>
      </c>
      <c r="F612" s="1" t="s">
        <v>432</v>
      </c>
      <c r="G612" s="1" t="s">
        <v>406</v>
      </c>
      <c r="H612" s="1" t="s">
        <v>197</v>
      </c>
      <c r="I612" s="1">
        <v>4</v>
      </c>
      <c r="J612" s="1">
        <v>0</v>
      </c>
      <c r="K612" s="1" t="s">
        <v>96</v>
      </c>
      <c r="L612" s="1" t="s">
        <v>19</v>
      </c>
    </row>
    <row r="613" spans="1:12" hidden="1" x14ac:dyDescent="0.2">
      <c r="A613" s="1">
        <v>2002</v>
      </c>
      <c r="B613" s="2" t="d">
        <v>2002-06-10</v>
      </c>
      <c r="C613" s="1" t="s">
        <v>75</v>
      </c>
      <c r="D613" s="1" t="s">
        <v>394</v>
      </c>
      <c r="E613" s="1" t="s">
        <v>441</v>
      </c>
      <c r="F613" s="1" t="s">
        <v>442</v>
      </c>
      <c r="G613" s="1" t="s">
        <v>406</v>
      </c>
      <c r="H613" s="1" t="s">
        <v>251</v>
      </c>
      <c r="I613" s="1">
        <v>1</v>
      </c>
      <c r="J613" s="1">
        <v>1</v>
      </c>
      <c r="K613" s="1" t="s">
        <v>23</v>
      </c>
      <c r="L613" s="1" t="s">
        <v>19</v>
      </c>
    </row>
    <row r="614" spans="1:12" hidden="1" x14ac:dyDescent="0.2">
      <c r="A614" s="1">
        <v>2002</v>
      </c>
      <c r="B614" s="2" t="d">
        <v>2002-06-11</v>
      </c>
      <c r="C614" s="1" t="s">
        <v>119</v>
      </c>
      <c r="D614" s="1" t="s">
        <v>242</v>
      </c>
      <c r="E614" s="1" t="s">
        <v>435</v>
      </c>
      <c r="F614" s="1" t="s">
        <v>436</v>
      </c>
      <c r="G614" s="1" t="s">
        <v>406</v>
      </c>
      <c r="H614" s="1" t="s">
        <v>320</v>
      </c>
      <c r="I614" s="1">
        <v>2</v>
      </c>
      <c r="J614" s="1">
        <v>0</v>
      </c>
      <c r="K614" s="1" t="s">
        <v>17</v>
      </c>
      <c r="L614" s="1" t="s">
        <v>19</v>
      </c>
    </row>
    <row r="615" spans="1:12" hidden="1" x14ac:dyDescent="0.2">
      <c r="A615" s="1">
        <v>2002</v>
      </c>
      <c r="B615" s="2" t="d">
        <v>2002-06-11</v>
      </c>
      <c r="C615" s="1" t="s">
        <v>119</v>
      </c>
      <c r="D615" s="1" t="s">
        <v>242</v>
      </c>
      <c r="E615" s="1" t="s">
        <v>427</v>
      </c>
      <c r="F615" s="1" t="s">
        <v>428</v>
      </c>
      <c r="G615" s="1" t="s">
        <v>406</v>
      </c>
      <c r="H615" s="1" t="s">
        <v>407</v>
      </c>
      <c r="I615" s="1">
        <v>3</v>
      </c>
      <c r="J615" s="1">
        <v>3</v>
      </c>
      <c r="K615" s="1" t="s">
        <v>16</v>
      </c>
      <c r="L615" s="1" t="s">
        <v>19</v>
      </c>
    </row>
    <row r="616" spans="1:12" hidden="1" x14ac:dyDescent="0.2">
      <c r="A616" s="1">
        <v>2002</v>
      </c>
      <c r="B616" s="2" t="d">
        <v>2002-06-11</v>
      </c>
      <c r="C616" s="1" t="s">
        <v>403</v>
      </c>
      <c r="D616" s="1" t="s">
        <v>317</v>
      </c>
      <c r="E616" s="1" t="s">
        <v>437</v>
      </c>
      <c r="F616" s="1" t="s">
        <v>438</v>
      </c>
      <c r="G616" s="1" t="s">
        <v>406</v>
      </c>
      <c r="H616" s="1" t="s">
        <v>371</v>
      </c>
      <c r="I616" s="1">
        <v>0</v>
      </c>
      <c r="J616" s="1">
        <v>3</v>
      </c>
      <c r="K616" s="1" t="s">
        <v>340</v>
      </c>
      <c r="L616" s="1" t="s">
        <v>19</v>
      </c>
    </row>
    <row r="617" spans="1:12" hidden="1" x14ac:dyDescent="0.2">
      <c r="A617" s="1">
        <v>2002</v>
      </c>
      <c r="B617" s="2" t="d">
        <v>2002-06-11</v>
      </c>
      <c r="C617" s="1" t="s">
        <v>403</v>
      </c>
      <c r="D617" s="1" t="s">
        <v>317</v>
      </c>
      <c r="E617" s="1" t="s">
        <v>443</v>
      </c>
      <c r="F617" s="1" t="s">
        <v>444</v>
      </c>
      <c r="G617" s="1" t="s">
        <v>406</v>
      </c>
      <c r="H617" s="1" t="s">
        <v>273</v>
      </c>
      <c r="I617" s="1">
        <v>0</v>
      </c>
      <c r="J617" s="1">
        <v>2</v>
      </c>
      <c r="K617" s="1" t="s">
        <v>65</v>
      </c>
      <c r="L617" s="1" t="s">
        <v>19</v>
      </c>
    </row>
    <row r="618" spans="1:12" hidden="1" x14ac:dyDescent="0.2">
      <c r="A618" s="1">
        <v>2002</v>
      </c>
      <c r="B618" s="2" t="d">
        <v>2002-06-12</v>
      </c>
      <c r="C618" s="1" t="s">
        <v>119</v>
      </c>
      <c r="D618" s="1" t="s">
        <v>310</v>
      </c>
      <c r="E618" s="1" t="s">
        <v>439</v>
      </c>
      <c r="F618" s="1" t="s">
        <v>440</v>
      </c>
      <c r="G618" s="1" t="s">
        <v>406</v>
      </c>
      <c r="H618" s="1" t="s">
        <v>62</v>
      </c>
      <c r="I618" s="1">
        <v>1</v>
      </c>
      <c r="J618" s="1">
        <v>1</v>
      </c>
      <c r="K618" s="1" t="s">
        <v>33</v>
      </c>
      <c r="L618" s="1" t="s">
        <v>19</v>
      </c>
    </row>
    <row r="619" spans="1:12" hidden="1" x14ac:dyDescent="0.2">
      <c r="A619" s="1">
        <v>2002</v>
      </c>
      <c r="B619" s="2" t="d">
        <v>2002-06-12</v>
      </c>
      <c r="C619" s="1" t="s">
        <v>119</v>
      </c>
      <c r="D619" s="1" t="s">
        <v>310</v>
      </c>
      <c r="E619" s="1" t="s">
        <v>445</v>
      </c>
      <c r="F619" s="1" t="s">
        <v>446</v>
      </c>
      <c r="G619" s="1" t="s">
        <v>406</v>
      </c>
      <c r="H619" s="1" t="s">
        <v>378</v>
      </c>
      <c r="I619" s="1">
        <v>0</v>
      </c>
      <c r="J619" s="1">
        <v>0</v>
      </c>
      <c r="K619" s="1" t="s">
        <v>110</v>
      </c>
      <c r="L619" s="1" t="s">
        <v>19</v>
      </c>
    </row>
    <row r="620" spans="1:12" hidden="1" x14ac:dyDescent="0.2">
      <c r="A620" s="1">
        <v>2002</v>
      </c>
      <c r="B620" s="2" t="d">
        <v>2002-06-12</v>
      </c>
      <c r="C620" s="1" t="s">
        <v>403</v>
      </c>
      <c r="D620" s="1" t="s">
        <v>241</v>
      </c>
      <c r="E620" s="1" t="s">
        <v>433</v>
      </c>
      <c r="F620" s="1" t="s">
        <v>434</v>
      </c>
      <c r="G620" s="1" t="s">
        <v>406</v>
      </c>
      <c r="H620" s="1" t="s">
        <v>422</v>
      </c>
      <c r="I620" s="1">
        <v>1</v>
      </c>
      <c r="J620" s="1">
        <v>3</v>
      </c>
      <c r="K620" s="1" t="s">
        <v>37</v>
      </c>
      <c r="L620" s="1" t="s">
        <v>19</v>
      </c>
    </row>
    <row r="621" spans="1:12" hidden="1" x14ac:dyDescent="0.2">
      <c r="A621" s="1">
        <v>2002</v>
      </c>
      <c r="B621" s="2" t="d">
        <v>2002-06-12</v>
      </c>
      <c r="C621" s="1" t="s">
        <v>403</v>
      </c>
      <c r="D621" s="1" t="s">
        <v>241</v>
      </c>
      <c r="E621" s="1" t="s">
        <v>447</v>
      </c>
      <c r="F621" s="1" t="s">
        <v>448</v>
      </c>
      <c r="G621" s="1" t="s">
        <v>406</v>
      </c>
      <c r="H621" s="1" t="s">
        <v>389</v>
      </c>
      <c r="I621" s="1">
        <v>2</v>
      </c>
      <c r="J621" s="1">
        <v>3</v>
      </c>
      <c r="K621" s="1" t="s">
        <v>68</v>
      </c>
      <c r="L621" s="1" t="s">
        <v>19</v>
      </c>
    </row>
    <row r="622" spans="1:12" x14ac:dyDescent="0.2">
      <c r="A622" s="1">
        <v>2002</v>
      </c>
      <c r="B622" s="2" t="d">
        <v>2002-06-13</v>
      </c>
      <c r="C622" s="1" t="s">
        <v>119</v>
      </c>
      <c r="D622" s="1" t="s">
        <v>304</v>
      </c>
      <c r="E622" s="1" t="s">
        <v>427</v>
      </c>
      <c r="F622" s="1" t="s">
        <v>428</v>
      </c>
      <c r="G622" s="1" t="s">
        <v>406</v>
      </c>
      <c r="H622" s="1" t="s">
        <v>337</v>
      </c>
      <c r="I622" s="1">
        <v>2</v>
      </c>
      <c r="J622" s="1">
        <v>5</v>
      </c>
      <c r="K622" s="1" t="s">
        <v>27</v>
      </c>
      <c r="L622" s="1" t="s">
        <v>19</v>
      </c>
    </row>
    <row r="623" spans="1:12" hidden="1" x14ac:dyDescent="0.2">
      <c r="A623" s="1">
        <v>2002</v>
      </c>
      <c r="B623" s="2" t="d">
        <v>2002-06-13</v>
      </c>
      <c r="C623" s="1" t="s">
        <v>119</v>
      </c>
      <c r="D623" s="1" t="s">
        <v>304</v>
      </c>
      <c r="E623" s="1" t="s">
        <v>404</v>
      </c>
      <c r="F623" s="1" t="s">
        <v>405</v>
      </c>
      <c r="G623" s="1" t="s">
        <v>406</v>
      </c>
      <c r="H623" s="1" t="s">
        <v>134</v>
      </c>
      <c r="I623" s="1">
        <v>3</v>
      </c>
      <c r="J623" s="1">
        <v>0</v>
      </c>
      <c r="K623" s="1" t="s">
        <v>424</v>
      </c>
      <c r="L623" s="1" t="s">
        <v>19</v>
      </c>
    </row>
    <row r="624" spans="1:12" hidden="1" x14ac:dyDescent="0.2">
      <c r="A624" s="1">
        <v>2002</v>
      </c>
      <c r="B624" s="2" t="d">
        <v>2002-06-13</v>
      </c>
      <c r="C624" s="1" t="s">
        <v>403</v>
      </c>
      <c r="D624" s="1" t="s">
        <v>400</v>
      </c>
      <c r="E624" s="1" t="s">
        <v>437</v>
      </c>
      <c r="F624" s="1" t="s">
        <v>438</v>
      </c>
      <c r="G624" s="1" t="s">
        <v>406</v>
      </c>
      <c r="H624" s="1" t="s">
        <v>423</v>
      </c>
      <c r="I624" s="1">
        <v>1</v>
      </c>
      <c r="J624" s="1">
        <v>0</v>
      </c>
      <c r="K624" s="1" t="s">
        <v>399</v>
      </c>
      <c r="L624" s="1" t="s">
        <v>19</v>
      </c>
    </row>
    <row r="625" spans="1:12" hidden="1" x14ac:dyDescent="0.2">
      <c r="A625" s="1">
        <v>2002</v>
      </c>
      <c r="B625" s="2" t="d">
        <v>2002-06-13</v>
      </c>
      <c r="C625" s="1" t="s">
        <v>403</v>
      </c>
      <c r="D625" s="1" t="s">
        <v>400</v>
      </c>
      <c r="E625" s="1" t="s">
        <v>441</v>
      </c>
      <c r="F625" s="1" t="s">
        <v>442</v>
      </c>
      <c r="G625" s="1" t="s">
        <v>406</v>
      </c>
      <c r="H625" s="1" t="s">
        <v>18</v>
      </c>
      <c r="I625" s="1">
        <v>1</v>
      </c>
      <c r="J625" s="1">
        <v>1</v>
      </c>
      <c r="K625" s="1" t="s">
        <v>49</v>
      </c>
      <c r="L625" s="1" t="s">
        <v>19</v>
      </c>
    </row>
    <row r="626" spans="1:12" hidden="1" x14ac:dyDescent="0.2">
      <c r="A626" s="1">
        <v>2002</v>
      </c>
      <c r="B626" s="2" t="d">
        <v>2002-06-14</v>
      </c>
      <c r="C626" s="1" t="s">
        <v>119</v>
      </c>
      <c r="D626" s="1" t="s">
        <v>394</v>
      </c>
      <c r="E626" s="1" t="s">
        <v>445</v>
      </c>
      <c r="F626" s="1" t="s">
        <v>446</v>
      </c>
      <c r="G626" s="1" t="s">
        <v>406</v>
      </c>
      <c r="H626" s="1" t="s">
        <v>251</v>
      </c>
      <c r="I626" s="1">
        <v>0</v>
      </c>
      <c r="J626" s="1">
        <v>2</v>
      </c>
      <c r="K626" s="1" t="s">
        <v>395</v>
      </c>
      <c r="L626" s="1" t="s">
        <v>19</v>
      </c>
    </row>
    <row r="627" spans="1:12" hidden="1" x14ac:dyDescent="0.2">
      <c r="A627" s="1">
        <v>2002</v>
      </c>
      <c r="B627" s="2" t="d">
        <v>2002-06-14</v>
      </c>
      <c r="C627" s="1" t="s">
        <v>403</v>
      </c>
      <c r="D627" s="1" t="s">
        <v>306</v>
      </c>
      <c r="E627" s="1" t="s">
        <v>435</v>
      </c>
      <c r="F627" s="1" t="s">
        <v>436</v>
      </c>
      <c r="G627" s="1" t="s">
        <v>406</v>
      </c>
      <c r="H627" s="1" t="s">
        <v>197</v>
      </c>
      <c r="I627" s="1">
        <v>0</v>
      </c>
      <c r="J627" s="1">
        <v>1</v>
      </c>
      <c r="K627" s="1" t="s">
        <v>135</v>
      </c>
      <c r="L627" s="1" t="s">
        <v>19</v>
      </c>
    </row>
    <row r="628" spans="1:12" hidden="1" x14ac:dyDescent="0.2">
      <c r="A628" s="1">
        <v>2002</v>
      </c>
      <c r="B628" s="2" t="d">
        <v>2002-06-14</v>
      </c>
      <c r="C628" s="1" t="s">
        <v>403</v>
      </c>
      <c r="D628" s="1" t="s">
        <v>306</v>
      </c>
      <c r="E628" s="1" t="s">
        <v>447</v>
      </c>
      <c r="F628" s="1" t="s">
        <v>448</v>
      </c>
      <c r="G628" s="1" t="s">
        <v>406</v>
      </c>
      <c r="H628" s="1" t="s">
        <v>96</v>
      </c>
      <c r="I628" s="1">
        <v>3</v>
      </c>
      <c r="J628" s="1">
        <v>1</v>
      </c>
      <c r="K628" s="1" t="s">
        <v>22</v>
      </c>
      <c r="L628" s="1" t="s">
        <v>19</v>
      </c>
    </row>
    <row r="629" spans="1:12" hidden="1" x14ac:dyDescent="0.2">
      <c r="A629" s="1">
        <v>2002</v>
      </c>
      <c r="B629" s="2" t="d">
        <v>2002-06-14</v>
      </c>
      <c r="C629" s="1" t="s">
        <v>119</v>
      </c>
      <c r="D629" s="1" t="s">
        <v>394</v>
      </c>
      <c r="E629" s="1" t="s">
        <v>443</v>
      </c>
      <c r="F629" s="1" t="s">
        <v>444</v>
      </c>
      <c r="G629" s="1" t="s">
        <v>406</v>
      </c>
      <c r="H629" s="1" t="s">
        <v>23</v>
      </c>
      <c r="I629" s="1">
        <v>3</v>
      </c>
      <c r="J629" s="1">
        <v>2</v>
      </c>
      <c r="K629" s="1" t="s">
        <v>374</v>
      </c>
      <c r="L629" s="1" t="s">
        <v>19</v>
      </c>
    </row>
    <row r="630" spans="1:12" hidden="1" x14ac:dyDescent="0.2">
      <c r="A630" s="1">
        <v>2002</v>
      </c>
      <c r="B630" s="2" t="d">
        <v>2002-06-15</v>
      </c>
      <c r="C630" s="1" t="s">
        <v>403</v>
      </c>
      <c r="D630" s="12" t="s">
        <v>323</v>
      </c>
      <c r="E630" s="1" t="s">
        <v>410</v>
      </c>
      <c r="F630" s="1" t="s">
        <v>411</v>
      </c>
      <c r="G630" s="1" t="s">
        <v>406</v>
      </c>
      <c r="H630" s="1" t="s">
        <v>320</v>
      </c>
      <c r="I630" s="1">
        <v>0</v>
      </c>
      <c r="J630" s="1">
        <v>3</v>
      </c>
      <c r="K630" s="1" t="s">
        <v>110</v>
      </c>
      <c r="L630" s="1" t="s">
        <v>19</v>
      </c>
    </row>
    <row r="631" spans="1:12" hidden="1" x14ac:dyDescent="0.2">
      <c r="A631" s="1">
        <v>2002</v>
      </c>
      <c r="B631" s="2" t="d">
        <v>2002-06-15</v>
      </c>
      <c r="C631" s="1" t="s">
        <v>119</v>
      </c>
      <c r="D631" s="12" t="s">
        <v>323</v>
      </c>
      <c r="E631" s="1" t="s">
        <v>433</v>
      </c>
      <c r="F631" s="1" t="s">
        <v>434</v>
      </c>
      <c r="G631" s="1" t="s">
        <v>406</v>
      </c>
      <c r="H631" s="1" t="s">
        <v>65</v>
      </c>
      <c r="I631" s="1">
        <v>1</v>
      </c>
      <c r="J631" s="1">
        <v>0</v>
      </c>
      <c r="K631" s="1" t="s">
        <v>37</v>
      </c>
      <c r="L631" s="1" t="s">
        <v>19</v>
      </c>
    </row>
    <row r="632" spans="1:12" hidden="1" x14ac:dyDescent="0.2">
      <c r="A632" s="1">
        <v>2002</v>
      </c>
      <c r="B632" s="2" t="d">
        <v>2002-06-16</v>
      </c>
      <c r="C632" s="1" t="s">
        <v>403</v>
      </c>
      <c r="D632" s="12" t="s">
        <v>323</v>
      </c>
      <c r="E632" s="1" t="s">
        <v>427</v>
      </c>
      <c r="F632" s="1" t="s">
        <v>428</v>
      </c>
      <c r="G632" s="1" t="s">
        <v>406</v>
      </c>
      <c r="H632" s="1" t="s">
        <v>68</v>
      </c>
      <c r="I632" s="1">
        <v>1</v>
      </c>
      <c r="J632" s="1">
        <v>1</v>
      </c>
      <c r="K632" s="1" t="s">
        <v>340</v>
      </c>
      <c r="L632" s="1" t="s">
        <v>449</v>
      </c>
    </row>
    <row r="633" spans="1:12" hidden="1" x14ac:dyDescent="0.2">
      <c r="A633" s="1">
        <v>2002</v>
      </c>
      <c r="B633" s="2" t="d">
        <v>2002-06-16</v>
      </c>
      <c r="C633" s="1" t="s">
        <v>119</v>
      </c>
      <c r="D633" s="12" t="s">
        <v>323</v>
      </c>
      <c r="E633" s="1" t="s">
        <v>441</v>
      </c>
      <c r="F633" s="1" t="s">
        <v>442</v>
      </c>
      <c r="G633" s="1" t="s">
        <v>406</v>
      </c>
      <c r="H633" s="1" t="s">
        <v>62</v>
      </c>
      <c r="I633" s="1">
        <v>1</v>
      </c>
      <c r="J633" s="1">
        <v>2</v>
      </c>
      <c r="K633" s="1" t="s">
        <v>407</v>
      </c>
      <c r="L633" s="1" t="s">
        <v>450</v>
      </c>
    </row>
    <row r="634" spans="1:12" hidden="1" x14ac:dyDescent="0.2">
      <c r="A634" s="1">
        <v>2002</v>
      </c>
      <c r="B634" s="2" t="d">
        <v>2002-06-17</v>
      </c>
      <c r="C634" s="1" t="s">
        <v>403</v>
      </c>
      <c r="D634" s="12" t="s">
        <v>323</v>
      </c>
      <c r="E634" s="1" t="s">
        <v>425</v>
      </c>
      <c r="F634" s="1" t="s">
        <v>426</v>
      </c>
      <c r="G634" s="1" t="s">
        <v>406</v>
      </c>
      <c r="H634" s="1" t="s">
        <v>27</v>
      </c>
      <c r="I634" s="1">
        <v>2</v>
      </c>
      <c r="J634" s="1">
        <v>0</v>
      </c>
      <c r="K634" s="1" t="s">
        <v>23</v>
      </c>
      <c r="L634" s="1" t="s">
        <v>19</v>
      </c>
    </row>
    <row r="635" spans="1:12" hidden="1" x14ac:dyDescent="0.2">
      <c r="A635" s="1">
        <v>2002</v>
      </c>
      <c r="B635" s="2" t="d">
        <v>2002-06-17</v>
      </c>
      <c r="C635" s="1" t="s">
        <v>119</v>
      </c>
      <c r="D635" s="12" t="s">
        <v>323</v>
      </c>
      <c r="E635" s="1" t="s">
        <v>431</v>
      </c>
      <c r="F635" s="1" t="s">
        <v>432</v>
      </c>
      <c r="G635" s="1" t="s">
        <v>406</v>
      </c>
      <c r="H635" s="1" t="s">
        <v>18</v>
      </c>
      <c r="I635" s="1">
        <v>0</v>
      </c>
      <c r="J635" s="1">
        <v>2</v>
      </c>
      <c r="K635" s="1" t="s">
        <v>22</v>
      </c>
      <c r="L635" s="1" t="s">
        <v>19</v>
      </c>
    </row>
    <row r="636" spans="1:12" hidden="1" x14ac:dyDescent="0.2">
      <c r="A636" s="1">
        <v>2002</v>
      </c>
      <c r="B636" s="2" t="d">
        <v>2002-06-18</v>
      </c>
      <c r="C636" s="1" t="s">
        <v>119</v>
      </c>
      <c r="D636" s="12" t="s">
        <v>323</v>
      </c>
      <c r="E636" s="1" t="s">
        <v>439</v>
      </c>
      <c r="F636" s="1" t="s">
        <v>440</v>
      </c>
      <c r="G636" s="1" t="s">
        <v>406</v>
      </c>
      <c r="H636" s="1" t="s">
        <v>395</v>
      </c>
      <c r="I636" s="1">
        <v>0</v>
      </c>
      <c r="J636" s="1">
        <v>1</v>
      </c>
      <c r="K636" s="1" t="s">
        <v>134</v>
      </c>
      <c r="L636" s="1" t="s">
        <v>19</v>
      </c>
    </row>
    <row r="637" spans="1:12" hidden="1" x14ac:dyDescent="0.2">
      <c r="A637" s="1">
        <v>2002</v>
      </c>
      <c r="B637" s="2" t="d">
        <v>2002-06-18</v>
      </c>
      <c r="C637" s="1" t="s">
        <v>403</v>
      </c>
      <c r="D637" s="12" t="s">
        <v>323</v>
      </c>
      <c r="E637" s="1" t="s">
        <v>447</v>
      </c>
      <c r="F637" s="1" t="s">
        <v>448</v>
      </c>
      <c r="G637" s="1" t="s">
        <v>406</v>
      </c>
      <c r="H637" s="1" t="s">
        <v>135</v>
      </c>
      <c r="I637" s="1">
        <v>2</v>
      </c>
      <c r="J637" s="1">
        <v>1</v>
      </c>
      <c r="K637" s="1" t="s">
        <v>49</v>
      </c>
      <c r="L637" s="1" t="s">
        <v>450</v>
      </c>
    </row>
    <row r="638" spans="1:12" x14ac:dyDescent="0.2">
      <c r="A638" s="1">
        <v>2002</v>
      </c>
      <c r="B638" s="2" t="d">
        <v>2002-06-21</v>
      </c>
      <c r="C638" s="1" t="s">
        <v>119</v>
      </c>
      <c r="D638" s="12" t="s">
        <v>74</v>
      </c>
      <c r="E638" s="1" t="s">
        <v>443</v>
      </c>
      <c r="F638" s="1" t="s">
        <v>444</v>
      </c>
      <c r="G638" s="1" t="s">
        <v>406</v>
      </c>
      <c r="H638" s="1" t="s">
        <v>110</v>
      </c>
      <c r="I638" s="1">
        <v>1</v>
      </c>
      <c r="J638" s="1">
        <v>2</v>
      </c>
      <c r="K638" s="1" t="s">
        <v>27</v>
      </c>
      <c r="L638" s="1" t="s">
        <v>19</v>
      </c>
    </row>
    <row r="639" spans="1:12" hidden="1" x14ac:dyDescent="0.2">
      <c r="A639" s="1">
        <v>2002</v>
      </c>
      <c r="B639" s="2" t="d">
        <v>2002-06-21</v>
      </c>
      <c r="C639" s="1" t="s">
        <v>403</v>
      </c>
      <c r="D639" s="12" t="s">
        <v>74</v>
      </c>
      <c r="E639" s="1" t="s">
        <v>408</v>
      </c>
      <c r="F639" s="1" t="s">
        <v>409</v>
      </c>
      <c r="G639" s="1" t="s">
        <v>406</v>
      </c>
      <c r="H639" s="1" t="s">
        <v>65</v>
      </c>
      <c r="I639" s="1">
        <v>1</v>
      </c>
      <c r="J639" s="1">
        <v>0</v>
      </c>
      <c r="K639" s="1" t="s">
        <v>22</v>
      </c>
      <c r="L639" s="1" t="s">
        <v>19</v>
      </c>
    </row>
    <row r="640" spans="1:12" hidden="1" x14ac:dyDescent="0.2">
      <c r="A640" s="1">
        <v>2002</v>
      </c>
      <c r="B640" s="2" t="d">
        <v>2002-06-22</v>
      </c>
      <c r="C640" s="1" t="s">
        <v>403</v>
      </c>
      <c r="D640" s="12" t="s">
        <v>74</v>
      </c>
      <c r="E640" s="1" t="s">
        <v>445</v>
      </c>
      <c r="F640" s="1" t="s">
        <v>446</v>
      </c>
      <c r="G640" s="1" t="s">
        <v>406</v>
      </c>
      <c r="H640" s="1" t="s">
        <v>407</v>
      </c>
      <c r="I640" s="1">
        <v>0</v>
      </c>
      <c r="J640" s="1">
        <v>1</v>
      </c>
      <c r="K640" s="1" t="s">
        <v>134</v>
      </c>
      <c r="L640" s="1" t="s">
        <v>450</v>
      </c>
    </row>
    <row r="641" spans="1:12" hidden="1" x14ac:dyDescent="0.2">
      <c r="A641" s="1">
        <v>2002</v>
      </c>
      <c r="B641" s="2" t="d">
        <v>2002-06-22</v>
      </c>
      <c r="C641" s="1" t="s">
        <v>119</v>
      </c>
      <c r="D641" s="12" t="s">
        <v>74</v>
      </c>
      <c r="E641" s="1" t="s">
        <v>420</v>
      </c>
      <c r="F641" s="1" t="s">
        <v>421</v>
      </c>
      <c r="G641" s="1" t="s">
        <v>406</v>
      </c>
      <c r="H641" s="1" t="s">
        <v>68</v>
      </c>
      <c r="I641" s="1">
        <v>0</v>
      </c>
      <c r="J641" s="1">
        <v>0</v>
      </c>
      <c r="K641" s="1" t="s">
        <v>135</v>
      </c>
      <c r="L641" s="1" t="s">
        <v>451</v>
      </c>
    </row>
    <row r="642" spans="1:12" hidden="1" x14ac:dyDescent="0.2">
      <c r="A642" s="1">
        <v>2002</v>
      </c>
      <c r="B642" s="2" t="d">
        <v>2002-06-25</v>
      </c>
      <c r="C642" s="1" t="s">
        <v>403</v>
      </c>
      <c r="D642" s="12" t="s">
        <v>42</v>
      </c>
      <c r="E642" s="1" t="s">
        <v>404</v>
      </c>
      <c r="F642" s="1" t="s">
        <v>405</v>
      </c>
      <c r="G642" s="1" t="s">
        <v>406</v>
      </c>
      <c r="H642" s="1" t="s">
        <v>65</v>
      </c>
      <c r="I642" s="1">
        <v>1</v>
      </c>
      <c r="J642" s="1">
        <v>0</v>
      </c>
      <c r="K642" s="1" t="s">
        <v>135</v>
      </c>
      <c r="L642" s="1" t="s">
        <v>19</v>
      </c>
    </row>
    <row r="643" spans="1:12" hidden="1" x14ac:dyDescent="0.2">
      <c r="A643" s="1">
        <v>2002</v>
      </c>
      <c r="B643" s="2" t="d">
        <v>2002-06-26</v>
      </c>
      <c r="C643" s="1" t="s">
        <v>403</v>
      </c>
      <c r="D643" s="12" t="s">
        <v>42</v>
      </c>
      <c r="E643" s="1" t="s">
        <v>418</v>
      </c>
      <c r="F643" s="1" t="s">
        <v>419</v>
      </c>
      <c r="G643" s="1" t="s">
        <v>406</v>
      </c>
      <c r="H643" s="1" t="s">
        <v>27</v>
      </c>
      <c r="I643" s="1">
        <v>1</v>
      </c>
      <c r="J643" s="1">
        <v>0</v>
      </c>
      <c r="K643" s="1" t="s">
        <v>134</v>
      </c>
      <c r="L643" s="1" t="s">
        <v>19</v>
      </c>
    </row>
    <row r="644" spans="1:12" hidden="1" x14ac:dyDescent="0.2">
      <c r="A644" s="1">
        <v>2002</v>
      </c>
      <c r="B644" s="2" t="d">
        <v>2002-06-29</v>
      </c>
      <c r="C644" s="1" t="s">
        <v>262</v>
      </c>
      <c r="D644" s="12" t="s">
        <v>452</v>
      </c>
      <c r="E644" s="1" t="s">
        <v>429</v>
      </c>
      <c r="F644" s="1" t="s">
        <v>430</v>
      </c>
      <c r="G644" s="1" t="s">
        <v>406</v>
      </c>
      <c r="H644" s="1" t="s">
        <v>135</v>
      </c>
      <c r="I644" s="1">
        <v>2</v>
      </c>
      <c r="J644" s="1">
        <v>3</v>
      </c>
      <c r="K644" s="1" t="s">
        <v>134</v>
      </c>
      <c r="L644" s="1" t="s">
        <v>19</v>
      </c>
    </row>
    <row r="645" spans="1:12" x14ac:dyDescent="0.2">
      <c r="A645" s="1">
        <v>2002</v>
      </c>
      <c r="B645" s="2" t="d">
        <v>2002-06-30</v>
      </c>
      <c r="C645" s="1" t="s">
        <v>262</v>
      </c>
      <c r="D645" s="12" t="s">
        <v>44</v>
      </c>
      <c r="E645" s="1" t="s">
        <v>437</v>
      </c>
      <c r="F645" s="1" t="s">
        <v>438</v>
      </c>
      <c r="G645" s="1" t="s">
        <v>406</v>
      </c>
      <c r="H645" s="1" t="s">
        <v>65</v>
      </c>
      <c r="I645" s="1">
        <v>0</v>
      </c>
      <c r="J645" s="1">
        <v>2</v>
      </c>
      <c r="K645" s="1" t="s">
        <v>27</v>
      </c>
      <c r="L645" s="1" t="s">
        <v>19</v>
      </c>
    </row>
    <row r="646" spans="1:12" hidden="1" x14ac:dyDescent="0.2">
      <c r="A646" s="1">
        <v>2006</v>
      </c>
      <c r="B646" s="2" t="d">
        <v>2006-06-09</v>
      </c>
      <c r="C646" s="1" t="s">
        <v>75</v>
      </c>
      <c r="D646" s="1" t="s">
        <v>242</v>
      </c>
      <c r="E646" s="1" t="s">
        <v>453</v>
      </c>
      <c r="F646" s="1" t="s">
        <v>235</v>
      </c>
      <c r="G646" s="1" t="s">
        <v>65</v>
      </c>
      <c r="H646" s="1" t="s">
        <v>65</v>
      </c>
      <c r="I646" s="1">
        <v>4</v>
      </c>
      <c r="J646" s="1">
        <v>2</v>
      </c>
      <c r="K646" s="1" t="s">
        <v>337</v>
      </c>
      <c r="L646" s="1" t="s">
        <v>19</v>
      </c>
    </row>
    <row r="647" spans="1:12" hidden="1" x14ac:dyDescent="0.2">
      <c r="A647" s="1">
        <v>2006</v>
      </c>
      <c r="B647" s="2" t="d">
        <v>2006-06-09</v>
      </c>
      <c r="C647" s="1" t="s">
        <v>268</v>
      </c>
      <c r="D647" s="1" t="s">
        <v>242</v>
      </c>
      <c r="E647" s="1" t="s">
        <v>454</v>
      </c>
      <c r="F647" s="1" t="s">
        <v>240</v>
      </c>
      <c r="G647" s="1" t="s">
        <v>65</v>
      </c>
      <c r="H647" s="1" t="s">
        <v>96</v>
      </c>
      <c r="I647" s="1">
        <v>0</v>
      </c>
      <c r="J647" s="1">
        <v>2</v>
      </c>
      <c r="K647" s="1" t="s">
        <v>423</v>
      </c>
      <c r="L647" s="1" t="s">
        <v>19</v>
      </c>
    </row>
    <row r="648" spans="1:12" hidden="1" x14ac:dyDescent="0.2">
      <c r="A648" s="1">
        <v>2006</v>
      </c>
      <c r="B648" s="2" t="d">
        <v>2006-06-10</v>
      </c>
      <c r="C648" s="1" t="s">
        <v>12</v>
      </c>
      <c r="D648" s="1" t="s">
        <v>241</v>
      </c>
      <c r="E648" s="1" t="s">
        <v>455</v>
      </c>
      <c r="F648" s="1" t="s">
        <v>221</v>
      </c>
      <c r="G648" s="1" t="s">
        <v>65</v>
      </c>
      <c r="H648" s="1" t="s">
        <v>110</v>
      </c>
      <c r="I648" s="1">
        <v>1</v>
      </c>
      <c r="J648" s="1">
        <v>0</v>
      </c>
      <c r="K648" s="1" t="s">
        <v>37</v>
      </c>
      <c r="L648" s="1" t="s">
        <v>19</v>
      </c>
    </row>
    <row r="649" spans="1:12" hidden="1" x14ac:dyDescent="0.2">
      <c r="A649" s="1">
        <v>2006</v>
      </c>
      <c r="B649" s="2" t="d">
        <v>2006-06-10</v>
      </c>
      <c r="C649" s="1" t="s">
        <v>75</v>
      </c>
      <c r="D649" s="1" t="s">
        <v>241</v>
      </c>
      <c r="E649" s="1" t="s">
        <v>456</v>
      </c>
      <c r="F649" s="1" t="s">
        <v>229</v>
      </c>
      <c r="G649" s="1" t="s">
        <v>65</v>
      </c>
      <c r="H649" s="1" t="s">
        <v>457</v>
      </c>
      <c r="I649" s="1">
        <v>0</v>
      </c>
      <c r="J649" s="1">
        <v>0</v>
      </c>
      <c r="K649" s="1" t="s">
        <v>62</v>
      </c>
      <c r="L649" s="1" t="s">
        <v>19</v>
      </c>
    </row>
    <row r="650" spans="1:12" hidden="1" x14ac:dyDescent="0.2">
      <c r="A650" s="1">
        <v>2006</v>
      </c>
      <c r="B650" s="2" t="d">
        <v>2006-06-10</v>
      </c>
      <c r="C650" s="1" t="s">
        <v>268</v>
      </c>
      <c r="D650" s="1" t="s">
        <v>304</v>
      </c>
      <c r="E650" s="1" t="s">
        <v>458</v>
      </c>
      <c r="F650" s="1" t="s">
        <v>225</v>
      </c>
      <c r="G650" s="1" t="s">
        <v>65</v>
      </c>
      <c r="H650" s="1" t="s">
        <v>33</v>
      </c>
      <c r="I650" s="1">
        <v>2</v>
      </c>
      <c r="J650" s="1">
        <v>1</v>
      </c>
      <c r="K650" s="1" t="s">
        <v>459</v>
      </c>
      <c r="L650" s="1" t="s">
        <v>19</v>
      </c>
    </row>
    <row r="651" spans="1:12" hidden="1" x14ac:dyDescent="0.2">
      <c r="A651" s="1">
        <v>2006</v>
      </c>
      <c r="B651" s="2" t="d">
        <v>2006-06-11</v>
      </c>
      <c r="C651" s="1" t="s">
        <v>12</v>
      </c>
      <c r="D651" s="1" t="s">
        <v>304</v>
      </c>
      <c r="E651" s="1" t="s">
        <v>460</v>
      </c>
      <c r="F651" s="1" t="s">
        <v>461</v>
      </c>
      <c r="G651" s="1" t="s">
        <v>65</v>
      </c>
      <c r="H651" s="1" t="s">
        <v>462</v>
      </c>
      <c r="I651" s="1">
        <v>0</v>
      </c>
      <c r="J651" s="1">
        <v>1</v>
      </c>
      <c r="K651" s="1" t="s">
        <v>59</v>
      </c>
      <c r="L651" s="1" t="s">
        <v>19</v>
      </c>
    </row>
    <row r="652" spans="1:12" hidden="1" x14ac:dyDescent="0.2">
      <c r="A652" s="1">
        <v>2006</v>
      </c>
      <c r="B652" s="2" t="d">
        <v>2006-06-11</v>
      </c>
      <c r="C652" s="1" t="s">
        <v>75</v>
      </c>
      <c r="D652" s="1" t="s">
        <v>306</v>
      </c>
      <c r="E652" s="1" t="s">
        <v>463</v>
      </c>
      <c r="F652" s="1" t="s">
        <v>464</v>
      </c>
      <c r="G652" s="1" t="s">
        <v>65</v>
      </c>
      <c r="H652" s="1" t="s">
        <v>18</v>
      </c>
      <c r="I652" s="1">
        <v>3</v>
      </c>
      <c r="J652" s="1">
        <v>1</v>
      </c>
      <c r="K652" s="1" t="s">
        <v>260</v>
      </c>
      <c r="L652" s="1" t="s">
        <v>19</v>
      </c>
    </row>
    <row r="653" spans="1:12" hidden="1" x14ac:dyDescent="0.2">
      <c r="A653" s="1">
        <v>2006</v>
      </c>
      <c r="B653" s="2" t="d">
        <v>2006-06-11</v>
      </c>
      <c r="C653" s="1" t="s">
        <v>268</v>
      </c>
      <c r="D653" s="1" t="s">
        <v>306</v>
      </c>
      <c r="E653" s="1" t="s">
        <v>465</v>
      </c>
      <c r="F653" s="1" t="s">
        <v>466</v>
      </c>
      <c r="G653" s="1" t="s">
        <v>65</v>
      </c>
      <c r="H653" s="1" t="s">
        <v>467</v>
      </c>
      <c r="I653" s="1">
        <v>0</v>
      </c>
      <c r="J653" s="1">
        <v>1</v>
      </c>
      <c r="K653" s="1" t="s">
        <v>197</v>
      </c>
      <c r="L653" s="1" t="s">
        <v>19</v>
      </c>
    </row>
    <row r="654" spans="1:12" hidden="1" x14ac:dyDescent="0.2">
      <c r="A654" s="1">
        <v>2006</v>
      </c>
      <c r="B654" s="2" t="d">
        <v>2006-06-12</v>
      </c>
      <c r="C654" s="1" t="s">
        <v>12</v>
      </c>
      <c r="D654" s="1" t="s">
        <v>310</v>
      </c>
      <c r="E654" s="1" t="s">
        <v>468</v>
      </c>
      <c r="F654" s="1" t="s">
        <v>469</v>
      </c>
      <c r="G654" s="1" t="s">
        <v>65</v>
      </c>
      <c r="H654" s="1" t="s">
        <v>227</v>
      </c>
      <c r="I654" s="1">
        <v>3</v>
      </c>
      <c r="J654" s="1">
        <v>1</v>
      </c>
      <c r="K654" s="1" t="s">
        <v>395</v>
      </c>
      <c r="L654" s="1" t="s">
        <v>19</v>
      </c>
    </row>
    <row r="655" spans="1:12" hidden="1" x14ac:dyDescent="0.2">
      <c r="A655" s="1">
        <v>2006</v>
      </c>
      <c r="B655" s="2" t="d">
        <v>2006-06-12</v>
      </c>
      <c r="C655" s="1" t="s">
        <v>75</v>
      </c>
      <c r="D655" s="1" t="s">
        <v>317</v>
      </c>
      <c r="E655" s="1" t="s">
        <v>454</v>
      </c>
      <c r="F655" s="1" t="s">
        <v>240</v>
      </c>
      <c r="G655" s="1" t="s">
        <v>65</v>
      </c>
      <c r="H655" s="1" t="s">
        <v>22</v>
      </c>
      <c r="I655" s="1">
        <v>0</v>
      </c>
      <c r="J655" s="1">
        <v>3</v>
      </c>
      <c r="K655" s="1" t="s">
        <v>470</v>
      </c>
      <c r="L655" s="1" t="s">
        <v>19</v>
      </c>
    </row>
    <row r="656" spans="1:12" hidden="1" x14ac:dyDescent="0.2">
      <c r="A656" s="1">
        <v>2006</v>
      </c>
      <c r="B656" s="2" t="d">
        <v>2006-06-12</v>
      </c>
      <c r="C656" s="1" t="s">
        <v>268</v>
      </c>
      <c r="D656" s="1" t="s">
        <v>317</v>
      </c>
      <c r="E656" s="1" t="s">
        <v>471</v>
      </c>
      <c r="F656" s="1" t="s">
        <v>232</v>
      </c>
      <c r="G656" s="1" t="s">
        <v>65</v>
      </c>
      <c r="H656" s="1" t="s">
        <v>49</v>
      </c>
      <c r="I656" s="1">
        <v>2</v>
      </c>
      <c r="J656" s="1">
        <v>0</v>
      </c>
      <c r="K656" s="1" t="s">
        <v>472</v>
      </c>
      <c r="L656" s="1" t="s">
        <v>19</v>
      </c>
    </row>
    <row r="657" spans="1:12" hidden="1" x14ac:dyDescent="0.2">
      <c r="A657" s="1">
        <v>2006</v>
      </c>
      <c r="B657" s="2" t="d">
        <v>2006-06-13</v>
      </c>
      <c r="C657" s="1" t="s">
        <v>12</v>
      </c>
      <c r="D657" s="1" t="s">
        <v>400</v>
      </c>
      <c r="E657" s="1" t="s">
        <v>455</v>
      </c>
      <c r="F657" s="1" t="s">
        <v>221</v>
      </c>
      <c r="G657" s="1" t="s">
        <v>65</v>
      </c>
      <c r="H657" s="1" t="s">
        <v>135</v>
      </c>
      <c r="I657" s="1">
        <v>2</v>
      </c>
      <c r="J657" s="1">
        <v>1</v>
      </c>
      <c r="K657" s="1" t="s">
        <v>473</v>
      </c>
      <c r="L657" s="1" t="s">
        <v>19</v>
      </c>
    </row>
    <row r="658" spans="1:12" hidden="1" x14ac:dyDescent="0.2">
      <c r="A658" s="1">
        <v>2006</v>
      </c>
      <c r="B658" s="2" t="d">
        <v>2006-06-13</v>
      </c>
      <c r="C658" s="1" t="s">
        <v>75</v>
      </c>
      <c r="D658" s="1" t="s">
        <v>400</v>
      </c>
      <c r="E658" s="1" t="s">
        <v>474</v>
      </c>
      <c r="F658" s="1" t="s">
        <v>238</v>
      </c>
      <c r="G658" s="1" t="s">
        <v>65</v>
      </c>
      <c r="H658" s="1" t="s">
        <v>17</v>
      </c>
      <c r="I658" s="1">
        <v>0</v>
      </c>
      <c r="J658" s="1">
        <v>0</v>
      </c>
      <c r="K658" s="1" t="s">
        <v>58</v>
      </c>
      <c r="L658" s="1" t="s">
        <v>19</v>
      </c>
    </row>
    <row r="659" spans="1:12" hidden="1" x14ac:dyDescent="0.2">
      <c r="A659" s="1">
        <v>2006</v>
      </c>
      <c r="B659" s="2" t="d">
        <v>2006-06-13</v>
      </c>
      <c r="C659" s="1" t="s">
        <v>268</v>
      </c>
      <c r="D659" s="1" t="s">
        <v>310</v>
      </c>
      <c r="E659" s="1" t="s">
        <v>222</v>
      </c>
      <c r="F659" s="1" t="s">
        <v>475</v>
      </c>
      <c r="G659" s="1" t="s">
        <v>65</v>
      </c>
      <c r="H659" s="1" t="s">
        <v>27</v>
      </c>
      <c r="I659" s="1">
        <v>1</v>
      </c>
      <c r="J659" s="1">
        <v>0</v>
      </c>
      <c r="K659" s="1" t="s">
        <v>399</v>
      </c>
      <c r="L659" s="1" t="s">
        <v>19</v>
      </c>
    </row>
    <row r="660" spans="1:12" hidden="1" x14ac:dyDescent="0.2">
      <c r="A660" s="1">
        <v>2006</v>
      </c>
      <c r="B660" s="2" t="d">
        <v>2006-06-14</v>
      </c>
      <c r="C660" s="1" t="s">
        <v>12</v>
      </c>
      <c r="D660" s="1" t="s">
        <v>394</v>
      </c>
      <c r="E660" s="1" t="s">
        <v>460</v>
      </c>
      <c r="F660" s="1" t="s">
        <v>461</v>
      </c>
      <c r="G660" s="1" t="s">
        <v>65</v>
      </c>
      <c r="H660" s="1" t="s">
        <v>68</v>
      </c>
      <c r="I660" s="1">
        <v>4</v>
      </c>
      <c r="J660" s="1">
        <v>0</v>
      </c>
      <c r="K660" s="1" t="s">
        <v>476</v>
      </c>
      <c r="L660" s="1" t="s">
        <v>19</v>
      </c>
    </row>
    <row r="661" spans="1:12" hidden="1" x14ac:dyDescent="0.2">
      <c r="A661" s="1">
        <v>2006</v>
      </c>
      <c r="B661" s="2" t="d">
        <v>2006-06-14</v>
      </c>
      <c r="C661" s="1" t="s">
        <v>75</v>
      </c>
      <c r="D661" s="1" t="s">
        <v>394</v>
      </c>
      <c r="E661" s="1" t="s">
        <v>453</v>
      </c>
      <c r="F661" s="1" t="s">
        <v>235</v>
      </c>
      <c r="G661" s="1" t="s">
        <v>65</v>
      </c>
      <c r="H661" s="1" t="s">
        <v>251</v>
      </c>
      <c r="I661" s="1">
        <v>2</v>
      </c>
      <c r="J661" s="1">
        <v>2</v>
      </c>
      <c r="K661" s="1" t="s">
        <v>371</v>
      </c>
      <c r="L661" s="1" t="s">
        <v>19</v>
      </c>
    </row>
    <row r="662" spans="1:12" hidden="1" x14ac:dyDescent="0.2">
      <c r="A662" s="1">
        <v>2006</v>
      </c>
      <c r="B662" s="2" t="d">
        <v>2006-06-14</v>
      </c>
      <c r="C662" s="1" t="s">
        <v>268</v>
      </c>
      <c r="D662" s="1" t="s">
        <v>242</v>
      </c>
      <c r="E662" s="1" t="s">
        <v>456</v>
      </c>
      <c r="F662" s="1" t="s">
        <v>229</v>
      </c>
      <c r="G662" s="1" t="s">
        <v>65</v>
      </c>
      <c r="H662" s="1" t="s">
        <v>65</v>
      </c>
      <c r="I662" s="1">
        <v>1</v>
      </c>
      <c r="J662" s="1">
        <v>0</v>
      </c>
      <c r="K662" s="1" t="s">
        <v>96</v>
      </c>
      <c r="L662" s="1" t="s">
        <v>19</v>
      </c>
    </row>
    <row r="663" spans="1:12" hidden="1" x14ac:dyDescent="0.2">
      <c r="A663" s="1">
        <v>2006</v>
      </c>
      <c r="B663" s="2" t="d">
        <v>2006-06-15</v>
      </c>
      <c r="C663" s="1" t="s">
        <v>12</v>
      </c>
      <c r="D663" s="1" t="s">
        <v>242</v>
      </c>
      <c r="E663" s="1" t="s">
        <v>458</v>
      </c>
      <c r="F663" s="1" t="s">
        <v>225</v>
      </c>
      <c r="G663" s="1" t="s">
        <v>65</v>
      </c>
      <c r="H663" s="1" t="s">
        <v>423</v>
      </c>
      <c r="I663" s="1">
        <v>3</v>
      </c>
      <c r="J663" s="1">
        <v>0</v>
      </c>
      <c r="K663" s="1" t="s">
        <v>337</v>
      </c>
      <c r="L663" s="1" t="s">
        <v>19</v>
      </c>
    </row>
    <row r="664" spans="1:12" hidden="1" x14ac:dyDescent="0.2">
      <c r="A664" s="1">
        <v>2006</v>
      </c>
      <c r="B664" s="2" t="d">
        <v>2006-06-15</v>
      </c>
      <c r="C664" s="1" t="s">
        <v>75</v>
      </c>
      <c r="D664" s="1" t="s">
        <v>241</v>
      </c>
      <c r="E664" s="1" t="s">
        <v>463</v>
      </c>
      <c r="F664" s="1" t="s">
        <v>464</v>
      </c>
      <c r="G664" s="1" t="s">
        <v>65</v>
      </c>
      <c r="H664" s="1" t="s">
        <v>110</v>
      </c>
      <c r="I664" s="1">
        <v>2</v>
      </c>
      <c r="J664" s="1">
        <v>0</v>
      </c>
      <c r="K664" s="1" t="s">
        <v>457</v>
      </c>
      <c r="L664" s="1" t="s">
        <v>19</v>
      </c>
    </row>
    <row r="665" spans="1:12" hidden="1" x14ac:dyDescent="0.2">
      <c r="A665" s="1">
        <v>2006</v>
      </c>
      <c r="B665" s="2" t="d">
        <v>2006-06-15</v>
      </c>
      <c r="C665" s="1" t="s">
        <v>268</v>
      </c>
      <c r="D665" s="1" t="s">
        <v>241</v>
      </c>
      <c r="E665" s="1" t="s">
        <v>222</v>
      </c>
      <c r="F665" s="1" t="s">
        <v>475</v>
      </c>
      <c r="G665" s="1" t="s">
        <v>65</v>
      </c>
      <c r="H665" s="1" t="s">
        <v>62</v>
      </c>
      <c r="I665" s="1">
        <v>1</v>
      </c>
      <c r="J665" s="1">
        <v>0</v>
      </c>
      <c r="K665" s="1" t="s">
        <v>37</v>
      </c>
      <c r="L665" s="1" t="s">
        <v>19</v>
      </c>
    </row>
    <row r="666" spans="1:12" hidden="1" x14ac:dyDescent="0.2">
      <c r="A666" s="1">
        <v>2006</v>
      </c>
      <c r="B666" s="2" t="d">
        <v>2006-06-16</v>
      </c>
      <c r="C666" s="1" t="s">
        <v>12</v>
      </c>
      <c r="D666" s="1" t="s">
        <v>304</v>
      </c>
      <c r="E666" s="1" t="s">
        <v>454</v>
      </c>
      <c r="F666" s="1" t="s">
        <v>240</v>
      </c>
      <c r="G666" s="1" t="s">
        <v>65</v>
      </c>
      <c r="H666" s="1" t="s">
        <v>33</v>
      </c>
      <c r="I666" s="1">
        <v>6</v>
      </c>
      <c r="J666" s="1">
        <v>0</v>
      </c>
      <c r="K666" s="1" t="s">
        <v>462</v>
      </c>
      <c r="L666" s="1" t="s">
        <v>19</v>
      </c>
    </row>
    <row r="667" spans="1:12" hidden="1" x14ac:dyDescent="0.2">
      <c r="A667" s="1">
        <v>2006</v>
      </c>
      <c r="B667" s="2" t="d">
        <v>2006-06-16</v>
      </c>
      <c r="C667" s="1" t="s">
        <v>75</v>
      </c>
      <c r="D667" s="1" t="s">
        <v>304</v>
      </c>
      <c r="E667" s="1" t="s">
        <v>474</v>
      </c>
      <c r="F667" s="1" t="s">
        <v>238</v>
      </c>
      <c r="G667" s="1" t="s">
        <v>65</v>
      </c>
      <c r="H667" s="1" t="s">
        <v>59</v>
      </c>
      <c r="I667" s="1">
        <v>2</v>
      </c>
      <c r="J667" s="1">
        <v>1</v>
      </c>
      <c r="K667" s="1" t="s">
        <v>459</v>
      </c>
      <c r="L667" s="1" t="s">
        <v>19</v>
      </c>
    </row>
    <row r="668" spans="1:12" hidden="1" x14ac:dyDescent="0.2">
      <c r="A668" s="1">
        <v>2006</v>
      </c>
      <c r="B668" s="2" t="d">
        <v>2006-06-16</v>
      </c>
      <c r="C668" s="1" t="s">
        <v>268</v>
      </c>
      <c r="D668" s="1" t="s">
        <v>306</v>
      </c>
      <c r="E668" s="1" t="s">
        <v>471</v>
      </c>
      <c r="F668" s="1" t="s">
        <v>232</v>
      </c>
      <c r="G668" s="1" t="s">
        <v>65</v>
      </c>
      <c r="H668" s="1" t="s">
        <v>18</v>
      </c>
      <c r="I668" s="1">
        <v>0</v>
      </c>
      <c r="J668" s="1">
        <v>0</v>
      </c>
      <c r="K668" s="1" t="s">
        <v>467</v>
      </c>
      <c r="L668" s="1" t="s">
        <v>19</v>
      </c>
    </row>
    <row r="669" spans="1:12" hidden="1" x14ac:dyDescent="0.2">
      <c r="A669" s="1">
        <v>2006</v>
      </c>
      <c r="B669" s="2" t="d">
        <v>2006-06-17</v>
      </c>
      <c r="C669" s="1" t="s">
        <v>12</v>
      </c>
      <c r="D669" s="1" t="s">
        <v>306</v>
      </c>
      <c r="E669" s="1" t="s">
        <v>455</v>
      </c>
      <c r="F669" s="1" t="s">
        <v>221</v>
      </c>
      <c r="G669" s="1" t="s">
        <v>65</v>
      </c>
      <c r="H669" s="1" t="s">
        <v>197</v>
      </c>
      <c r="I669" s="1">
        <v>2</v>
      </c>
      <c r="J669" s="1">
        <v>0</v>
      </c>
      <c r="K669" s="1" t="s">
        <v>258</v>
      </c>
      <c r="L669" s="1" t="s">
        <v>19</v>
      </c>
    </row>
    <row r="670" spans="1:12" hidden="1" x14ac:dyDescent="0.2">
      <c r="A670" s="1">
        <v>2006</v>
      </c>
      <c r="B670" s="2" t="d">
        <v>2006-06-17</v>
      </c>
      <c r="C670" s="1" t="s">
        <v>75</v>
      </c>
      <c r="D670" s="1" t="s">
        <v>317</v>
      </c>
      <c r="E670" s="1" t="s">
        <v>465</v>
      </c>
      <c r="F670" s="1" t="s">
        <v>466</v>
      </c>
      <c r="G670" s="1" t="s">
        <v>65</v>
      </c>
      <c r="H670" s="1" t="s">
        <v>470</v>
      </c>
      <c r="I670" s="1">
        <v>0</v>
      </c>
      <c r="J670" s="1">
        <v>2</v>
      </c>
      <c r="K670" s="1" t="s">
        <v>472</v>
      </c>
      <c r="L670" s="1" t="s">
        <v>19</v>
      </c>
    </row>
    <row r="671" spans="1:12" hidden="1" x14ac:dyDescent="0.2">
      <c r="A671" s="1">
        <v>2006</v>
      </c>
      <c r="B671" s="2" t="d">
        <v>2006-06-17</v>
      </c>
      <c r="C671" s="1" t="s">
        <v>268</v>
      </c>
      <c r="D671" s="1" t="s">
        <v>317</v>
      </c>
      <c r="E671" s="1" t="s">
        <v>468</v>
      </c>
      <c r="F671" s="1" t="s">
        <v>469</v>
      </c>
      <c r="G671" s="1" t="s">
        <v>65</v>
      </c>
      <c r="H671" s="1" t="s">
        <v>49</v>
      </c>
      <c r="I671" s="1">
        <v>1</v>
      </c>
      <c r="J671" s="1">
        <v>1</v>
      </c>
      <c r="K671" s="1" t="s">
        <v>22</v>
      </c>
      <c r="L671" s="1" t="s">
        <v>19</v>
      </c>
    </row>
    <row r="672" spans="1:12" hidden="1" x14ac:dyDescent="0.2">
      <c r="A672" s="1">
        <v>2006</v>
      </c>
      <c r="B672" s="2" t="d">
        <v>2006-06-18</v>
      </c>
      <c r="C672" s="1" t="s">
        <v>12</v>
      </c>
      <c r="D672" s="1" t="s">
        <v>310</v>
      </c>
      <c r="E672" s="1" t="s">
        <v>463</v>
      </c>
      <c r="F672" s="1" t="s">
        <v>464</v>
      </c>
      <c r="G672" s="1" t="s">
        <v>65</v>
      </c>
      <c r="H672" s="1" t="s">
        <v>395</v>
      </c>
      <c r="I672" s="1">
        <v>0</v>
      </c>
      <c r="J672" s="1">
        <v>0</v>
      </c>
      <c r="K672" s="1" t="s">
        <v>399</v>
      </c>
      <c r="L672" s="1" t="s">
        <v>19</v>
      </c>
    </row>
    <row r="673" spans="1:12" hidden="1" x14ac:dyDescent="0.2">
      <c r="A673" s="1">
        <v>2006</v>
      </c>
      <c r="B673" s="2" t="d">
        <v>2006-06-18</v>
      </c>
      <c r="C673" s="1" t="s">
        <v>75</v>
      </c>
      <c r="D673" s="1" t="s">
        <v>310</v>
      </c>
      <c r="E673" s="1" t="s">
        <v>453</v>
      </c>
      <c r="F673" s="1" t="s">
        <v>235</v>
      </c>
      <c r="G673" s="1" t="s">
        <v>65</v>
      </c>
      <c r="H673" s="1" t="s">
        <v>27</v>
      </c>
      <c r="I673" s="1">
        <v>2</v>
      </c>
      <c r="J673" s="1">
        <v>0</v>
      </c>
      <c r="K673" s="1" t="s">
        <v>227</v>
      </c>
      <c r="L673" s="1" t="s">
        <v>19</v>
      </c>
    </row>
    <row r="674" spans="1:12" hidden="1" x14ac:dyDescent="0.2">
      <c r="A674" s="1">
        <v>2006</v>
      </c>
      <c r="B674" s="2" t="d">
        <v>2006-06-18</v>
      </c>
      <c r="C674" s="1" t="s">
        <v>268</v>
      </c>
      <c r="D674" s="1" t="s">
        <v>400</v>
      </c>
      <c r="E674" s="1" t="s">
        <v>460</v>
      </c>
      <c r="F674" s="1" t="s">
        <v>461</v>
      </c>
      <c r="G674" s="1" t="s">
        <v>65</v>
      </c>
      <c r="H674" s="1" t="s">
        <v>17</v>
      </c>
      <c r="I674" s="1">
        <v>1</v>
      </c>
      <c r="J674" s="1">
        <v>1</v>
      </c>
      <c r="K674" s="1" t="s">
        <v>135</v>
      </c>
      <c r="L674" s="1" t="s">
        <v>19</v>
      </c>
    </row>
    <row r="675" spans="1:12" hidden="1" x14ac:dyDescent="0.2">
      <c r="A675" s="1">
        <v>2006</v>
      </c>
      <c r="B675" s="2" t="d">
        <v>2006-06-19</v>
      </c>
      <c r="C675" s="1" t="s">
        <v>12</v>
      </c>
      <c r="D675" s="1" t="s">
        <v>400</v>
      </c>
      <c r="E675" s="1" t="s">
        <v>456</v>
      </c>
      <c r="F675" s="1" t="s">
        <v>229</v>
      </c>
      <c r="G675" s="1" t="s">
        <v>65</v>
      </c>
      <c r="H675" s="1" t="s">
        <v>473</v>
      </c>
      <c r="I675" s="1">
        <v>0</v>
      </c>
      <c r="J675" s="1">
        <v>2</v>
      </c>
      <c r="K675" s="1" t="s">
        <v>58</v>
      </c>
      <c r="L675" s="1" t="s">
        <v>19</v>
      </c>
    </row>
    <row r="676" spans="1:12" hidden="1" x14ac:dyDescent="0.2">
      <c r="A676" s="1">
        <v>2006</v>
      </c>
      <c r="B676" s="2" t="d">
        <v>2006-06-19</v>
      </c>
      <c r="C676" s="1" t="s">
        <v>75</v>
      </c>
      <c r="D676" s="1" t="s">
        <v>394</v>
      </c>
      <c r="E676" s="1" t="s">
        <v>458</v>
      </c>
      <c r="F676" s="1" t="s">
        <v>225</v>
      </c>
      <c r="G676" s="1" t="s">
        <v>65</v>
      </c>
      <c r="H676" s="1" t="s">
        <v>371</v>
      </c>
      <c r="I676" s="1">
        <v>0</v>
      </c>
      <c r="J676" s="1">
        <v>4</v>
      </c>
      <c r="K676" s="1" t="s">
        <v>476</v>
      </c>
      <c r="L676" s="1" t="s">
        <v>19</v>
      </c>
    </row>
    <row r="677" spans="1:12" hidden="1" x14ac:dyDescent="0.2">
      <c r="A677" s="1">
        <v>2006</v>
      </c>
      <c r="B677" s="2" t="d">
        <v>2006-06-19</v>
      </c>
      <c r="C677" s="1" t="s">
        <v>268</v>
      </c>
      <c r="D677" s="1" t="s">
        <v>394</v>
      </c>
      <c r="E677" s="1" t="s">
        <v>474</v>
      </c>
      <c r="F677" s="1" t="s">
        <v>238</v>
      </c>
      <c r="G677" s="1" t="s">
        <v>65</v>
      </c>
      <c r="H677" s="1" t="s">
        <v>68</v>
      </c>
      <c r="I677" s="1">
        <v>3</v>
      </c>
      <c r="J677" s="1">
        <v>1</v>
      </c>
      <c r="K677" s="1" t="s">
        <v>251</v>
      </c>
      <c r="L677" s="1" t="s">
        <v>19</v>
      </c>
    </row>
    <row r="678" spans="1:12" hidden="1" x14ac:dyDescent="0.2">
      <c r="A678" s="1">
        <v>2006</v>
      </c>
      <c r="B678" s="2" t="d">
        <v>2006-06-20</v>
      </c>
      <c r="C678" s="1" t="s">
        <v>32</v>
      </c>
      <c r="D678" s="1" t="s">
        <v>242</v>
      </c>
      <c r="E678" s="1" t="s">
        <v>222</v>
      </c>
      <c r="F678" s="1" t="s">
        <v>475</v>
      </c>
      <c r="G678" s="1" t="s">
        <v>65</v>
      </c>
      <c r="H678" s="1" t="s">
        <v>423</v>
      </c>
      <c r="I678" s="1">
        <v>0</v>
      </c>
      <c r="J678" s="1">
        <v>3</v>
      </c>
      <c r="K678" s="1" t="s">
        <v>65</v>
      </c>
      <c r="L678" s="1" t="s">
        <v>19</v>
      </c>
    </row>
    <row r="679" spans="1:12" hidden="1" x14ac:dyDescent="0.2">
      <c r="A679" s="1">
        <v>2006</v>
      </c>
      <c r="B679" s="2" t="d">
        <v>2006-06-20</v>
      </c>
      <c r="C679" s="1" t="s">
        <v>32</v>
      </c>
      <c r="D679" s="1" t="s">
        <v>242</v>
      </c>
      <c r="E679" s="1" t="s">
        <v>471</v>
      </c>
      <c r="F679" s="1" t="s">
        <v>232</v>
      </c>
      <c r="G679" s="1" t="s">
        <v>65</v>
      </c>
      <c r="H679" s="1" t="s">
        <v>337</v>
      </c>
      <c r="I679" s="1">
        <v>1</v>
      </c>
      <c r="J679" s="1">
        <v>2</v>
      </c>
      <c r="K679" s="1" t="s">
        <v>96</v>
      </c>
      <c r="L679" s="1" t="s">
        <v>19</v>
      </c>
    </row>
    <row r="680" spans="1:12" hidden="1" x14ac:dyDescent="0.2">
      <c r="A680" s="1">
        <v>2006</v>
      </c>
      <c r="B680" s="2" t="d">
        <v>2006-06-20</v>
      </c>
      <c r="C680" s="1" t="s">
        <v>268</v>
      </c>
      <c r="D680" s="1" t="s">
        <v>241</v>
      </c>
      <c r="E680" s="1" t="s">
        <v>465</v>
      </c>
      <c r="F680" s="1" t="s">
        <v>466</v>
      </c>
      <c r="G680" s="1" t="s">
        <v>65</v>
      </c>
      <c r="H680" s="1" t="s">
        <v>62</v>
      </c>
      <c r="I680" s="1">
        <v>2</v>
      </c>
      <c r="J680" s="1">
        <v>2</v>
      </c>
      <c r="K680" s="1" t="s">
        <v>110</v>
      </c>
      <c r="L680" s="1" t="s">
        <v>19</v>
      </c>
    </row>
    <row r="681" spans="1:12" hidden="1" x14ac:dyDescent="0.2">
      <c r="A681" s="1">
        <v>2006</v>
      </c>
      <c r="B681" s="2" t="d">
        <v>2006-06-20</v>
      </c>
      <c r="C681" s="1" t="s">
        <v>268</v>
      </c>
      <c r="D681" s="1" t="s">
        <v>241</v>
      </c>
      <c r="E681" s="1" t="s">
        <v>468</v>
      </c>
      <c r="F681" s="1" t="s">
        <v>469</v>
      </c>
      <c r="G681" s="1" t="s">
        <v>65</v>
      </c>
      <c r="H681" s="1" t="s">
        <v>37</v>
      </c>
      <c r="I681" s="1">
        <v>2</v>
      </c>
      <c r="J681" s="1">
        <v>0</v>
      </c>
      <c r="K681" s="1" t="s">
        <v>457</v>
      </c>
      <c r="L681" s="1" t="s">
        <v>19</v>
      </c>
    </row>
    <row r="682" spans="1:12" hidden="1" x14ac:dyDescent="0.2">
      <c r="A682" s="1">
        <v>2006</v>
      </c>
      <c r="B682" s="2" t="d">
        <v>2006-06-21</v>
      </c>
      <c r="C682" s="1" t="s">
        <v>32</v>
      </c>
      <c r="D682" s="1" t="s">
        <v>306</v>
      </c>
      <c r="E682" s="1" t="s">
        <v>460</v>
      </c>
      <c r="F682" s="1" t="s">
        <v>461</v>
      </c>
      <c r="G682" s="1" t="s">
        <v>65</v>
      </c>
      <c r="H682" s="1" t="s">
        <v>260</v>
      </c>
      <c r="I682" s="1">
        <v>1</v>
      </c>
      <c r="J682" s="1">
        <v>1</v>
      </c>
      <c r="K682" s="1" t="s">
        <v>467</v>
      </c>
      <c r="L682" s="1" t="s">
        <v>19</v>
      </c>
    </row>
    <row r="683" spans="1:12" hidden="1" x14ac:dyDescent="0.2">
      <c r="A683" s="1">
        <v>2006</v>
      </c>
      <c r="B683" s="2" t="d">
        <v>2006-06-21</v>
      </c>
      <c r="C683" s="1" t="s">
        <v>32</v>
      </c>
      <c r="D683" s="1" t="s">
        <v>306</v>
      </c>
      <c r="E683" s="1" t="s">
        <v>454</v>
      </c>
      <c r="F683" s="1" t="s">
        <v>240</v>
      </c>
      <c r="G683" s="1" t="s">
        <v>65</v>
      </c>
      <c r="H683" s="1" t="s">
        <v>197</v>
      </c>
      <c r="I683" s="1">
        <v>2</v>
      </c>
      <c r="J683" s="1">
        <v>1</v>
      </c>
      <c r="K683" s="1" t="s">
        <v>18</v>
      </c>
      <c r="L683" s="1" t="s">
        <v>19</v>
      </c>
    </row>
    <row r="684" spans="1:12" hidden="1" x14ac:dyDescent="0.2">
      <c r="A684" s="1">
        <v>2006</v>
      </c>
      <c r="B684" s="2" t="d">
        <v>2006-06-21</v>
      </c>
      <c r="C684" s="1" t="s">
        <v>268</v>
      </c>
      <c r="D684" s="1" t="s">
        <v>304</v>
      </c>
      <c r="E684" s="1" t="s">
        <v>455</v>
      </c>
      <c r="F684" s="1" t="s">
        <v>221</v>
      </c>
      <c r="G684" s="1" t="s">
        <v>65</v>
      </c>
      <c r="H684" s="1" t="s">
        <v>59</v>
      </c>
      <c r="I684" s="1">
        <v>0</v>
      </c>
      <c r="J684" s="1">
        <v>0</v>
      </c>
      <c r="K684" s="1" t="s">
        <v>33</v>
      </c>
      <c r="L684" s="1" t="s">
        <v>19</v>
      </c>
    </row>
    <row r="685" spans="1:12" hidden="1" x14ac:dyDescent="0.2">
      <c r="A685" s="1">
        <v>2006</v>
      </c>
      <c r="B685" s="2" t="d">
        <v>2006-06-21</v>
      </c>
      <c r="C685" s="1" t="s">
        <v>268</v>
      </c>
      <c r="D685" s="1" t="s">
        <v>304</v>
      </c>
      <c r="E685" s="1" t="s">
        <v>453</v>
      </c>
      <c r="F685" s="1" t="s">
        <v>235</v>
      </c>
      <c r="G685" s="1" t="s">
        <v>65</v>
      </c>
      <c r="H685" s="1" t="s">
        <v>459</v>
      </c>
      <c r="I685" s="1">
        <v>3</v>
      </c>
      <c r="J685" s="1">
        <v>2</v>
      </c>
      <c r="K685" s="1" t="s">
        <v>462</v>
      </c>
      <c r="L685" s="1" t="s">
        <v>19</v>
      </c>
    </row>
    <row r="686" spans="1:12" hidden="1" x14ac:dyDescent="0.2">
      <c r="A686" s="1">
        <v>2006</v>
      </c>
      <c r="B686" s="2" t="d">
        <v>2006-06-22</v>
      </c>
      <c r="C686" s="1" t="s">
        <v>32</v>
      </c>
      <c r="D686" s="1" t="s">
        <v>317</v>
      </c>
      <c r="E686" s="1" t="s">
        <v>458</v>
      </c>
      <c r="F686" s="1" t="s">
        <v>225</v>
      </c>
      <c r="G686" s="1" t="s">
        <v>65</v>
      </c>
      <c r="H686" s="1" t="s">
        <v>470</v>
      </c>
      <c r="I686" s="1">
        <v>0</v>
      </c>
      <c r="J686" s="1">
        <v>2</v>
      </c>
      <c r="K686" s="1" t="s">
        <v>49</v>
      </c>
      <c r="L686" s="1" t="s">
        <v>19</v>
      </c>
    </row>
    <row r="687" spans="1:12" hidden="1" x14ac:dyDescent="0.2">
      <c r="A687" s="1">
        <v>2006</v>
      </c>
      <c r="B687" s="2" t="d">
        <v>2006-06-22</v>
      </c>
      <c r="C687" s="1" t="s">
        <v>32</v>
      </c>
      <c r="D687" s="1" t="s">
        <v>317</v>
      </c>
      <c r="E687" s="1" t="s">
        <v>463</v>
      </c>
      <c r="F687" s="1" t="s">
        <v>464</v>
      </c>
      <c r="G687" s="1" t="s">
        <v>65</v>
      </c>
      <c r="H687" s="1" t="s">
        <v>472</v>
      </c>
      <c r="I687" s="1">
        <v>2</v>
      </c>
      <c r="J687" s="1">
        <v>1</v>
      </c>
      <c r="K687" s="1" t="s">
        <v>22</v>
      </c>
      <c r="L687" s="1" t="s">
        <v>19</v>
      </c>
    </row>
    <row r="688" spans="1:12" x14ac:dyDescent="0.2">
      <c r="A688" s="1">
        <v>2006</v>
      </c>
      <c r="B688" s="2" t="d">
        <v>2006-06-22</v>
      </c>
      <c r="C688" s="1" t="s">
        <v>268</v>
      </c>
      <c r="D688" s="1" t="s">
        <v>310</v>
      </c>
      <c r="E688" s="1" t="s">
        <v>456</v>
      </c>
      <c r="F688" s="1" t="s">
        <v>229</v>
      </c>
      <c r="G688" s="1" t="s">
        <v>65</v>
      </c>
      <c r="H688" s="1" t="s">
        <v>395</v>
      </c>
      <c r="I688" s="1">
        <v>1</v>
      </c>
      <c r="J688" s="1">
        <v>4</v>
      </c>
      <c r="K688" s="1" t="s">
        <v>27</v>
      </c>
      <c r="L688" s="1" t="s">
        <v>19</v>
      </c>
    </row>
    <row r="689" spans="1:12" hidden="1" x14ac:dyDescent="0.2">
      <c r="A689" s="1">
        <v>2006</v>
      </c>
      <c r="B689" s="2" t="d">
        <v>2006-06-22</v>
      </c>
      <c r="C689" s="1" t="s">
        <v>268</v>
      </c>
      <c r="D689" s="1" t="s">
        <v>310</v>
      </c>
      <c r="E689" s="1" t="s">
        <v>474</v>
      </c>
      <c r="F689" s="1" t="s">
        <v>238</v>
      </c>
      <c r="G689" s="1" t="s">
        <v>65</v>
      </c>
      <c r="H689" s="1" t="s">
        <v>399</v>
      </c>
      <c r="I689" s="1">
        <v>2</v>
      </c>
      <c r="J689" s="1">
        <v>2</v>
      </c>
      <c r="K689" s="1" t="s">
        <v>227</v>
      </c>
      <c r="L689" s="1" t="s">
        <v>19</v>
      </c>
    </row>
    <row r="690" spans="1:12" hidden="1" x14ac:dyDescent="0.2">
      <c r="A690" s="1">
        <v>2006</v>
      </c>
      <c r="B690" s="2" t="d">
        <v>2006-06-23</v>
      </c>
      <c r="C690" s="1" t="s">
        <v>32</v>
      </c>
      <c r="D690" s="1" t="s">
        <v>394</v>
      </c>
      <c r="E690" s="1" t="s">
        <v>222</v>
      </c>
      <c r="F690" s="1" t="s">
        <v>475</v>
      </c>
      <c r="G690" s="1" t="s">
        <v>65</v>
      </c>
      <c r="H690" s="1" t="s">
        <v>476</v>
      </c>
      <c r="I690" s="1">
        <v>1</v>
      </c>
      <c r="J690" s="1">
        <v>0</v>
      </c>
      <c r="K690" s="1" t="s">
        <v>251</v>
      </c>
      <c r="L690" s="1" t="s">
        <v>19</v>
      </c>
    </row>
    <row r="691" spans="1:12" hidden="1" x14ac:dyDescent="0.2">
      <c r="A691" s="1">
        <v>2006</v>
      </c>
      <c r="B691" s="2" t="d">
        <v>2006-06-23</v>
      </c>
      <c r="C691" s="1" t="s">
        <v>32</v>
      </c>
      <c r="D691" s="1" t="s">
        <v>394</v>
      </c>
      <c r="E691" s="1" t="s">
        <v>468</v>
      </c>
      <c r="F691" s="1" t="s">
        <v>469</v>
      </c>
      <c r="G691" s="1" t="s">
        <v>65</v>
      </c>
      <c r="H691" s="1" t="s">
        <v>371</v>
      </c>
      <c r="I691" s="1">
        <v>0</v>
      </c>
      <c r="J691" s="1">
        <v>1</v>
      </c>
      <c r="K691" s="1" t="s">
        <v>68</v>
      </c>
      <c r="L691" s="1" t="s">
        <v>19</v>
      </c>
    </row>
    <row r="692" spans="1:12" hidden="1" x14ac:dyDescent="0.2">
      <c r="A692" s="1">
        <v>2006</v>
      </c>
      <c r="B692" s="2" t="d">
        <v>2006-06-23</v>
      </c>
      <c r="C692" s="1" t="s">
        <v>268</v>
      </c>
      <c r="D692" s="1" t="s">
        <v>400</v>
      </c>
      <c r="E692" s="1" t="s">
        <v>465</v>
      </c>
      <c r="F692" s="1" t="s">
        <v>466</v>
      </c>
      <c r="G692" s="1" t="s">
        <v>65</v>
      </c>
      <c r="H692" s="1" t="s">
        <v>473</v>
      </c>
      <c r="I692" s="1">
        <v>0</v>
      </c>
      <c r="J692" s="1">
        <v>2</v>
      </c>
      <c r="K692" s="1" t="s">
        <v>17</v>
      </c>
      <c r="L692" s="1" t="s">
        <v>19</v>
      </c>
    </row>
    <row r="693" spans="1:12" hidden="1" x14ac:dyDescent="0.2">
      <c r="A693" s="1">
        <v>2006</v>
      </c>
      <c r="B693" s="2" t="d">
        <v>2006-06-23</v>
      </c>
      <c r="C693" s="1" t="s">
        <v>268</v>
      </c>
      <c r="D693" s="1" t="s">
        <v>400</v>
      </c>
      <c r="E693" s="1" t="s">
        <v>471</v>
      </c>
      <c r="F693" s="1" t="s">
        <v>232</v>
      </c>
      <c r="G693" s="1" t="s">
        <v>65</v>
      </c>
      <c r="H693" s="1" t="s">
        <v>58</v>
      </c>
      <c r="I693" s="1">
        <v>2</v>
      </c>
      <c r="J693" s="1">
        <v>0</v>
      </c>
      <c r="K693" s="1" t="s">
        <v>135</v>
      </c>
      <c r="L693" s="1" t="s">
        <v>19</v>
      </c>
    </row>
    <row r="694" spans="1:12" hidden="1" x14ac:dyDescent="0.2">
      <c r="A694" s="1">
        <v>2006</v>
      </c>
      <c r="B694" s="2" t="d">
        <v>2006-06-24</v>
      </c>
      <c r="C694" s="1" t="s">
        <v>79</v>
      </c>
      <c r="D694" s="12" t="s">
        <v>323</v>
      </c>
      <c r="E694" s="1" t="s">
        <v>453</v>
      </c>
      <c r="F694" s="1" t="s">
        <v>235</v>
      </c>
      <c r="G694" s="1" t="s">
        <v>65</v>
      </c>
      <c r="H694" s="1" t="s">
        <v>65</v>
      </c>
      <c r="I694" s="1">
        <v>2</v>
      </c>
      <c r="J694" s="1">
        <v>0</v>
      </c>
      <c r="K694" s="1" t="s">
        <v>62</v>
      </c>
      <c r="L694" s="1" t="s">
        <v>19</v>
      </c>
    </row>
    <row r="695" spans="1:12" hidden="1" x14ac:dyDescent="0.2">
      <c r="A695" s="1">
        <v>2006</v>
      </c>
      <c r="B695" s="2" t="d">
        <v>2006-06-24</v>
      </c>
      <c r="C695" s="1" t="s">
        <v>268</v>
      </c>
      <c r="D695" s="12" t="s">
        <v>323</v>
      </c>
      <c r="E695" s="1" t="s">
        <v>460</v>
      </c>
      <c r="F695" s="1" t="s">
        <v>461</v>
      </c>
      <c r="G695" s="1" t="s">
        <v>65</v>
      </c>
      <c r="H695" s="1" t="s">
        <v>33</v>
      </c>
      <c r="I695" s="1">
        <v>2</v>
      </c>
      <c r="J695" s="1">
        <v>1</v>
      </c>
      <c r="K695" s="1" t="s">
        <v>18</v>
      </c>
      <c r="L695" s="1" t="s">
        <v>261</v>
      </c>
    </row>
    <row r="696" spans="1:12" hidden="1" x14ac:dyDescent="0.2">
      <c r="A696" s="1">
        <v>2006</v>
      </c>
      <c r="B696" s="2" t="d">
        <v>2006-06-25</v>
      </c>
      <c r="C696" s="1" t="s">
        <v>79</v>
      </c>
      <c r="D696" s="12" t="s">
        <v>323</v>
      </c>
      <c r="E696" s="1" t="s">
        <v>474</v>
      </c>
      <c r="F696" s="1" t="s">
        <v>238</v>
      </c>
      <c r="G696" s="1" t="s">
        <v>65</v>
      </c>
      <c r="H696" s="1" t="s">
        <v>110</v>
      </c>
      <c r="I696" s="1">
        <v>1</v>
      </c>
      <c r="J696" s="1">
        <v>0</v>
      </c>
      <c r="K696" s="1" t="s">
        <v>423</v>
      </c>
      <c r="L696" s="1" t="s">
        <v>19</v>
      </c>
    </row>
    <row r="697" spans="1:12" hidden="1" x14ac:dyDescent="0.2">
      <c r="A697" s="1">
        <v>2006</v>
      </c>
      <c r="B697" s="2" t="d">
        <v>2006-06-25</v>
      </c>
      <c r="C697" s="1" t="s">
        <v>268</v>
      </c>
      <c r="D697" s="12" t="s">
        <v>323</v>
      </c>
      <c r="E697" s="1" t="s">
        <v>463</v>
      </c>
      <c r="F697" s="1" t="s">
        <v>464</v>
      </c>
      <c r="G697" s="1" t="s">
        <v>65</v>
      </c>
      <c r="H697" s="1" t="s">
        <v>197</v>
      </c>
      <c r="I697" s="1">
        <v>1</v>
      </c>
      <c r="J697" s="1">
        <v>0</v>
      </c>
      <c r="K697" s="1" t="s">
        <v>59</v>
      </c>
      <c r="L697" s="1" t="s">
        <v>19</v>
      </c>
    </row>
    <row r="698" spans="1:12" hidden="1" x14ac:dyDescent="0.2">
      <c r="A698" s="1">
        <v>2006</v>
      </c>
      <c r="B698" s="2" t="d">
        <v>2006-06-26</v>
      </c>
      <c r="C698" s="1" t="s">
        <v>79</v>
      </c>
      <c r="D698" s="12" t="s">
        <v>323</v>
      </c>
      <c r="E698" s="1" t="s">
        <v>468</v>
      </c>
      <c r="F698" s="1" t="s">
        <v>469</v>
      </c>
      <c r="G698" s="1" t="s">
        <v>65</v>
      </c>
      <c r="H698" s="1" t="s">
        <v>49</v>
      </c>
      <c r="I698" s="1">
        <v>1</v>
      </c>
      <c r="J698" s="1">
        <v>0</v>
      </c>
      <c r="K698" s="1" t="s">
        <v>227</v>
      </c>
      <c r="L698" s="1" t="s">
        <v>19</v>
      </c>
    </row>
    <row r="699" spans="1:12" hidden="1" x14ac:dyDescent="0.2">
      <c r="A699" s="1">
        <v>2006</v>
      </c>
      <c r="B699" s="2" t="d">
        <v>2006-06-26</v>
      </c>
      <c r="C699" s="1" t="s">
        <v>268</v>
      </c>
      <c r="D699" s="12" t="s">
        <v>323</v>
      </c>
      <c r="E699" s="1" t="s">
        <v>465</v>
      </c>
      <c r="F699" s="1" t="s">
        <v>466</v>
      </c>
      <c r="G699" s="1" t="s">
        <v>65</v>
      </c>
      <c r="H699" s="1" t="s">
        <v>58</v>
      </c>
      <c r="I699" s="1">
        <v>0</v>
      </c>
      <c r="J699" s="1">
        <v>0</v>
      </c>
      <c r="K699" s="1" t="s">
        <v>476</v>
      </c>
      <c r="L699" s="1" t="s">
        <v>477</v>
      </c>
    </row>
    <row r="700" spans="1:12" hidden="1" x14ac:dyDescent="0.2">
      <c r="A700" s="1">
        <v>2006</v>
      </c>
      <c r="B700" s="2" t="d">
        <v>2006-06-27</v>
      </c>
      <c r="C700" s="1" t="s">
        <v>79</v>
      </c>
      <c r="D700" s="12" t="s">
        <v>323</v>
      </c>
      <c r="E700" s="1" t="s">
        <v>456</v>
      </c>
      <c r="F700" s="1" t="s">
        <v>229</v>
      </c>
      <c r="G700" s="1" t="s">
        <v>65</v>
      </c>
      <c r="H700" s="1" t="s">
        <v>27</v>
      </c>
      <c r="I700" s="1">
        <v>3</v>
      </c>
      <c r="J700" s="1">
        <v>0</v>
      </c>
      <c r="K700" s="1" t="s">
        <v>472</v>
      </c>
      <c r="L700" s="1" t="s">
        <v>19</v>
      </c>
    </row>
    <row r="701" spans="1:12" hidden="1" x14ac:dyDescent="0.2">
      <c r="A701" s="1">
        <v>2006</v>
      </c>
      <c r="B701" s="2" t="d">
        <v>2006-06-27</v>
      </c>
      <c r="C701" s="1" t="s">
        <v>268</v>
      </c>
      <c r="D701" s="12" t="s">
        <v>323</v>
      </c>
      <c r="E701" s="1" t="s">
        <v>471</v>
      </c>
      <c r="F701" s="1" t="s">
        <v>232</v>
      </c>
      <c r="G701" s="1" t="s">
        <v>65</v>
      </c>
      <c r="H701" s="1" t="s">
        <v>68</v>
      </c>
      <c r="I701" s="1">
        <v>1</v>
      </c>
      <c r="J701" s="1">
        <v>3</v>
      </c>
      <c r="K701" s="1" t="s">
        <v>17</v>
      </c>
      <c r="L701" s="1" t="s">
        <v>19</v>
      </c>
    </row>
    <row r="702" spans="1:12" hidden="1" x14ac:dyDescent="0.2">
      <c r="A702" s="1">
        <v>2006</v>
      </c>
      <c r="B702" s="2" t="d">
        <v>2006-06-30</v>
      </c>
      <c r="C702" s="1" t="s">
        <v>79</v>
      </c>
      <c r="D702" s="12" t="s">
        <v>74</v>
      </c>
      <c r="E702" s="1" t="s">
        <v>222</v>
      </c>
      <c r="F702" s="1" t="s">
        <v>475</v>
      </c>
      <c r="G702" s="1" t="s">
        <v>65</v>
      </c>
      <c r="H702" s="1" t="s">
        <v>65</v>
      </c>
      <c r="I702" s="1">
        <v>1</v>
      </c>
      <c r="J702" s="1">
        <v>1</v>
      </c>
      <c r="K702" s="1" t="s">
        <v>33</v>
      </c>
      <c r="L702" s="1" t="s">
        <v>478</v>
      </c>
    </row>
    <row r="703" spans="1:12" hidden="1" x14ac:dyDescent="0.2">
      <c r="A703" s="1">
        <v>2006</v>
      </c>
      <c r="B703" s="2" t="d">
        <v>2006-06-30</v>
      </c>
      <c r="C703" s="1" t="s">
        <v>268</v>
      </c>
      <c r="D703" s="12" t="s">
        <v>74</v>
      </c>
      <c r="E703" s="1" t="s">
        <v>458</v>
      </c>
      <c r="F703" s="1" t="s">
        <v>225</v>
      </c>
      <c r="G703" s="1" t="s">
        <v>65</v>
      </c>
      <c r="H703" s="1" t="s">
        <v>49</v>
      </c>
      <c r="I703" s="1">
        <v>3</v>
      </c>
      <c r="J703" s="1">
        <v>0</v>
      </c>
      <c r="K703" s="1" t="s">
        <v>476</v>
      </c>
      <c r="L703" s="1" t="s">
        <v>19</v>
      </c>
    </row>
    <row r="704" spans="1:12" hidden="1" x14ac:dyDescent="0.2">
      <c r="A704" s="1">
        <v>2006</v>
      </c>
      <c r="B704" s="2" t="d">
        <v>2006-07-01</v>
      </c>
      <c r="C704" s="1" t="s">
        <v>79</v>
      </c>
      <c r="D704" s="12" t="s">
        <v>74</v>
      </c>
      <c r="E704" s="1" t="s">
        <v>454</v>
      </c>
      <c r="F704" s="1" t="s">
        <v>240</v>
      </c>
      <c r="G704" s="1" t="s">
        <v>65</v>
      </c>
      <c r="H704" s="1" t="s">
        <v>110</v>
      </c>
      <c r="I704" s="1">
        <v>0</v>
      </c>
      <c r="J704" s="1">
        <v>0</v>
      </c>
      <c r="K704" s="1" t="s">
        <v>197</v>
      </c>
      <c r="L704" s="1" t="s">
        <v>479</v>
      </c>
    </row>
    <row r="705" spans="1:12" hidden="1" x14ac:dyDescent="0.2">
      <c r="A705" s="1">
        <v>2006</v>
      </c>
      <c r="B705" s="2" t="d">
        <v>2006-07-01</v>
      </c>
      <c r="C705" s="1" t="s">
        <v>268</v>
      </c>
      <c r="D705" s="12" t="s">
        <v>74</v>
      </c>
      <c r="E705" s="1" t="s">
        <v>455</v>
      </c>
      <c r="F705" s="1" t="s">
        <v>221</v>
      </c>
      <c r="G705" s="1" t="s">
        <v>65</v>
      </c>
      <c r="H705" s="1" t="s">
        <v>27</v>
      </c>
      <c r="I705" s="1">
        <v>0</v>
      </c>
      <c r="J705" s="1">
        <v>1</v>
      </c>
      <c r="K705" s="1" t="s">
        <v>17</v>
      </c>
      <c r="L705" s="1" t="s">
        <v>19</v>
      </c>
    </row>
    <row r="706" spans="1:12" hidden="1" x14ac:dyDescent="0.2">
      <c r="A706" s="1">
        <v>2006</v>
      </c>
      <c r="B706" s="2" t="d">
        <v>2006-07-04</v>
      </c>
      <c r="C706" s="1" t="s">
        <v>268</v>
      </c>
      <c r="D706" s="12" t="s">
        <v>42</v>
      </c>
      <c r="E706" s="1" t="s">
        <v>456</v>
      </c>
      <c r="F706" s="1" t="s">
        <v>229</v>
      </c>
      <c r="G706" s="1" t="s">
        <v>65</v>
      </c>
      <c r="H706" s="1" t="s">
        <v>65</v>
      </c>
      <c r="I706" s="1">
        <v>0</v>
      </c>
      <c r="J706" s="1">
        <v>2</v>
      </c>
      <c r="K706" s="1" t="s">
        <v>49</v>
      </c>
      <c r="L706" s="1" t="s">
        <v>78</v>
      </c>
    </row>
    <row r="707" spans="1:12" hidden="1" x14ac:dyDescent="0.2">
      <c r="A707" s="1">
        <v>2006</v>
      </c>
      <c r="B707" s="2" t="d">
        <v>2006-07-05</v>
      </c>
      <c r="C707" s="1" t="s">
        <v>268</v>
      </c>
      <c r="D707" s="12" t="s">
        <v>42</v>
      </c>
      <c r="E707" s="1" t="s">
        <v>453</v>
      </c>
      <c r="F707" s="1" t="s">
        <v>235</v>
      </c>
      <c r="G707" s="1" t="s">
        <v>65</v>
      </c>
      <c r="H707" s="1" t="s">
        <v>197</v>
      </c>
      <c r="I707" s="1">
        <v>0</v>
      </c>
      <c r="J707" s="1">
        <v>1</v>
      </c>
      <c r="K707" s="1" t="s">
        <v>17</v>
      </c>
      <c r="L707" s="1" t="s">
        <v>19</v>
      </c>
    </row>
    <row r="708" spans="1:12" hidden="1" x14ac:dyDescent="0.2">
      <c r="A708" s="1">
        <v>2006</v>
      </c>
      <c r="B708" s="2" t="d">
        <v>2006-07-08</v>
      </c>
      <c r="C708" s="1" t="s">
        <v>268</v>
      </c>
      <c r="D708" s="12" t="s">
        <v>452</v>
      </c>
      <c r="E708" s="1" t="s">
        <v>474</v>
      </c>
      <c r="F708" s="1" t="s">
        <v>238</v>
      </c>
      <c r="G708" s="1" t="s">
        <v>65</v>
      </c>
      <c r="H708" s="1" t="s">
        <v>65</v>
      </c>
      <c r="I708" s="1">
        <v>3</v>
      </c>
      <c r="J708" s="1">
        <v>1</v>
      </c>
      <c r="K708" s="1" t="s">
        <v>197</v>
      </c>
      <c r="L708" s="1" t="s">
        <v>19</v>
      </c>
    </row>
    <row r="709" spans="1:12" hidden="1" x14ac:dyDescent="0.2">
      <c r="A709" s="1">
        <v>2006</v>
      </c>
      <c r="B709" s="2" t="d">
        <v>2006-07-09</v>
      </c>
      <c r="C709" s="1" t="s">
        <v>262</v>
      </c>
      <c r="D709" s="12" t="s">
        <v>44</v>
      </c>
      <c r="E709" s="1" t="s">
        <v>222</v>
      </c>
      <c r="F709" s="1" t="s">
        <v>475</v>
      </c>
      <c r="G709" s="1" t="s">
        <v>65</v>
      </c>
      <c r="H709" s="1" t="s">
        <v>49</v>
      </c>
      <c r="I709" s="1">
        <v>1</v>
      </c>
      <c r="J709" s="1">
        <v>1</v>
      </c>
      <c r="K709" s="1" t="s">
        <v>17</v>
      </c>
      <c r="L709" s="1" t="s">
        <v>480</v>
      </c>
    </row>
    <row r="710" spans="1:12" hidden="1" x14ac:dyDescent="0.2">
      <c r="A710" s="1">
        <v>2010</v>
      </c>
      <c r="B710" s="2" t="d">
        <v>2010-06-11</v>
      </c>
      <c r="C710" s="1" t="s">
        <v>32</v>
      </c>
      <c r="D710" s="1" t="s">
        <v>242</v>
      </c>
      <c r="E710" s="1" t="s">
        <v>481</v>
      </c>
      <c r="F710" s="1" t="s">
        <v>482</v>
      </c>
      <c r="G710" s="1" t="s">
        <v>389</v>
      </c>
      <c r="H710" s="1" t="s">
        <v>389</v>
      </c>
      <c r="I710" s="1">
        <v>1</v>
      </c>
      <c r="J710" s="1">
        <v>1</v>
      </c>
      <c r="K710" s="1" t="s">
        <v>18</v>
      </c>
      <c r="L710" s="1" t="s">
        <v>19</v>
      </c>
    </row>
    <row r="711" spans="1:12" hidden="1" x14ac:dyDescent="0.2">
      <c r="A711" s="1">
        <v>2010</v>
      </c>
      <c r="B711" s="2" t="d">
        <v>2010-06-11</v>
      </c>
      <c r="C711" s="1" t="s">
        <v>403</v>
      </c>
      <c r="D711" s="1" t="s">
        <v>242</v>
      </c>
      <c r="E711" s="1" t="s">
        <v>483</v>
      </c>
      <c r="F711" s="1" t="s">
        <v>484</v>
      </c>
      <c r="G711" s="1" t="s">
        <v>389</v>
      </c>
      <c r="H711" s="1" t="s">
        <v>16</v>
      </c>
      <c r="I711" s="1">
        <v>0</v>
      </c>
      <c r="J711" s="1">
        <v>0</v>
      </c>
      <c r="K711" s="1" t="s">
        <v>17</v>
      </c>
      <c r="L711" s="1" t="s">
        <v>19</v>
      </c>
    </row>
    <row r="712" spans="1:12" hidden="1" x14ac:dyDescent="0.2">
      <c r="A712" s="1">
        <v>2010</v>
      </c>
      <c r="B712" s="2" t="d">
        <v>2010-06-12</v>
      </c>
      <c r="C712" s="1" t="s">
        <v>379</v>
      </c>
      <c r="D712" s="1" t="s">
        <v>241</v>
      </c>
      <c r="E712" s="1" t="s">
        <v>485</v>
      </c>
      <c r="F712" s="1" t="s">
        <v>486</v>
      </c>
      <c r="G712" s="1" t="s">
        <v>389</v>
      </c>
      <c r="H712" s="1" t="s">
        <v>135</v>
      </c>
      <c r="I712" s="1">
        <v>2</v>
      </c>
      <c r="J712" s="1">
        <v>0</v>
      </c>
      <c r="K712" s="1" t="s">
        <v>377</v>
      </c>
      <c r="L712" s="1" t="s">
        <v>19</v>
      </c>
    </row>
    <row r="713" spans="1:12" hidden="1" x14ac:dyDescent="0.2">
      <c r="A713" s="1">
        <v>2010</v>
      </c>
      <c r="B713" s="2" t="d">
        <v>2010-06-12</v>
      </c>
      <c r="C713" s="1" t="s">
        <v>32</v>
      </c>
      <c r="D713" s="1" t="s">
        <v>241</v>
      </c>
      <c r="E713" s="1" t="s">
        <v>487</v>
      </c>
      <c r="F713" s="1" t="s">
        <v>482</v>
      </c>
      <c r="G713" s="1" t="s">
        <v>389</v>
      </c>
      <c r="H713" s="1" t="s">
        <v>33</v>
      </c>
      <c r="I713" s="1">
        <v>1</v>
      </c>
      <c r="J713" s="1">
        <v>0</v>
      </c>
      <c r="K713" s="1" t="s">
        <v>378</v>
      </c>
      <c r="L713" s="1" t="s">
        <v>19</v>
      </c>
    </row>
    <row r="714" spans="1:12" hidden="1" x14ac:dyDescent="0.2">
      <c r="A714" s="1">
        <v>2010</v>
      </c>
      <c r="B714" s="2" t="d">
        <v>2010-06-12</v>
      </c>
      <c r="C714" s="1" t="s">
        <v>403</v>
      </c>
      <c r="D714" s="1" t="s">
        <v>304</v>
      </c>
      <c r="E714" s="1" t="s">
        <v>488</v>
      </c>
      <c r="F714" s="1" t="s">
        <v>489</v>
      </c>
      <c r="G714" s="1" t="s">
        <v>389</v>
      </c>
      <c r="H714" s="1" t="s">
        <v>110</v>
      </c>
      <c r="I714" s="1">
        <v>1</v>
      </c>
      <c r="J714" s="1">
        <v>1</v>
      </c>
      <c r="K714" s="1" t="s">
        <v>22</v>
      </c>
      <c r="L714" s="1" t="s">
        <v>19</v>
      </c>
    </row>
    <row r="715" spans="1:12" hidden="1" x14ac:dyDescent="0.2">
      <c r="A715" s="1">
        <v>2010</v>
      </c>
      <c r="B715" s="2" t="d">
        <v>2010-06-13</v>
      </c>
      <c r="C715" s="1" t="s">
        <v>379</v>
      </c>
      <c r="D715" s="1" t="s">
        <v>304</v>
      </c>
      <c r="E715" s="1" t="s">
        <v>490</v>
      </c>
      <c r="F715" s="1" t="s">
        <v>491</v>
      </c>
      <c r="G715" s="1" t="s">
        <v>389</v>
      </c>
      <c r="H715" s="1" t="s">
        <v>281</v>
      </c>
      <c r="I715" s="1">
        <v>0</v>
      </c>
      <c r="J715" s="1">
        <v>1</v>
      </c>
      <c r="K715" s="1" t="s">
        <v>422</v>
      </c>
      <c r="L715" s="1" t="s">
        <v>19</v>
      </c>
    </row>
    <row r="716" spans="1:12" hidden="1" x14ac:dyDescent="0.2">
      <c r="A716" s="1">
        <v>2010</v>
      </c>
      <c r="B716" s="2" t="d">
        <v>2010-06-13</v>
      </c>
      <c r="C716" s="1" t="s">
        <v>32</v>
      </c>
      <c r="D716" s="1" t="s">
        <v>306</v>
      </c>
      <c r="E716" s="1" t="s">
        <v>492</v>
      </c>
      <c r="F716" s="1" t="s">
        <v>493</v>
      </c>
      <c r="G716" s="1" t="s">
        <v>389</v>
      </c>
      <c r="H716" s="1" t="s">
        <v>494</v>
      </c>
      <c r="I716" s="1">
        <v>0</v>
      </c>
      <c r="J716" s="1">
        <v>1</v>
      </c>
      <c r="K716" s="1" t="s">
        <v>472</v>
      </c>
      <c r="L716" s="1" t="s">
        <v>19</v>
      </c>
    </row>
    <row r="717" spans="1:12" hidden="1" x14ac:dyDescent="0.2">
      <c r="A717" s="1">
        <v>2010</v>
      </c>
      <c r="B717" s="2" t="d">
        <v>2010-06-13</v>
      </c>
      <c r="C717" s="1" t="s">
        <v>403</v>
      </c>
      <c r="D717" s="1" t="s">
        <v>306</v>
      </c>
      <c r="E717" s="1" t="s">
        <v>495</v>
      </c>
      <c r="F717" s="1" t="s">
        <v>496</v>
      </c>
      <c r="G717" s="1" t="s">
        <v>389</v>
      </c>
      <c r="H717" s="1" t="s">
        <v>65</v>
      </c>
      <c r="I717" s="1">
        <v>4</v>
      </c>
      <c r="J717" s="1">
        <v>0</v>
      </c>
      <c r="K717" s="1" t="s">
        <v>227</v>
      </c>
      <c r="L717" s="1" t="s">
        <v>19</v>
      </c>
    </row>
    <row r="718" spans="1:12" hidden="1" x14ac:dyDescent="0.2">
      <c r="A718" s="1">
        <v>2010</v>
      </c>
      <c r="B718" s="2" t="d">
        <v>2010-06-14</v>
      </c>
      <c r="C718" s="1" t="s">
        <v>379</v>
      </c>
      <c r="D718" s="1" t="s">
        <v>317</v>
      </c>
      <c r="E718" s="1" t="s">
        <v>481</v>
      </c>
      <c r="F718" s="1" t="s">
        <v>482</v>
      </c>
      <c r="G718" s="1" t="s">
        <v>389</v>
      </c>
      <c r="H718" s="1" t="s">
        <v>59</v>
      </c>
      <c r="I718" s="1">
        <v>2</v>
      </c>
      <c r="J718" s="1">
        <v>0</v>
      </c>
      <c r="K718" s="1" t="s">
        <v>320</v>
      </c>
      <c r="L718" s="1" t="s">
        <v>19</v>
      </c>
    </row>
    <row r="719" spans="1:12" hidden="1" x14ac:dyDescent="0.2">
      <c r="A719" s="1">
        <v>2010</v>
      </c>
      <c r="B719" s="2" t="d">
        <v>2010-06-14</v>
      </c>
      <c r="C719" s="1" t="s">
        <v>32</v>
      </c>
      <c r="D719" s="1" t="s">
        <v>317</v>
      </c>
      <c r="E719" s="1" t="s">
        <v>497</v>
      </c>
      <c r="F719" s="1" t="s">
        <v>498</v>
      </c>
      <c r="G719" s="1" t="s">
        <v>389</v>
      </c>
      <c r="H719" s="1" t="s">
        <v>395</v>
      </c>
      <c r="I719" s="1">
        <v>1</v>
      </c>
      <c r="J719" s="1">
        <v>0</v>
      </c>
      <c r="K719" s="1" t="s">
        <v>273</v>
      </c>
      <c r="L719" s="1" t="s">
        <v>19</v>
      </c>
    </row>
    <row r="720" spans="1:12" hidden="1" x14ac:dyDescent="0.2">
      <c r="A720" s="1">
        <v>2010</v>
      </c>
      <c r="B720" s="2" t="d">
        <v>2010-06-14</v>
      </c>
      <c r="C720" s="1" t="s">
        <v>403</v>
      </c>
      <c r="D720" s="1" t="s">
        <v>310</v>
      </c>
      <c r="E720" s="1" t="s">
        <v>483</v>
      </c>
      <c r="F720" s="1" t="s">
        <v>484</v>
      </c>
      <c r="G720" s="1" t="s">
        <v>389</v>
      </c>
      <c r="H720" s="1" t="s">
        <v>49</v>
      </c>
      <c r="I720" s="1">
        <v>1</v>
      </c>
      <c r="J720" s="1">
        <v>1</v>
      </c>
      <c r="K720" s="1" t="s">
        <v>37</v>
      </c>
      <c r="L720" s="1" t="s">
        <v>19</v>
      </c>
    </row>
    <row r="721" spans="1:12" hidden="1" x14ac:dyDescent="0.2">
      <c r="A721" s="1">
        <v>2010</v>
      </c>
      <c r="B721" s="2" t="d">
        <v>2010-06-15</v>
      </c>
      <c r="C721" s="1" t="s">
        <v>379</v>
      </c>
      <c r="D721" s="1" t="s">
        <v>310</v>
      </c>
      <c r="E721" s="1" t="s">
        <v>488</v>
      </c>
      <c r="F721" s="1" t="s">
        <v>489</v>
      </c>
      <c r="G721" s="1" t="s">
        <v>389</v>
      </c>
      <c r="H721" s="1" t="s">
        <v>278</v>
      </c>
      <c r="I721" s="1">
        <v>1</v>
      </c>
      <c r="J721" s="1">
        <v>1</v>
      </c>
      <c r="K721" s="1" t="s">
        <v>499</v>
      </c>
      <c r="L721" s="1" t="s">
        <v>19</v>
      </c>
    </row>
    <row r="722" spans="1:12" hidden="1" x14ac:dyDescent="0.2">
      <c r="A722" s="1">
        <v>2010</v>
      </c>
      <c r="B722" s="2" t="d">
        <v>2010-06-15</v>
      </c>
      <c r="C722" s="1" t="s">
        <v>32</v>
      </c>
      <c r="D722" s="1" t="s">
        <v>400</v>
      </c>
      <c r="E722" s="1" t="s">
        <v>485</v>
      </c>
      <c r="F722" s="1" t="s">
        <v>486</v>
      </c>
      <c r="G722" s="1" t="s">
        <v>389</v>
      </c>
      <c r="H722" s="1" t="s">
        <v>459</v>
      </c>
      <c r="I722" s="1">
        <v>0</v>
      </c>
      <c r="J722" s="1">
        <v>0</v>
      </c>
      <c r="K722" s="1" t="s">
        <v>197</v>
      </c>
      <c r="L722" s="1" t="s">
        <v>19</v>
      </c>
    </row>
    <row r="723" spans="1:12" hidden="1" x14ac:dyDescent="0.2">
      <c r="A723" s="1">
        <v>2010</v>
      </c>
      <c r="B723" s="2" t="d">
        <v>2010-06-15</v>
      </c>
      <c r="C723" s="1" t="s">
        <v>403</v>
      </c>
      <c r="D723" s="1" t="s">
        <v>400</v>
      </c>
      <c r="E723" s="1" t="s">
        <v>487</v>
      </c>
      <c r="F723" s="1" t="s">
        <v>482</v>
      </c>
      <c r="G723" s="1" t="s">
        <v>389</v>
      </c>
      <c r="H723" s="1" t="s">
        <v>27</v>
      </c>
      <c r="I723" s="1">
        <v>2</v>
      </c>
      <c r="J723" s="1">
        <v>1</v>
      </c>
      <c r="K723" s="1" t="s">
        <v>194</v>
      </c>
      <c r="L723" s="1" t="s">
        <v>19</v>
      </c>
    </row>
    <row r="724" spans="1:12" hidden="1" x14ac:dyDescent="0.2">
      <c r="A724" s="1">
        <v>2010</v>
      </c>
      <c r="B724" s="2" t="d">
        <v>2010-06-16</v>
      </c>
      <c r="C724" s="1" t="s">
        <v>379</v>
      </c>
      <c r="D724" s="1" t="s">
        <v>394</v>
      </c>
      <c r="E724" s="1" t="s">
        <v>500</v>
      </c>
      <c r="F724" s="1" t="s">
        <v>501</v>
      </c>
      <c r="G724" s="1" t="s">
        <v>389</v>
      </c>
      <c r="H724" s="1" t="s">
        <v>287</v>
      </c>
      <c r="I724" s="1">
        <v>0</v>
      </c>
      <c r="J724" s="1">
        <v>1</v>
      </c>
      <c r="K724" s="1" t="s">
        <v>35</v>
      </c>
      <c r="L724" s="1" t="s">
        <v>19</v>
      </c>
    </row>
    <row r="725" spans="1:12" hidden="1" x14ac:dyDescent="0.2">
      <c r="A725" s="1">
        <v>2010</v>
      </c>
      <c r="B725" s="2" t="d">
        <v>2010-06-16</v>
      </c>
      <c r="C725" s="1" t="s">
        <v>32</v>
      </c>
      <c r="D725" s="1" t="s">
        <v>394</v>
      </c>
      <c r="E725" s="1" t="s">
        <v>495</v>
      </c>
      <c r="F725" s="1" t="s">
        <v>496</v>
      </c>
      <c r="G725" s="1" t="s">
        <v>389</v>
      </c>
      <c r="H725" s="1" t="s">
        <v>68</v>
      </c>
      <c r="I725" s="1">
        <v>0</v>
      </c>
      <c r="J725" s="1">
        <v>1</v>
      </c>
      <c r="K725" s="1" t="s">
        <v>58</v>
      </c>
      <c r="L725" s="1" t="s">
        <v>19</v>
      </c>
    </row>
    <row r="726" spans="1:12" hidden="1" x14ac:dyDescent="0.2">
      <c r="A726" s="1">
        <v>2010</v>
      </c>
      <c r="B726" s="2" t="d">
        <v>2010-06-16</v>
      </c>
      <c r="C726" s="1" t="s">
        <v>403</v>
      </c>
      <c r="D726" s="1" t="s">
        <v>242</v>
      </c>
      <c r="E726" s="1" t="s">
        <v>492</v>
      </c>
      <c r="F726" s="1" t="s">
        <v>493</v>
      </c>
      <c r="G726" s="1" t="s">
        <v>389</v>
      </c>
      <c r="H726" s="1" t="s">
        <v>389</v>
      </c>
      <c r="I726" s="1">
        <v>0</v>
      </c>
      <c r="J726" s="1">
        <v>3</v>
      </c>
      <c r="K726" s="1" t="s">
        <v>16</v>
      </c>
      <c r="L726" s="1" t="s">
        <v>19</v>
      </c>
    </row>
    <row r="727" spans="1:12" hidden="1" x14ac:dyDescent="0.2">
      <c r="A727" s="1">
        <v>2010</v>
      </c>
      <c r="B727" s="2" t="d">
        <v>2010-06-17</v>
      </c>
      <c r="C727" s="1" t="s">
        <v>379</v>
      </c>
      <c r="D727" s="1" t="s">
        <v>241</v>
      </c>
      <c r="E727" s="1" t="s">
        <v>481</v>
      </c>
      <c r="F727" s="1" t="s">
        <v>482</v>
      </c>
      <c r="G727" s="1" t="s">
        <v>389</v>
      </c>
      <c r="H727" s="1" t="s">
        <v>33</v>
      </c>
      <c r="I727" s="1">
        <v>4</v>
      </c>
      <c r="J727" s="1">
        <v>1</v>
      </c>
      <c r="K727" s="1" t="s">
        <v>135</v>
      </c>
      <c r="L727" s="1" t="s">
        <v>19</v>
      </c>
    </row>
    <row r="728" spans="1:12" hidden="1" x14ac:dyDescent="0.2">
      <c r="A728" s="1">
        <v>2010</v>
      </c>
      <c r="B728" s="2" t="d">
        <v>2010-06-17</v>
      </c>
      <c r="C728" s="1" t="s">
        <v>32</v>
      </c>
      <c r="D728" s="1" t="s">
        <v>241</v>
      </c>
      <c r="E728" s="1" t="s">
        <v>497</v>
      </c>
      <c r="F728" s="1" t="s">
        <v>498</v>
      </c>
      <c r="G728" s="1" t="s">
        <v>389</v>
      </c>
      <c r="H728" s="1" t="s">
        <v>377</v>
      </c>
      <c r="I728" s="1">
        <v>2</v>
      </c>
      <c r="J728" s="1">
        <v>1</v>
      </c>
      <c r="K728" s="1" t="s">
        <v>378</v>
      </c>
      <c r="L728" s="1" t="s">
        <v>19</v>
      </c>
    </row>
    <row r="729" spans="1:12" hidden="1" x14ac:dyDescent="0.2">
      <c r="A729" s="1">
        <v>2010</v>
      </c>
      <c r="B729" s="2" t="d">
        <v>2010-06-17</v>
      </c>
      <c r="C729" s="1" t="s">
        <v>403</v>
      </c>
      <c r="D729" s="1" t="s">
        <v>242</v>
      </c>
      <c r="E729" s="1" t="s">
        <v>490</v>
      </c>
      <c r="F729" s="1" t="s">
        <v>491</v>
      </c>
      <c r="G729" s="1" t="s">
        <v>389</v>
      </c>
      <c r="H729" s="1" t="s">
        <v>17</v>
      </c>
      <c r="I729" s="1">
        <v>0</v>
      </c>
      <c r="J729" s="1">
        <v>2</v>
      </c>
      <c r="K729" s="1" t="s">
        <v>18</v>
      </c>
      <c r="L729" s="1" t="s">
        <v>19</v>
      </c>
    </row>
    <row r="730" spans="1:12" hidden="1" x14ac:dyDescent="0.2">
      <c r="A730" s="1">
        <v>2010</v>
      </c>
      <c r="B730" s="2" t="d">
        <v>2010-06-18</v>
      </c>
      <c r="C730" s="1" t="s">
        <v>379</v>
      </c>
      <c r="D730" s="1" t="s">
        <v>306</v>
      </c>
      <c r="E730" s="1" t="s">
        <v>485</v>
      </c>
      <c r="F730" s="1" t="s">
        <v>486</v>
      </c>
      <c r="G730" s="1" t="s">
        <v>389</v>
      </c>
      <c r="H730" s="1" t="s">
        <v>65</v>
      </c>
      <c r="I730" s="1">
        <v>0</v>
      </c>
      <c r="J730" s="1">
        <v>1</v>
      </c>
      <c r="K730" s="1" t="s">
        <v>494</v>
      </c>
      <c r="L730" s="1" t="s">
        <v>19</v>
      </c>
    </row>
    <row r="731" spans="1:12" hidden="1" x14ac:dyDescent="0.2">
      <c r="A731" s="1">
        <v>2010</v>
      </c>
      <c r="B731" s="2" t="d">
        <v>2010-06-18</v>
      </c>
      <c r="C731" s="1" t="s">
        <v>32</v>
      </c>
      <c r="D731" s="1" t="s">
        <v>304</v>
      </c>
      <c r="E731" s="1" t="s">
        <v>487</v>
      </c>
      <c r="F731" s="1" t="s">
        <v>482</v>
      </c>
      <c r="G731" s="1" t="s">
        <v>389</v>
      </c>
      <c r="H731" s="1" t="s">
        <v>422</v>
      </c>
      <c r="I731" s="1">
        <v>2</v>
      </c>
      <c r="J731" s="1">
        <v>2</v>
      </c>
      <c r="K731" s="1" t="s">
        <v>22</v>
      </c>
      <c r="L731" s="1" t="s">
        <v>19</v>
      </c>
    </row>
    <row r="732" spans="1:12" hidden="1" x14ac:dyDescent="0.2">
      <c r="A732" s="1">
        <v>2010</v>
      </c>
      <c r="B732" s="2" t="d">
        <v>2010-06-18</v>
      </c>
      <c r="C732" s="1" t="s">
        <v>403</v>
      </c>
      <c r="D732" s="1" t="s">
        <v>304</v>
      </c>
      <c r="E732" s="1" t="s">
        <v>483</v>
      </c>
      <c r="F732" s="1" t="s">
        <v>484</v>
      </c>
      <c r="G732" s="1" t="s">
        <v>389</v>
      </c>
      <c r="H732" s="1" t="s">
        <v>110</v>
      </c>
      <c r="I732" s="1">
        <v>0</v>
      </c>
      <c r="J732" s="1">
        <v>0</v>
      </c>
      <c r="K732" s="1" t="s">
        <v>281</v>
      </c>
      <c r="L732" s="1" t="s">
        <v>19</v>
      </c>
    </row>
    <row r="733" spans="1:12" hidden="1" x14ac:dyDescent="0.2">
      <c r="A733" s="1">
        <v>2010</v>
      </c>
      <c r="B733" s="2" t="d">
        <v>2010-06-19</v>
      </c>
      <c r="C733" s="1" t="s">
        <v>379</v>
      </c>
      <c r="D733" s="1" t="s">
        <v>317</v>
      </c>
      <c r="E733" s="1" t="s">
        <v>495</v>
      </c>
      <c r="F733" s="1" t="s">
        <v>496</v>
      </c>
      <c r="G733" s="1" t="s">
        <v>389</v>
      </c>
      <c r="H733" s="1" t="s">
        <v>59</v>
      </c>
      <c r="I733" s="1">
        <v>1</v>
      </c>
      <c r="J733" s="1">
        <v>0</v>
      </c>
      <c r="K733" s="1" t="s">
        <v>395</v>
      </c>
      <c r="L733" s="1" t="s">
        <v>19</v>
      </c>
    </row>
    <row r="734" spans="1:12" hidden="1" x14ac:dyDescent="0.2">
      <c r="A734" s="1">
        <v>2010</v>
      </c>
      <c r="B734" s="2" t="d">
        <v>2010-06-19</v>
      </c>
      <c r="C734" s="1" t="s">
        <v>32</v>
      </c>
      <c r="D734" s="1" t="s">
        <v>306</v>
      </c>
      <c r="E734" s="1" t="s">
        <v>488</v>
      </c>
      <c r="F734" s="1" t="s">
        <v>489</v>
      </c>
      <c r="G734" s="1" t="s">
        <v>389</v>
      </c>
      <c r="H734" s="1" t="s">
        <v>472</v>
      </c>
      <c r="I734" s="1">
        <v>1</v>
      </c>
      <c r="J734" s="1">
        <v>1</v>
      </c>
      <c r="K734" s="1" t="s">
        <v>227</v>
      </c>
      <c r="L734" s="1" t="s">
        <v>19</v>
      </c>
    </row>
    <row r="735" spans="1:12" hidden="1" x14ac:dyDescent="0.2">
      <c r="A735" s="1">
        <v>2010</v>
      </c>
      <c r="B735" s="2" t="d">
        <v>2010-06-19</v>
      </c>
      <c r="C735" s="1" t="s">
        <v>403</v>
      </c>
      <c r="D735" s="1" t="s">
        <v>317</v>
      </c>
      <c r="E735" s="1" t="s">
        <v>492</v>
      </c>
      <c r="F735" s="1" t="s">
        <v>493</v>
      </c>
      <c r="G735" s="1" t="s">
        <v>389</v>
      </c>
      <c r="H735" s="1" t="s">
        <v>273</v>
      </c>
      <c r="I735" s="1">
        <v>1</v>
      </c>
      <c r="J735" s="1">
        <v>2</v>
      </c>
      <c r="K735" s="1" t="s">
        <v>320</v>
      </c>
      <c r="L735" s="1" t="s">
        <v>19</v>
      </c>
    </row>
    <row r="736" spans="1:12" hidden="1" x14ac:dyDescent="0.2">
      <c r="A736" s="1">
        <v>2010</v>
      </c>
      <c r="B736" s="2" t="d">
        <v>2010-06-20</v>
      </c>
      <c r="C736" s="1" t="s">
        <v>379</v>
      </c>
      <c r="D736" s="1" t="s">
        <v>310</v>
      </c>
      <c r="E736" s="1" t="s">
        <v>497</v>
      </c>
      <c r="F736" s="1" t="s">
        <v>498</v>
      </c>
      <c r="G736" s="1" t="s">
        <v>389</v>
      </c>
      <c r="H736" s="1" t="s">
        <v>499</v>
      </c>
      <c r="I736" s="1">
        <v>0</v>
      </c>
      <c r="J736" s="1">
        <v>2</v>
      </c>
      <c r="K736" s="1" t="s">
        <v>37</v>
      </c>
      <c r="L736" s="1" t="s">
        <v>19</v>
      </c>
    </row>
    <row r="737" spans="1:12" hidden="1" x14ac:dyDescent="0.2">
      <c r="A737" s="1">
        <v>2010</v>
      </c>
      <c r="B737" s="2" t="d">
        <v>2010-06-20</v>
      </c>
      <c r="C737" s="1" t="s">
        <v>32</v>
      </c>
      <c r="D737" s="1" t="s">
        <v>310</v>
      </c>
      <c r="E737" s="1" t="s">
        <v>500</v>
      </c>
      <c r="F737" s="1" t="s">
        <v>501</v>
      </c>
      <c r="G737" s="1" t="s">
        <v>389</v>
      </c>
      <c r="H737" s="1" t="s">
        <v>49</v>
      </c>
      <c r="I737" s="1">
        <v>1</v>
      </c>
      <c r="J737" s="1">
        <v>1</v>
      </c>
      <c r="K737" s="1" t="s">
        <v>278</v>
      </c>
      <c r="L737" s="1" t="s">
        <v>19</v>
      </c>
    </row>
    <row r="738" spans="1:12" hidden="1" x14ac:dyDescent="0.2">
      <c r="A738" s="1">
        <v>2010</v>
      </c>
      <c r="B738" s="2" t="d">
        <v>2010-06-20</v>
      </c>
      <c r="C738" s="1" t="s">
        <v>403</v>
      </c>
      <c r="D738" s="1" t="s">
        <v>400</v>
      </c>
      <c r="E738" s="1" t="s">
        <v>481</v>
      </c>
      <c r="F738" s="1" t="s">
        <v>482</v>
      </c>
      <c r="G738" s="1" t="s">
        <v>389</v>
      </c>
      <c r="H738" s="1" t="s">
        <v>27</v>
      </c>
      <c r="I738" s="1">
        <v>3</v>
      </c>
      <c r="J738" s="1">
        <v>1</v>
      </c>
      <c r="K738" s="1" t="s">
        <v>459</v>
      </c>
      <c r="L738" s="1" t="s">
        <v>19</v>
      </c>
    </row>
    <row r="739" spans="1:12" hidden="1" x14ac:dyDescent="0.2">
      <c r="A739" s="1">
        <v>2010</v>
      </c>
      <c r="B739" s="2" t="d">
        <v>2010-06-21</v>
      </c>
      <c r="C739" s="1" t="s">
        <v>379</v>
      </c>
      <c r="D739" s="1" t="s">
        <v>400</v>
      </c>
      <c r="E739" s="1" t="s">
        <v>483</v>
      </c>
      <c r="F739" s="1" t="s">
        <v>484</v>
      </c>
      <c r="G739" s="1" t="s">
        <v>389</v>
      </c>
      <c r="H739" s="1" t="s">
        <v>197</v>
      </c>
      <c r="I739" s="1">
        <v>7</v>
      </c>
      <c r="J739" s="1">
        <v>0</v>
      </c>
      <c r="K739" s="1" t="s">
        <v>194</v>
      </c>
      <c r="L739" s="1" t="s">
        <v>19</v>
      </c>
    </row>
    <row r="740" spans="1:12" hidden="1" x14ac:dyDescent="0.2">
      <c r="A740" s="1">
        <v>2010</v>
      </c>
      <c r="B740" s="2" t="d">
        <v>2010-06-21</v>
      </c>
      <c r="C740" s="1" t="s">
        <v>32</v>
      </c>
      <c r="D740" s="1" t="s">
        <v>394</v>
      </c>
      <c r="E740" s="1" t="s">
        <v>485</v>
      </c>
      <c r="F740" s="1" t="s">
        <v>486</v>
      </c>
      <c r="G740" s="1" t="s">
        <v>389</v>
      </c>
      <c r="H740" s="1" t="s">
        <v>35</v>
      </c>
      <c r="I740" s="1">
        <v>1</v>
      </c>
      <c r="J740" s="1">
        <v>0</v>
      </c>
      <c r="K740" s="1" t="s">
        <v>58</v>
      </c>
      <c r="L740" s="1" t="s">
        <v>19</v>
      </c>
    </row>
    <row r="741" spans="1:12" hidden="1" x14ac:dyDescent="0.2">
      <c r="A741" s="1">
        <v>2010</v>
      </c>
      <c r="B741" s="2" t="d">
        <v>2010-06-21</v>
      </c>
      <c r="C741" s="1" t="s">
        <v>403</v>
      </c>
      <c r="D741" s="1" t="s">
        <v>394</v>
      </c>
      <c r="E741" s="1" t="s">
        <v>487</v>
      </c>
      <c r="F741" s="1" t="s">
        <v>482</v>
      </c>
      <c r="G741" s="1" t="s">
        <v>389</v>
      </c>
      <c r="H741" s="1" t="s">
        <v>68</v>
      </c>
      <c r="I741" s="1">
        <v>2</v>
      </c>
      <c r="J741" s="1">
        <v>0</v>
      </c>
      <c r="K741" s="1" t="s">
        <v>287</v>
      </c>
      <c r="L741" s="1" t="s">
        <v>19</v>
      </c>
    </row>
    <row r="742" spans="1:12" hidden="1" x14ac:dyDescent="0.2">
      <c r="A742" s="1">
        <v>2010</v>
      </c>
      <c r="B742" s="2" t="d">
        <v>2010-06-22</v>
      </c>
      <c r="C742" s="1" t="s">
        <v>32</v>
      </c>
      <c r="D742" s="1" t="s">
        <v>242</v>
      </c>
      <c r="E742" s="1" t="s">
        <v>488</v>
      </c>
      <c r="F742" s="1" t="s">
        <v>489</v>
      </c>
      <c r="G742" s="1" t="s">
        <v>389</v>
      </c>
      <c r="H742" s="1" t="s">
        <v>18</v>
      </c>
      <c r="I742" s="1">
        <v>0</v>
      </c>
      <c r="J742" s="1">
        <v>1</v>
      </c>
      <c r="K742" s="1" t="s">
        <v>16</v>
      </c>
      <c r="L742" s="1" t="s">
        <v>19</v>
      </c>
    </row>
    <row r="743" spans="1:12" hidden="1" x14ac:dyDescent="0.2">
      <c r="A743" s="1">
        <v>2010</v>
      </c>
      <c r="B743" s="2" t="d">
        <v>2010-06-22</v>
      </c>
      <c r="C743" s="1" t="s">
        <v>32</v>
      </c>
      <c r="D743" s="1" t="s">
        <v>242</v>
      </c>
      <c r="E743" s="1" t="s">
        <v>497</v>
      </c>
      <c r="F743" s="1" t="s">
        <v>498</v>
      </c>
      <c r="G743" s="1" t="s">
        <v>389</v>
      </c>
      <c r="H743" s="1" t="s">
        <v>17</v>
      </c>
      <c r="I743" s="1">
        <v>1</v>
      </c>
      <c r="J743" s="1">
        <v>2</v>
      </c>
      <c r="K743" s="1" t="s">
        <v>389</v>
      </c>
      <c r="L743" s="1" t="s">
        <v>19</v>
      </c>
    </row>
    <row r="744" spans="1:12" hidden="1" x14ac:dyDescent="0.2">
      <c r="A744" s="1">
        <v>2010</v>
      </c>
      <c r="B744" s="2" t="d">
        <v>2010-06-22</v>
      </c>
      <c r="C744" s="1" t="s">
        <v>403</v>
      </c>
      <c r="D744" s="1" t="s">
        <v>241</v>
      </c>
      <c r="E744" s="1" t="s">
        <v>495</v>
      </c>
      <c r="F744" s="1" t="s">
        <v>496</v>
      </c>
      <c r="G744" s="1" t="s">
        <v>389</v>
      </c>
      <c r="H744" s="1" t="s">
        <v>378</v>
      </c>
      <c r="I744" s="1">
        <v>2</v>
      </c>
      <c r="J744" s="1">
        <v>2</v>
      </c>
      <c r="K744" s="1" t="s">
        <v>135</v>
      </c>
      <c r="L744" s="1" t="s">
        <v>19</v>
      </c>
    </row>
    <row r="745" spans="1:12" hidden="1" x14ac:dyDescent="0.2">
      <c r="A745" s="1">
        <v>2010</v>
      </c>
      <c r="B745" s="2" t="d">
        <v>2010-06-22</v>
      </c>
      <c r="C745" s="1" t="s">
        <v>403</v>
      </c>
      <c r="D745" s="1" t="s">
        <v>241</v>
      </c>
      <c r="E745" s="1" t="s">
        <v>490</v>
      </c>
      <c r="F745" s="1" t="s">
        <v>491</v>
      </c>
      <c r="G745" s="1" t="s">
        <v>389</v>
      </c>
      <c r="H745" s="1" t="s">
        <v>377</v>
      </c>
      <c r="I745" s="1">
        <v>0</v>
      </c>
      <c r="J745" s="1">
        <v>2</v>
      </c>
      <c r="K745" s="1" t="s">
        <v>33</v>
      </c>
      <c r="L745" s="1" t="s">
        <v>19</v>
      </c>
    </row>
    <row r="746" spans="1:12" hidden="1" x14ac:dyDescent="0.2">
      <c r="A746" s="1">
        <v>2010</v>
      </c>
      <c r="B746" s="2" t="d">
        <v>2010-06-23</v>
      </c>
      <c r="C746" s="1" t="s">
        <v>32</v>
      </c>
      <c r="D746" s="1" t="s">
        <v>304</v>
      </c>
      <c r="E746" s="1" t="s">
        <v>485</v>
      </c>
      <c r="F746" s="1" t="s">
        <v>486</v>
      </c>
      <c r="G746" s="1" t="s">
        <v>389</v>
      </c>
      <c r="H746" s="1" t="s">
        <v>422</v>
      </c>
      <c r="I746" s="1">
        <v>0</v>
      </c>
      <c r="J746" s="1">
        <v>1</v>
      </c>
      <c r="K746" s="1" t="s">
        <v>110</v>
      </c>
      <c r="L746" s="1" t="s">
        <v>19</v>
      </c>
    </row>
    <row r="747" spans="1:12" hidden="1" x14ac:dyDescent="0.2">
      <c r="A747" s="1">
        <v>2010</v>
      </c>
      <c r="B747" s="2" t="d">
        <v>2010-06-23</v>
      </c>
      <c r="C747" s="1" t="s">
        <v>32</v>
      </c>
      <c r="D747" s="1" t="s">
        <v>304</v>
      </c>
      <c r="E747" s="1" t="s">
        <v>492</v>
      </c>
      <c r="F747" s="1" t="s">
        <v>493</v>
      </c>
      <c r="G747" s="1" t="s">
        <v>389</v>
      </c>
      <c r="H747" s="1" t="s">
        <v>22</v>
      </c>
      <c r="I747" s="1">
        <v>1</v>
      </c>
      <c r="J747" s="1">
        <v>0</v>
      </c>
      <c r="K747" s="1" t="s">
        <v>281</v>
      </c>
      <c r="L747" s="1" t="s">
        <v>19</v>
      </c>
    </row>
    <row r="748" spans="1:12" hidden="1" x14ac:dyDescent="0.2">
      <c r="A748" s="1">
        <v>2010</v>
      </c>
      <c r="B748" s="2" t="d">
        <v>2010-06-23</v>
      </c>
      <c r="C748" s="1" t="s">
        <v>403</v>
      </c>
      <c r="D748" s="1" t="s">
        <v>306</v>
      </c>
      <c r="E748" s="1" t="s">
        <v>481</v>
      </c>
      <c r="F748" s="1" t="s">
        <v>482</v>
      </c>
      <c r="G748" s="1" t="s">
        <v>389</v>
      </c>
      <c r="H748" s="1" t="s">
        <v>472</v>
      </c>
      <c r="I748" s="1">
        <v>0</v>
      </c>
      <c r="J748" s="1">
        <v>1</v>
      </c>
      <c r="K748" s="1" t="s">
        <v>65</v>
      </c>
      <c r="L748" s="1" t="s">
        <v>19</v>
      </c>
    </row>
    <row r="749" spans="1:12" hidden="1" x14ac:dyDescent="0.2">
      <c r="A749" s="1">
        <v>2010</v>
      </c>
      <c r="B749" s="2" t="d">
        <v>2010-06-23</v>
      </c>
      <c r="C749" s="1" t="s">
        <v>403</v>
      </c>
      <c r="D749" s="1" t="s">
        <v>306</v>
      </c>
      <c r="E749" s="1" t="s">
        <v>500</v>
      </c>
      <c r="F749" s="1" t="s">
        <v>501</v>
      </c>
      <c r="G749" s="1" t="s">
        <v>389</v>
      </c>
      <c r="H749" s="1" t="s">
        <v>227</v>
      </c>
      <c r="I749" s="1">
        <v>2</v>
      </c>
      <c r="J749" s="1">
        <v>1</v>
      </c>
      <c r="K749" s="1" t="s">
        <v>494</v>
      </c>
      <c r="L749" s="1" t="s">
        <v>19</v>
      </c>
    </row>
    <row r="750" spans="1:12" hidden="1" x14ac:dyDescent="0.2">
      <c r="A750" s="1">
        <v>2010</v>
      </c>
      <c r="B750" s="2" t="d">
        <v>2010-06-24</v>
      </c>
      <c r="C750" s="1" t="s">
        <v>32</v>
      </c>
      <c r="D750" s="1" t="s">
        <v>310</v>
      </c>
      <c r="E750" s="1" t="s">
        <v>487</v>
      </c>
      <c r="F750" s="1" t="s">
        <v>482</v>
      </c>
      <c r="G750" s="1" t="s">
        <v>389</v>
      </c>
      <c r="H750" s="1" t="s">
        <v>499</v>
      </c>
      <c r="I750" s="1">
        <v>3</v>
      </c>
      <c r="J750" s="1">
        <v>2</v>
      </c>
      <c r="K750" s="1" t="s">
        <v>49</v>
      </c>
      <c r="L750" s="1" t="s">
        <v>19</v>
      </c>
    </row>
    <row r="751" spans="1:12" hidden="1" x14ac:dyDescent="0.2">
      <c r="A751" s="1">
        <v>2010</v>
      </c>
      <c r="B751" s="2" t="d">
        <v>2010-06-24</v>
      </c>
      <c r="C751" s="1" t="s">
        <v>32</v>
      </c>
      <c r="D751" s="1" t="s">
        <v>310</v>
      </c>
      <c r="E751" s="1" t="s">
        <v>490</v>
      </c>
      <c r="F751" s="1" t="s">
        <v>491</v>
      </c>
      <c r="G751" s="1" t="s">
        <v>389</v>
      </c>
      <c r="H751" s="1" t="s">
        <v>37</v>
      </c>
      <c r="I751" s="1">
        <v>0</v>
      </c>
      <c r="J751" s="1">
        <v>0</v>
      </c>
      <c r="K751" s="1" t="s">
        <v>278</v>
      </c>
      <c r="L751" s="1" t="s">
        <v>19</v>
      </c>
    </row>
    <row r="752" spans="1:12" hidden="1" x14ac:dyDescent="0.2">
      <c r="A752" s="1">
        <v>2010</v>
      </c>
      <c r="B752" s="2" t="d">
        <v>2010-06-24</v>
      </c>
      <c r="C752" s="1" t="s">
        <v>403</v>
      </c>
      <c r="D752" s="1" t="s">
        <v>317</v>
      </c>
      <c r="E752" s="1" t="s">
        <v>488</v>
      </c>
      <c r="F752" s="1" t="s">
        <v>489</v>
      </c>
      <c r="G752" s="1" t="s">
        <v>389</v>
      </c>
      <c r="H752" s="1" t="s">
        <v>320</v>
      </c>
      <c r="I752" s="1">
        <v>1</v>
      </c>
      <c r="J752" s="1">
        <v>3</v>
      </c>
      <c r="K752" s="1" t="s">
        <v>395</v>
      </c>
      <c r="L752" s="1" t="s">
        <v>19</v>
      </c>
    </row>
    <row r="753" spans="1:12" hidden="1" x14ac:dyDescent="0.2">
      <c r="A753" s="1">
        <v>2010</v>
      </c>
      <c r="B753" s="2" t="d">
        <v>2010-06-24</v>
      </c>
      <c r="C753" s="1" t="s">
        <v>403</v>
      </c>
      <c r="D753" s="1" t="s">
        <v>317</v>
      </c>
      <c r="E753" s="1" t="s">
        <v>483</v>
      </c>
      <c r="F753" s="1" t="s">
        <v>484</v>
      </c>
      <c r="G753" s="1" t="s">
        <v>389</v>
      </c>
      <c r="H753" s="1" t="s">
        <v>273</v>
      </c>
      <c r="I753" s="1">
        <v>1</v>
      </c>
      <c r="J753" s="1">
        <v>2</v>
      </c>
      <c r="K753" s="1" t="s">
        <v>59</v>
      </c>
      <c r="L753" s="1" t="s">
        <v>19</v>
      </c>
    </row>
    <row r="754" spans="1:12" x14ac:dyDescent="0.2">
      <c r="A754" s="1">
        <v>2010</v>
      </c>
      <c r="B754" s="2" t="d">
        <v>2010-06-25</v>
      </c>
      <c r="C754" s="1" t="s">
        <v>32</v>
      </c>
      <c r="D754" s="1" t="s">
        <v>400</v>
      </c>
      <c r="E754" s="1" t="s">
        <v>495</v>
      </c>
      <c r="F754" s="1" t="s">
        <v>496</v>
      </c>
      <c r="G754" s="1" t="s">
        <v>389</v>
      </c>
      <c r="H754" s="1" t="s">
        <v>197</v>
      </c>
      <c r="I754" s="1">
        <v>0</v>
      </c>
      <c r="J754" s="1">
        <v>0</v>
      </c>
      <c r="K754" s="1" t="s">
        <v>27</v>
      </c>
      <c r="L754" s="1" t="s">
        <v>19</v>
      </c>
    </row>
    <row r="755" spans="1:12" hidden="1" x14ac:dyDescent="0.2">
      <c r="A755" s="1">
        <v>2010</v>
      </c>
      <c r="B755" s="2" t="d">
        <v>2010-06-25</v>
      </c>
      <c r="C755" s="1" t="s">
        <v>32</v>
      </c>
      <c r="D755" s="1" t="s">
        <v>400</v>
      </c>
      <c r="E755" s="1" t="s">
        <v>500</v>
      </c>
      <c r="F755" s="1" t="s">
        <v>501</v>
      </c>
      <c r="G755" s="1" t="s">
        <v>389</v>
      </c>
      <c r="H755" s="1" t="s">
        <v>194</v>
      </c>
      <c r="I755" s="1">
        <v>0</v>
      </c>
      <c r="J755" s="1">
        <v>3</v>
      </c>
      <c r="K755" s="1" t="s">
        <v>459</v>
      </c>
      <c r="L755" s="1" t="s">
        <v>19</v>
      </c>
    </row>
    <row r="756" spans="1:12" hidden="1" x14ac:dyDescent="0.2">
      <c r="A756" s="1">
        <v>2010</v>
      </c>
      <c r="B756" s="2" t="d">
        <v>2010-06-25</v>
      </c>
      <c r="C756" s="1" t="s">
        <v>403</v>
      </c>
      <c r="D756" s="1" t="s">
        <v>394</v>
      </c>
      <c r="E756" s="1" t="s">
        <v>492</v>
      </c>
      <c r="F756" s="1" t="s">
        <v>493</v>
      </c>
      <c r="G756" s="1" t="s">
        <v>389</v>
      </c>
      <c r="H756" s="1" t="s">
        <v>35</v>
      </c>
      <c r="I756" s="1">
        <v>1</v>
      </c>
      <c r="J756" s="1">
        <v>2</v>
      </c>
      <c r="K756" s="1" t="s">
        <v>68</v>
      </c>
      <c r="L756" s="1" t="s">
        <v>19</v>
      </c>
    </row>
    <row r="757" spans="1:12" hidden="1" x14ac:dyDescent="0.2">
      <c r="A757" s="1">
        <v>2010</v>
      </c>
      <c r="B757" s="2" t="d">
        <v>2010-06-25</v>
      </c>
      <c r="C757" s="1" t="s">
        <v>403</v>
      </c>
      <c r="D757" s="1" t="s">
        <v>394</v>
      </c>
      <c r="E757" s="1" t="s">
        <v>497</v>
      </c>
      <c r="F757" s="1" t="s">
        <v>498</v>
      </c>
      <c r="G757" s="1" t="s">
        <v>389</v>
      </c>
      <c r="H757" s="1" t="s">
        <v>58</v>
      </c>
      <c r="I757" s="1">
        <v>0</v>
      </c>
      <c r="J757" s="1">
        <v>0</v>
      </c>
      <c r="K757" s="1" t="s">
        <v>287</v>
      </c>
      <c r="L757" s="1" t="s">
        <v>19</v>
      </c>
    </row>
    <row r="758" spans="1:12" hidden="1" x14ac:dyDescent="0.2">
      <c r="A758" s="1">
        <v>2010</v>
      </c>
      <c r="B758" s="2" t="d">
        <v>2010-06-26</v>
      </c>
      <c r="C758" s="1" t="s">
        <v>32</v>
      </c>
      <c r="D758" s="12" t="s">
        <v>323</v>
      </c>
      <c r="E758" s="1" t="s">
        <v>485</v>
      </c>
      <c r="F758" s="1" t="s">
        <v>486</v>
      </c>
      <c r="G758" s="1" t="s">
        <v>389</v>
      </c>
      <c r="H758" s="1" t="s">
        <v>16</v>
      </c>
      <c r="I758" s="1">
        <v>2</v>
      </c>
      <c r="J758" s="1">
        <v>1</v>
      </c>
      <c r="K758" s="1" t="s">
        <v>135</v>
      </c>
      <c r="L758" s="1" t="s">
        <v>19</v>
      </c>
    </row>
    <row r="759" spans="1:12" hidden="1" x14ac:dyDescent="0.2">
      <c r="A759" s="1">
        <v>2010</v>
      </c>
      <c r="B759" s="2" t="d">
        <v>2010-06-26</v>
      </c>
      <c r="C759" s="1" t="s">
        <v>403</v>
      </c>
      <c r="D759" s="12" t="s">
        <v>323</v>
      </c>
      <c r="E759" s="1" t="s">
        <v>488</v>
      </c>
      <c r="F759" s="1" t="s">
        <v>489</v>
      </c>
      <c r="G759" s="1" t="s">
        <v>389</v>
      </c>
      <c r="H759" s="1" t="s">
        <v>22</v>
      </c>
      <c r="I759" s="1">
        <v>1</v>
      </c>
      <c r="J759" s="1">
        <v>2</v>
      </c>
      <c r="K759" s="1" t="s">
        <v>472</v>
      </c>
      <c r="L759" s="1" t="s">
        <v>502</v>
      </c>
    </row>
    <row r="760" spans="1:12" hidden="1" x14ac:dyDescent="0.2">
      <c r="A760" s="1">
        <v>2010</v>
      </c>
      <c r="B760" s="2" t="d">
        <v>2010-06-27</v>
      </c>
      <c r="C760" s="1" t="s">
        <v>32</v>
      </c>
      <c r="D760" s="12" t="s">
        <v>323</v>
      </c>
      <c r="E760" s="1" t="s">
        <v>497</v>
      </c>
      <c r="F760" s="1" t="s">
        <v>498</v>
      </c>
      <c r="G760" s="1" t="s">
        <v>389</v>
      </c>
      <c r="H760" s="1" t="s">
        <v>65</v>
      </c>
      <c r="I760" s="1">
        <v>4</v>
      </c>
      <c r="J760" s="1">
        <v>1</v>
      </c>
      <c r="K760" s="1" t="s">
        <v>110</v>
      </c>
      <c r="L760" s="1" t="s">
        <v>19</v>
      </c>
    </row>
    <row r="761" spans="1:12" hidden="1" x14ac:dyDescent="0.2">
      <c r="A761" s="1">
        <v>2010</v>
      </c>
      <c r="B761" s="2" t="d">
        <v>2010-06-27</v>
      </c>
      <c r="C761" s="1" t="s">
        <v>403</v>
      </c>
      <c r="D761" s="12" t="s">
        <v>323</v>
      </c>
      <c r="E761" s="1" t="s">
        <v>481</v>
      </c>
      <c r="F761" s="1" t="s">
        <v>482</v>
      </c>
      <c r="G761" s="1" t="s">
        <v>389</v>
      </c>
      <c r="H761" s="1" t="s">
        <v>33</v>
      </c>
      <c r="I761" s="1">
        <v>3</v>
      </c>
      <c r="J761" s="1">
        <v>1</v>
      </c>
      <c r="K761" s="1" t="s">
        <v>18</v>
      </c>
      <c r="L761" s="1" t="s">
        <v>19</v>
      </c>
    </row>
    <row r="762" spans="1:12" hidden="1" x14ac:dyDescent="0.2">
      <c r="A762" s="1">
        <v>2010</v>
      </c>
      <c r="B762" s="2" t="d">
        <v>2010-06-28</v>
      </c>
      <c r="C762" s="1" t="s">
        <v>32</v>
      </c>
      <c r="D762" s="12" t="s">
        <v>323</v>
      </c>
      <c r="E762" s="1" t="s">
        <v>495</v>
      </c>
      <c r="F762" s="1" t="s">
        <v>496</v>
      </c>
      <c r="G762" s="1" t="s">
        <v>389</v>
      </c>
      <c r="H762" s="1" t="s">
        <v>59</v>
      </c>
      <c r="I762" s="1">
        <v>2</v>
      </c>
      <c r="J762" s="1">
        <v>1</v>
      </c>
      <c r="K762" s="1" t="s">
        <v>499</v>
      </c>
      <c r="L762" s="1" t="s">
        <v>19</v>
      </c>
    </row>
    <row r="763" spans="1:12" hidden="1" x14ac:dyDescent="0.2">
      <c r="A763" s="1">
        <v>2010</v>
      </c>
      <c r="B763" s="2" t="d">
        <v>2010-06-28</v>
      </c>
      <c r="C763" s="1" t="s">
        <v>403</v>
      </c>
      <c r="D763" s="12" t="s">
        <v>323</v>
      </c>
      <c r="E763" s="1" t="s">
        <v>487</v>
      </c>
      <c r="F763" s="1" t="s">
        <v>482</v>
      </c>
      <c r="G763" s="1" t="s">
        <v>389</v>
      </c>
      <c r="H763" s="1" t="s">
        <v>27</v>
      </c>
      <c r="I763" s="1">
        <v>3</v>
      </c>
      <c r="J763" s="1">
        <v>0</v>
      </c>
      <c r="K763" s="1" t="s">
        <v>35</v>
      </c>
      <c r="L763" s="1" t="s">
        <v>19</v>
      </c>
    </row>
    <row r="764" spans="1:12" hidden="1" x14ac:dyDescent="0.2">
      <c r="A764" s="1">
        <v>2010</v>
      </c>
      <c r="B764" s="2" t="d">
        <v>2010-06-29</v>
      </c>
      <c r="C764" s="1" t="s">
        <v>32</v>
      </c>
      <c r="D764" s="12" t="s">
        <v>323</v>
      </c>
      <c r="E764" s="1" t="s">
        <v>492</v>
      </c>
      <c r="F764" s="1" t="s">
        <v>493</v>
      </c>
      <c r="G764" s="1" t="s">
        <v>389</v>
      </c>
      <c r="H764" s="1" t="s">
        <v>37</v>
      </c>
      <c r="I764" s="1">
        <v>0</v>
      </c>
      <c r="J764" s="1">
        <v>0</v>
      </c>
      <c r="K764" s="1" t="s">
        <v>395</v>
      </c>
      <c r="L764" s="1" t="s">
        <v>503</v>
      </c>
    </row>
    <row r="765" spans="1:12" hidden="1" x14ac:dyDescent="0.2">
      <c r="A765" s="1">
        <v>2010</v>
      </c>
      <c r="B765" s="2" t="d">
        <v>2010-06-29</v>
      </c>
      <c r="C765" s="1" t="s">
        <v>403</v>
      </c>
      <c r="D765" s="12" t="s">
        <v>323</v>
      </c>
      <c r="E765" s="1" t="s">
        <v>483</v>
      </c>
      <c r="F765" s="1" t="s">
        <v>484</v>
      </c>
      <c r="G765" s="1" t="s">
        <v>389</v>
      </c>
      <c r="H765" s="1" t="s">
        <v>68</v>
      </c>
      <c r="I765" s="1">
        <v>1</v>
      </c>
      <c r="J765" s="1">
        <v>0</v>
      </c>
      <c r="K765" s="1" t="s">
        <v>197</v>
      </c>
      <c r="L765" s="1" t="s">
        <v>19</v>
      </c>
    </row>
    <row r="766" spans="1:12" x14ac:dyDescent="0.2">
      <c r="A766" s="1">
        <v>2010</v>
      </c>
      <c r="B766" s="2" t="d">
        <v>2010-07-02</v>
      </c>
      <c r="C766" s="1" t="s">
        <v>32</v>
      </c>
      <c r="D766" s="12" t="s">
        <v>74</v>
      </c>
      <c r="E766" s="1" t="s">
        <v>485</v>
      </c>
      <c r="F766" s="1" t="s">
        <v>486</v>
      </c>
      <c r="G766" s="1" t="s">
        <v>389</v>
      </c>
      <c r="H766" s="1" t="s">
        <v>59</v>
      </c>
      <c r="I766" s="1">
        <v>2</v>
      </c>
      <c r="J766" s="1">
        <v>1</v>
      </c>
      <c r="K766" s="1" t="s">
        <v>27</v>
      </c>
      <c r="L766" s="1" t="s">
        <v>19</v>
      </c>
    </row>
    <row r="767" spans="1:12" hidden="1" x14ac:dyDescent="0.2">
      <c r="A767" s="1">
        <v>2010</v>
      </c>
      <c r="B767" s="2" t="d">
        <v>2010-07-02</v>
      </c>
      <c r="C767" s="1" t="s">
        <v>403</v>
      </c>
      <c r="D767" s="12" t="s">
        <v>74</v>
      </c>
      <c r="E767" s="1" t="s">
        <v>481</v>
      </c>
      <c r="F767" s="1" t="s">
        <v>482</v>
      </c>
      <c r="G767" s="1" t="s">
        <v>389</v>
      </c>
      <c r="H767" s="1" t="s">
        <v>16</v>
      </c>
      <c r="I767" s="1">
        <v>1</v>
      </c>
      <c r="J767" s="1">
        <v>1</v>
      </c>
      <c r="K767" s="1" t="s">
        <v>472</v>
      </c>
      <c r="L767" s="1" t="s">
        <v>504</v>
      </c>
    </row>
    <row r="768" spans="1:12" hidden="1" x14ac:dyDescent="0.2">
      <c r="A768" s="1">
        <v>2010</v>
      </c>
      <c r="B768" s="2" t="d">
        <v>2010-07-03</v>
      </c>
      <c r="C768" s="1" t="s">
        <v>32</v>
      </c>
      <c r="D768" s="12" t="s">
        <v>74</v>
      </c>
      <c r="E768" s="1" t="s">
        <v>483</v>
      </c>
      <c r="F768" s="1" t="s">
        <v>484</v>
      </c>
      <c r="G768" s="1" t="s">
        <v>389</v>
      </c>
      <c r="H768" s="1" t="s">
        <v>33</v>
      </c>
      <c r="I768" s="1">
        <v>0</v>
      </c>
      <c r="J768" s="1">
        <v>4</v>
      </c>
      <c r="K768" s="1" t="s">
        <v>65</v>
      </c>
      <c r="L768" s="1" t="s">
        <v>19</v>
      </c>
    </row>
    <row r="769" spans="1:12" hidden="1" x14ac:dyDescent="0.2">
      <c r="A769" s="1">
        <v>2010</v>
      </c>
      <c r="B769" s="2" t="d">
        <v>2010-07-03</v>
      </c>
      <c r="C769" s="1" t="s">
        <v>403</v>
      </c>
      <c r="D769" s="12" t="s">
        <v>74</v>
      </c>
      <c r="E769" s="1" t="s">
        <v>487</v>
      </c>
      <c r="F769" s="1" t="s">
        <v>482</v>
      </c>
      <c r="G769" s="1" t="s">
        <v>389</v>
      </c>
      <c r="H769" s="1" t="s">
        <v>37</v>
      </c>
      <c r="I769" s="1">
        <v>0</v>
      </c>
      <c r="J769" s="1">
        <v>1</v>
      </c>
      <c r="K769" s="1" t="s">
        <v>68</v>
      </c>
      <c r="L769" s="1" t="s">
        <v>19</v>
      </c>
    </row>
    <row r="770" spans="1:12" hidden="1" x14ac:dyDescent="0.2">
      <c r="A770" s="1">
        <v>2010</v>
      </c>
      <c r="B770" s="2" t="d">
        <v>2010-07-06</v>
      </c>
      <c r="C770" s="1" t="s">
        <v>403</v>
      </c>
      <c r="D770" s="12" t="s">
        <v>42</v>
      </c>
      <c r="E770" s="1" t="s">
        <v>483</v>
      </c>
      <c r="F770" s="1" t="s">
        <v>484</v>
      </c>
      <c r="G770" s="1" t="s">
        <v>389</v>
      </c>
      <c r="H770" s="1" t="s">
        <v>16</v>
      </c>
      <c r="I770" s="1">
        <v>2</v>
      </c>
      <c r="J770" s="1">
        <v>3</v>
      </c>
      <c r="K770" s="1" t="s">
        <v>59</v>
      </c>
      <c r="L770" s="1" t="s">
        <v>19</v>
      </c>
    </row>
    <row r="771" spans="1:12" hidden="1" x14ac:dyDescent="0.2">
      <c r="A771" s="1">
        <v>2010</v>
      </c>
      <c r="B771" s="2" t="d">
        <v>2010-07-07</v>
      </c>
      <c r="C771" s="1" t="s">
        <v>403</v>
      </c>
      <c r="D771" s="12" t="s">
        <v>42</v>
      </c>
      <c r="E771" s="1" t="s">
        <v>495</v>
      </c>
      <c r="F771" s="1" t="s">
        <v>496</v>
      </c>
      <c r="G771" s="1" t="s">
        <v>389</v>
      </c>
      <c r="H771" s="1" t="s">
        <v>65</v>
      </c>
      <c r="I771" s="1">
        <v>0</v>
      </c>
      <c r="J771" s="1">
        <v>1</v>
      </c>
      <c r="K771" s="1" t="s">
        <v>68</v>
      </c>
      <c r="L771" s="1" t="s">
        <v>19</v>
      </c>
    </row>
    <row r="772" spans="1:12" hidden="1" x14ac:dyDescent="0.2">
      <c r="A772" s="1">
        <v>2010</v>
      </c>
      <c r="B772" s="2" t="d">
        <v>2010-07-10</v>
      </c>
      <c r="C772" s="1" t="s">
        <v>403</v>
      </c>
      <c r="D772" s="12" t="s">
        <v>76</v>
      </c>
      <c r="E772" s="1" t="s">
        <v>485</v>
      </c>
      <c r="F772" s="1" t="s">
        <v>486</v>
      </c>
      <c r="G772" s="1" t="s">
        <v>389</v>
      </c>
      <c r="H772" s="1" t="s">
        <v>16</v>
      </c>
      <c r="I772" s="1">
        <v>2</v>
      </c>
      <c r="J772" s="1">
        <v>3</v>
      </c>
      <c r="K772" s="1" t="s">
        <v>65</v>
      </c>
      <c r="L772" s="1" t="s">
        <v>19</v>
      </c>
    </row>
    <row r="773" spans="1:12" hidden="1" x14ac:dyDescent="0.2">
      <c r="A773" s="1">
        <v>2010</v>
      </c>
      <c r="B773" s="2" t="d">
        <v>2010-07-11</v>
      </c>
      <c r="C773" s="1" t="s">
        <v>403</v>
      </c>
      <c r="D773" s="12" t="s">
        <v>44</v>
      </c>
      <c r="E773" s="1" t="s">
        <v>481</v>
      </c>
      <c r="F773" s="1" t="s">
        <v>482</v>
      </c>
      <c r="G773" s="1" t="s">
        <v>389</v>
      </c>
      <c r="H773" s="1" t="s">
        <v>59</v>
      </c>
      <c r="I773" s="1">
        <v>0</v>
      </c>
      <c r="J773" s="1">
        <v>1</v>
      </c>
      <c r="K773" s="1" t="s">
        <v>68</v>
      </c>
      <c r="L773" s="1" t="s">
        <v>505</v>
      </c>
    </row>
    <row r="774" spans="1:12" hidden="1" x14ac:dyDescent="0.2">
      <c r="A774" s="1">
        <v>2014</v>
      </c>
      <c r="B774" s="2" t="d">
        <v>2014-06-12</v>
      </c>
      <c r="C774" s="1" t="s">
        <v>79</v>
      </c>
      <c r="D774" s="1" t="s">
        <v>242</v>
      </c>
      <c r="E774" s="1" t="s">
        <v>506</v>
      </c>
      <c r="F774" s="1" t="s">
        <v>114</v>
      </c>
      <c r="G774" s="1" t="s">
        <v>27</v>
      </c>
      <c r="H774" s="1" t="s">
        <v>27</v>
      </c>
      <c r="I774" s="1">
        <v>3</v>
      </c>
      <c r="J774" s="1">
        <v>1</v>
      </c>
      <c r="K774" s="1" t="s">
        <v>399</v>
      </c>
      <c r="L774" s="1" t="s">
        <v>19</v>
      </c>
    </row>
    <row r="775" spans="1:12" hidden="1" x14ac:dyDescent="0.2">
      <c r="A775" s="1">
        <v>2014</v>
      </c>
      <c r="B775" s="2" t="d">
        <v>2014-06-13</v>
      </c>
      <c r="C775" s="1" t="s">
        <v>41</v>
      </c>
      <c r="D775" s="1" t="s">
        <v>242</v>
      </c>
      <c r="E775" s="1" t="s">
        <v>507</v>
      </c>
      <c r="F775" s="1" t="s">
        <v>508</v>
      </c>
      <c r="G775" s="1" t="s">
        <v>27</v>
      </c>
      <c r="H775" s="1" t="s">
        <v>18</v>
      </c>
      <c r="I775" s="1">
        <v>1</v>
      </c>
      <c r="J775" s="1">
        <v>0</v>
      </c>
      <c r="K775" s="1" t="s">
        <v>273</v>
      </c>
      <c r="L775" s="1" t="s">
        <v>19</v>
      </c>
    </row>
    <row r="776" spans="1:12" hidden="1" x14ac:dyDescent="0.2">
      <c r="A776" s="1">
        <v>2014</v>
      </c>
      <c r="B776" s="2" t="d">
        <v>2014-06-13</v>
      </c>
      <c r="C776" s="1" t="s">
        <v>32</v>
      </c>
      <c r="D776" s="1" t="s">
        <v>241</v>
      </c>
      <c r="E776" s="1" t="s">
        <v>509</v>
      </c>
      <c r="F776" s="1" t="s">
        <v>510</v>
      </c>
      <c r="G776" s="1" t="s">
        <v>27</v>
      </c>
      <c r="H776" s="1" t="s">
        <v>68</v>
      </c>
      <c r="I776" s="1">
        <v>1</v>
      </c>
      <c r="J776" s="1">
        <v>5</v>
      </c>
      <c r="K776" s="1" t="s">
        <v>59</v>
      </c>
      <c r="L776" s="1" t="s">
        <v>19</v>
      </c>
    </row>
    <row r="777" spans="1:12" hidden="1" x14ac:dyDescent="0.2">
      <c r="A777" s="1">
        <v>2014</v>
      </c>
      <c r="B777" s="2" t="d">
        <v>2014-06-13</v>
      </c>
      <c r="C777" s="1" t="s">
        <v>75</v>
      </c>
      <c r="D777" s="1" t="s">
        <v>241</v>
      </c>
      <c r="E777" s="1" t="s">
        <v>511</v>
      </c>
      <c r="F777" s="1" t="s">
        <v>512</v>
      </c>
      <c r="G777" s="1" t="s">
        <v>27</v>
      </c>
      <c r="H777" s="1" t="s">
        <v>35</v>
      </c>
      <c r="I777" s="1">
        <v>3</v>
      </c>
      <c r="J777" s="1">
        <v>1</v>
      </c>
      <c r="K777" s="1" t="s">
        <v>227</v>
      </c>
      <c r="L777" s="1" t="s">
        <v>19</v>
      </c>
    </row>
    <row r="778" spans="1:12" hidden="1" x14ac:dyDescent="0.2">
      <c r="A778" s="1">
        <v>2014</v>
      </c>
      <c r="B778" s="2" t="d">
        <v>2014-06-14</v>
      </c>
      <c r="C778" s="1" t="s">
        <v>41</v>
      </c>
      <c r="D778" s="1" t="s">
        <v>304</v>
      </c>
      <c r="E778" s="1" t="s">
        <v>513</v>
      </c>
      <c r="F778" s="1" t="s">
        <v>116</v>
      </c>
      <c r="G778" s="1" t="s">
        <v>27</v>
      </c>
      <c r="H778" s="1" t="s">
        <v>177</v>
      </c>
      <c r="I778" s="1">
        <v>3</v>
      </c>
      <c r="J778" s="1">
        <v>0</v>
      </c>
      <c r="K778" s="1" t="s">
        <v>377</v>
      </c>
      <c r="L778" s="1" t="s">
        <v>19</v>
      </c>
    </row>
    <row r="779" spans="1:12" hidden="1" x14ac:dyDescent="0.2">
      <c r="A779" s="1">
        <v>2014</v>
      </c>
      <c r="B779" s="2" t="d">
        <v>2014-06-14</v>
      </c>
      <c r="C779" s="1" t="s">
        <v>32</v>
      </c>
      <c r="D779" s="1" t="s">
        <v>306</v>
      </c>
      <c r="E779" s="1" t="s">
        <v>514</v>
      </c>
      <c r="F779" s="1" t="s">
        <v>515</v>
      </c>
      <c r="G779" s="1" t="s">
        <v>27</v>
      </c>
      <c r="H779" s="1" t="s">
        <v>16</v>
      </c>
      <c r="I779" s="1">
        <v>1</v>
      </c>
      <c r="J779" s="1">
        <v>3</v>
      </c>
      <c r="K779" s="1" t="s">
        <v>337</v>
      </c>
      <c r="L779" s="1" t="s">
        <v>19</v>
      </c>
    </row>
    <row r="780" spans="1:12" hidden="1" x14ac:dyDescent="0.2">
      <c r="A780" s="1">
        <v>2014</v>
      </c>
      <c r="B780" s="2" t="d">
        <v>2014-06-14</v>
      </c>
      <c r="C780" s="1" t="s">
        <v>75</v>
      </c>
      <c r="D780" s="1" t="s">
        <v>306</v>
      </c>
      <c r="E780" s="1" t="s">
        <v>516</v>
      </c>
      <c r="F780" s="1" t="s">
        <v>517</v>
      </c>
      <c r="G780" s="1" t="s">
        <v>27</v>
      </c>
      <c r="H780" s="1" t="s">
        <v>110</v>
      </c>
      <c r="I780" s="1">
        <v>1</v>
      </c>
      <c r="J780" s="1">
        <v>2</v>
      </c>
      <c r="K780" s="1" t="s">
        <v>49</v>
      </c>
      <c r="L780" s="1" t="s">
        <v>19</v>
      </c>
    </row>
    <row r="781" spans="1:12" hidden="1" x14ac:dyDescent="0.2">
      <c r="A781" s="1">
        <v>2014</v>
      </c>
      <c r="B781" s="2" t="d">
        <v>2014-06-14</v>
      </c>
      <c r="C781" s="1" t="s">
        <v>518</v>
      </c>
      <c r="D781" s="1" t="s">
        <v>304</v>
      </c>
      <c r="E781" s="1" t="s">
        <v>519</v>
      </c>
      <c r="F781" s="1" t="s">
        <v>122</v>
      </c>
      <c r="G781" s="1" t="s">
        <v>27</v>
      </c>
      <c r="H781" s="1" t="s">
        <v>459</v>
      </c>
      <c r="I781" s="1">
        <v>2</v>
      </c>
      <c r="J781" s="1">
        <v>1</v>
      </c>
      <c r="K781" s="1" t="s">
        <v>395</v>
      </c>
      <c r="L781" s="1" t="s">
        <v>19</v>
      </c>
    </row>
    <row r="782" spans="1:12" hidden="1" x14ac:dyDescent="0.2">
      <c r="A782" s="1">
        <v>2014</v>
      </c>
      <c r="B782" s="2" t="d">
        <v>2014-06-15</v>
      </c>
      <c r="C782" s="1" t="s">
        <v>41</v>
      </c>
      <c r="D782" s="1" t="s">
        <v>317</v>
      </c>
      <c r="E782" s="1" t="s">
        <v>520</v>
      </c>
      <c r="F782" s="1" t="s">
        <v>521</v>
      </c>
      <c r="G782" s="1" t="s">
        <v>27</v>
      </c>
      <c r="H782" s="1" t="s">
        <v>58</v>
      </c>
      <c r="I782" s="1">
        <v>2</v>
      </c>
      <c r="J782" s="1">
        <v>1</v>
      </c>
      <c r="K782" s="1" t="s">
        <v>423</v>
      </c>
      <c r="L782" s="1" t="s">
        <v>19</v>
      </c>
    </row>
    <row r="783" spans="1:12" hidden="1" x14ac:dyDescent="0.2">
      <c r="A783" s="1">
        <v>2014</v>
      </c>
      <c r="B783" s="2" t="d">
        <v>2014-06-15</v>
      </c>
      <c r="C783" s="1" t="s">
        <v>32</v>
      </c>
      <c r="D783" s="1" t="s">
        <v>317</v>
      </c>
      <c r="E783" s="1" t="s">
        <v>522</v>
      </c>
      <c r="F783" s="1" t="s">
        <v>118</v>
      </c>
      <c r="G783" s="1" t="s">
        <v>27</v>
      </c>
      <c r="H783" s="1" t="s">
        <v>17</v>
      </c>
      <c r="I783" s="1">
        <v>3</v>
      </c>
      <c r="J783" s="1">
        <v>0</v>
      </c>
      <c r="K783" s="1" t="s">
        <v>287</v>
      </c>
      <c r="L783" s="1" t="s">
        <v>19</v>
      </c>
    </row>
    <row r="784" spans="1:12" hidden="1" x14ac:dyDescent="0.2">
      <c r="A784" s="1">
        <v>2014</v>
      </c>
      <c r="B784" s="2" t="d">
        <v>2014-06-15</v>
      </c>
      <c r="C784" s="1" t="s">
        <v>148</v>
      </c>
      <c r="D784" s="1" t="s">
        <v>310</v>
      </c>
      <c r="E784" s="1" t="s">
        <v>523</v>
      </c>
      <c r="F784" s="1" t="s">
        <v>109</v>
      </c>
      <c r="G784" s="1" t="s">
        <v>27</v>
      </c>
      <c r="H784" s="1" t="s">
        <v>33</v>
      </c>
      <c r="I784" s="1">
        <v>2</v>
      </c>
      <c r="J784" s="1">
        <v>1</v>
      </c>
      <c r="K784" s="1" t="s">
        <v>524</v>
      </c>
      <c r="L784" s="1" t="s">
        <v>19</v>
      </c>
    </row>
    <row r="785" spans="1:12" hidden="1" x14ac:dyDescent="0.2">
      <c r="A785" s="1">
        <v>2014</v>
      </c>
      <c r="B785" s="2" t="d">
        <v>2014-06-16</v>
      </c>
      <c r="C785" s="1" t="s">
        <v>41</v>
      </c>
      <c r="D785" s="1" t="s">
        <v>400</v>
      </c>
      <c r="E785" s="1" t="s">
        <v>509</v>
      </c>
      <c r="F785" s="1" t="s">
        <v>510</v>
      </c>
      <c r="G785" s="1" t="s">
        <v>27</v>
      </c>
      <c r="H785" s="1" t="s">
        <v>65</v>
      </c>
      <c r="I785" s="1">
        <v>4</v>
      </c>
      <c r="J785" s="1">
        <v>0</v>
      </c>
      <c r="K785" s="1" t="s">
        <v>197</v>
      </c>
      <c r="L785" s="1" t="s">
        <v>19</v>
      </c>
    </row>
    <row r="786" spans="1:12" hidden="1" x14ac:dyDescent="0.2">
      <c r="A786" s="1">
        <v>2014</v>
      </c>
      <c r="B786" s="2" t="d">
        <v>2014-06-16</v>
      </c>
      <c r="C786" s="1" t="s">
        <v>32</v>
      </c>
      <c r="D786" s="1" t="s">
        <v>310</v>
      </c>
      <c r="E786" s="1" t="s">
        <v>525</v>
      </c>
      <c r="F786" s="1" t="s">
        <v>112</v>
      </c>
      <c r="G786" s="1" t="s">
        <v>27</v>
      </c>
      <c r="H786" s="1" t="s">
        <v>258</v>
      </c>
      <c r="I786" s="1">
        <v>0</v>
      </c>
      <c r="J786" s="1">
        <v>0</v>
      </c>
      <c r="K786" s="1" t="s">
        <v>378</v>
      </c>
      <c r="L786" s="1" t="s">
        <v>19</v>
      </c>
    </row>
    <row r="787" spans="1:12" hidden="1" x14ac:dyDescent="0.2">
      <c r="A787" s="1">
        <v>2014</v>
      </c>
      <c r="B787" s="2" t="d">
        <v>2014-06-16</v>
      </c>
      <c r="C787" s="1" t="s">
        <v>148</v>
      </c>
      <c r="D787" s="1" t="s">
        <v>400</v>
      </c>
      <c r="E787" s="1" t="s">
        <v>507</v>
      </c>
      <c r="F787" s="1" t="s">
        <v>508</v>
      </c>
      <c r="G787" s="1" t="s">
        <v>27</v>
      </c>
      <c r="H787" s="1" t="s">
        <v>472</v>
      </c>
      <c r="I787" s="1">
        <v>1</v>
      </c>
      <c r="J787" s="1">
        <v>2</v>
      </c>
      <c r="K787" s="1" t="s">
        <v>22</v>
      </c>
      <c r="L787" s="1" t="s">
        <v>19</v>
      </c>
    </row>
    <row r="788" spans="1:12" hidden="1" x14ac:dyDescent="0.2">
      <c r="A788" s="1">
        <v>2014</v>
      </c>
      <c r="B788" s="2" t="d">
        <v>2014-06-17</v>
      </c>
      <c r="C788" s="1" t="s">
        <v>41</v>
      </c>
      <c r="D788" s="1" t="s">
        <v>394</v>
      </c>
      <c r="E788" s="1" t="s">
        <v>513</v>
      </c>
      <c r="F788" s="1" t="s">
        <v>116</v>
      </c>
      <c r="G788" s="1" t="s">
        <v>27</v>
      </c>
      <c r="H788" s="1" t="s">
        <v>23</v>
      </c>
      <c r="I788" s="1">
        <v>2</v>
      </c>
      <c r="J788" s="1">
        <v>1</v>
      </c>
      <c r="K788" s="1" t="s">
        <v>281</v>
      </c>
      <c r="L788" s="1" t="s">
        <v>19</v>
      </c>
    </row>
    <row r="789" spans="1:12" hidden="1" x14ac:dyDescent="0.2">
      <c r="A789" s="1">
        <v>2014</v>
      </c>
      <c r="B789" s="2" t="d">
        <v>2014-06-17</v>
      </c>
      <c r="C789" s="1" t="s">
        <v>32</v>
      </c>
      <c r="D789" s="1" t="s">
        <v>242</v>
      </c>
      <c r="E789" s="1" t="s">
        <v>514</v>
      </c>
      <c r="F789" s="1" t="s">
        <v>515</v>
      </c>
      <c r="G789" s="1" t="s">
        <v>27</v>
      </c>
      <c r="H789" s="1" t="s">
        <v>27</v>
      </c>
      <c r="I789" s="1">
        <v>0</v>
      </c>
      <c r="J789" s="1">
        <v>0</v>
      </c>
      <c r="K789" s="1" t="s">
        <v>18</v>
      </c>
      <c r="L789" s="1" t="s">
        <v>19</v>
      </c>
    </row>
    <row r="790" spans="1:12" hidden="1" x14ac:dyDescent="0.2">
      <c r="A790" s="1">
        <v>2014</v>
      </c>
      <c r="B790" s="2" t="d">
        <v>2014-06-17</v>
      </c>
      <c r="C790" s="1" t="s">
        <v>75</v>
      </c>
      <c r="D790" s="1" t="s">
        <v>394</v>
      </c>
      <c r="E790" s="1" t="s">
        <v>511</v>
      </c>
      <c r="F790" s="1" t="s">
        <v>512</v>
      </c>
      <c r="G790" s="1" t="s">
        <v>27</v>
      </c>
      <c r="H790" s="1" t="s">
        <v>374</v>
      </c>
      <c r="I790" s="1">
        <v>1</v>
      </c>
      <c r="J790" s="1">
        <v>1</v>
      </c>
      <c r="K790" s="1" t="s">
        <v>135</v>
      </c>
      <c r="L790" s="1" t="s">
        <v>19</v>
      </c>
    </row>
    <row r="791" spans="1:12" hidden="1" x14ac:dyDescent="0.2">
      <c r="A791" s="1">
        <v>2014</v>
      </c>
      <c r="B791" s="2" t="d">
        <v>2014-06-18</v>
      </c>
      <c r="C791" s="1" t="s">
        <v>41</v>
      </c>
      <c r="D791" s="1" t="s">
        <v>241</v>
      </c>
      <c r="E791" s="1" t="s">
        <v>522</v>
      </c>
      <c r="F791" s="1" t="s">
        <v>118</v>
      </c>
      <c r="G791" s="1" t="s">
        <v>27</v>
      </c>
      <c r="H791" s="1" t="s">
        <v>227</v>
      </c>
      <c r="I791" s="1">
        <v>2</v>
      </c>
      <c r="J791" s="1">
        <v>3</v>
      </c>
      <c r="K791" s="1" t="s">
        <v>59</v>
      </c>
      <c r="L791" s="1" t="s">
        <v>19</v>
      </c>
    </row>
    <row r="792" spans="1:12" hidden="1" x14ac:dyDescent="0.2">
      <c r="A792" s="1">
        <v>2014</v>
      </c>
      <c r="B792" s="2" t="d">
        <v>2014-06-18</v>
      </c>
      <c r="C792" s="1" t="s">
        <v>32</v>
      </c>
      <c r="D792" s="1" t="s">
        <v>241</v>
      </c>
      <c r="E792" s="1" t="s">
        <v>523</v>
      </c>
      <c r="F792" s="1" t="s">
        <v>109</v>
      </c>
      <c r="G792" s="1" t="s">
        <v>27</v>
      </c>
      <c r="H792" s="1" t="s">
        <v>68</v>
      </c>
      <c r="I792" s="1">
        <v>0</v>
      </c>
      <c r="J792" s="1">
        <v>2</v>
      </c>
      <c r="K792" s="1" t="s">
        <v>35</v>
      </c>
      <c r="L792" s="1" t="s">
        <v>19</v>
      </c>
    </row>
    <row r="793" spans="1:12" hidden="1" x14ac:dyDescent="0.2">
      <c r="A793" s="1">
        <v>2014</v>
      </c>
      <c r="B793" s="2" t="d">
        <v>2014-06-18</v>
      </c>
      <c r="C793" s="1" t="s">
        <v>75</v>
      </c>
      <c r="D793" s="1" t="s">
        <v>242</v>
      </c>
      <c r="E793" s="1" t="s">
        <v>516</v>
      </c>
      <c r="F793" s="1" t="s">
        <v>517</v>
      </c>
      <c r="G793" s="1" t="s">
        <v>27</v>
      </c>
      <c r="H793" s="1" t="s">
        <v>273</v>
      </c>
      <c r="I793" s="1">
        <v>0</v>
      </c>
      <c r="J793" s="1">
        <v>4</v>
      </c>
      <c r="K793" s="1" t="s">
        <v>399</v>
      </c>
      <c r="L793" s="1" t="s">
        <v>19</v>
      </c>
    </row>
    <row r="794" spans="1:12" hidden="1" x14ac:dyDescent="0.2">
      <c r="A794" s="1">
        <v>2014</v>
      </c>
      <c r="B794" s="2" t="d">
        <v>2014-06-19</v>
      </c>
      <c r="C794" s="1" t="s">
        <v>41</v>
      </c>
      <c r="D794" s="1" t="s">
        <v>304</v>
      </c>
      <c r="E794" s="1" t="s">
        <v>520</v>
      </c>
      <c r="F794" s="1" t="s">
        <v>521</v>
      </c>
      <c r="G794" s="1" t="s">
        <v>27</v>
      </c>
      <c r="H794" s="1" t="s">
        <v>177</v>
      </c>
      <c r="I794" s="1">
        <v>2</v>
      </c>
      <c r="J794" s="1">
        <v>1</v>
      </c>
      <c r="K794" s="1" t="s">
        <v>459</v>
      </c>
      <c r="L794" s="1" t="s">
        <v>19</v>
      </c>
    </row>
    <row r="795" spans="1:12" hidden="1" x14ac:dyDescent="0.2">
      <c r="A795" s="1">
        <v>2014</v>
      </c>
      <c r="B795" s="2" t="d">
        <v>2014-06-19</v>
      </c>
      <c r="C795" s="1" t="s">
        <v>32</v>
      </c>
      <c r="D795" s="1" t="s">
        <v>306</v>
      </c>
      <c r="E795" s="1" t="s">
        <v>506</v>
      </c>
      <c r="F795" s="1" t="s">
        <v>114</v>
      </c>
      <c r="G795" s="1" t="s">
        <v>27</v>
      </c>
      <c r="H795" s="1" t="s">
        <v>16</v>
      </c>
      <c r="I795" s="1">
        <v>2</v>
      </c>
      <c r="J795" s="1">
        <v>1</v>
      </c>
      <c r="K795" s="1" t="s">
        <v>110</v>
      </c>
      <c r="L795" s="1" t="s">
        <v>19</v>
      </c>
    </row>
    <row r="796" spans="1:12" hidden="1" x14ac:dyDescent="0.2">
      <c r="A796" s="1">
        <v>2014</v>
      </c>
      <c r="B796" s="2" t="d">
        <v>2014-06-19</v>
      </c>
      <c r="C796" s="1" t="s">
        <v>148</v>
      </c>
      <c r="D796" s="1" t="s">
        <v>304</v>
      </c>
      <c r="E796" s="1" t="s">
        <v>507</v>
      </c>
      <c r="F796" s="1" t="s">
        <v>508</v>
      </c>
      <c r="G796" s="1" t="s">
        <v>27</v>
      </c>
      <c r="H796" s="1" t="s">
        <v>395</v>
      </c>
      <c r="I796" s="1">
        <v>0</v>
      </c>
      <c r="J796" s="1">
        <v>0</v>
      </c>
      <c r="K796" s="1" t="s">
        <v>377</v>
      </c>
      <c r="L796" s="1" t="s">
        <v>19</v>
      </c>
    </row>
    <row r="797" spans="1:12" hidden="1" x14ac:dyDescent="0.2">
      <c r="A797" s="1">
        <v>2014</v>
      </c>
      <c r="B797" s="2" t="d">
        <v>2014-06-20</v>
      </c>
      <c r="C797" s="1" t="s">
        <v>41</v>
      </c>
      <c r="D797" s="1" t="s">
        <v>306</v>
      </c>
      <c r="E797" s="1" t="s">
        <v>519</v>
      </c>
      <c r="F797" s="1" t="s">
        <v>122</v>
      </c>
      <c r="G797" s="1" t="s">
        <v>27</v>
      </c>
      <c r="H797" s="1" t="s">
        <v>49</v>
      </c>
      <c r="I797" s="1">
        <v>0</v>
      </c>
      <c r="J797" s="1">
        <v>1</v>
      </c>
      <c r="K797" s="1" t="s">
        <v>337</v>
      </c>
      <c r="L797" s="1" t="s">
        <v>19</v>
      </c>
    </row>
    <row r="798" spans="1:12" hidden="1" x14ac:dyDescent="0.2">
      <c r="A798" s="1">
        <v>2014</v>
      </c>
      <c r="B798" s="2" t="d">
        <v>2014-06-20</v>
      </c>
      <c r="C798" s="1" t="s">
        <v>32</v>
      </c>
      <c r="D798" s="1" t="s">
        <v>317</v>
      </c>
      <c r="E798" s="1" t="s">
        <v>509</v>
      </c>
      <c r="F798" s="1" t="s">
        <v>510</v>
      </c>
      <c r="G798" s="1" t="s">
        <v>27</v>
      </c>
      <c r="H798" s="1" t="s">
        <v>58</v>
      </c>
      <c r="I798" s="1">
        <v>2</v>
      </c>
      <c r="J798" s="1">
        <v>5</v>
      </c>
      <c r="K798" s="1" t="s">
        <v>17</v>
      </c>
      <c r="L798" s="1" t="s">
        <v>19</v>
      </c>
    </row>
    <row r="799" spans="1:12" hidden="1" x14ac:dyDescent="0.2">
      <c r="A799" s="1">
        <v>2014</v>
      </c>
      <c r="B799" s="2" t="d">
        <v>2014-06-20</v>
      </c>
      <c r="C799" s="1" t="s">
        <v>148</v>
      </c>
      <c r="D799" s="1" t="s">
        <v>317</v>
      </c>
      <c r="E799" s="1" t="s">
        <v>525</v>
      </c>
      <c r="F799" s="1" t="s">
        <v>112</v>
      </c>
      <c r="G799" s="1" t="s">
        <v>27</v>
      </c>
      <c r="H799" s="1" t="s">
        <v>287</v>
      </c>
      <c r="I799" s="1">
        <v>1</v>
      </c>
      <c r="J799" s="1">
        <v>2</v>
      </c>
      <c r="K799" s="1" t="s">
        <v>423</v>
      </c>
      <c r="L799" s="1" t="s">
        <v>19</v>
      </c>
    </row>
    <row r="800" spans="1:12" hidden="1" x14ac:dyDescent="0.2">
      <c r="A800" s="1">
        <v>2014</v>
      </c>
      <c r="B800" s="2" t="d">
        <v>2014-06-21</v>
      </c>
      <c r="C800" s="1" t="s">
        <v>41</v>
      </c>
      <c r="D800" s="1" t="s">
        <v>310</v>
      </c>
      <c r="E800" s="1" t="s">
        <v>513</v>
      </c>
      <c r="F800" s="1" t="s">
        <v>116</v>
      </c>
      <c r="G800" s="1" t="s">
        <v>27</v>
      </c>
      <c r="H800" s="1" t="s">
        <v>33</v>
      </c>
      <c r="I800" s="1">
        <v>1</v>
      </c>
      <c r="J800" s="1">
        <v>0</v>
      </c>
      <c r="K800" s="1" t="s">
        <v>258</v>
      </c>
      <c r="L800" s="1" t="s">
        <v>19</v>
      </c>
    </row>
    <row r="801" spans="1:12" hidden="1" x14ac:dyDescent="0.2">
      <c r="A801" s="1">
        <v>2014</v>
      </c>
      <c r="B801" s="2" t="d">
        <v>2014-06-21</v>
      </c>
      <c r="C801" s="1" t="s">
        <v>32</v>
      </c>
      <c r="D801" s="1" t="s">
        <v>400</v>
      </c>
      <c r="E801" s="1" t="s">
        <v>514</v>
      </c>
      <c r="F801" s="1" t="s">
        <v>515</v>
      </c>
      <c r="G801" s="1" t="s">
        <v>27</v>
      </c>
      <c r="H801" s="1" t="s">
        <v>65</v>
      </c>
      <c r="I801" s="1">
        <v>2</v>
      </c>
      <c r="J801" s="1">
        <v>2</v>
      </c>
      <c r="K801" s="1" t="s">
        <v>472</v>
      </c>
      <c r="L801" s="1" t="s">
        <v>19</v>
      </c>
    </row>
    <row r="802" spans="1:12" hidden="1" x14ac:dyDescent="0.2">
      <c r="A802" s="1">
        <v>2014</v>
      </c>
      <c r="B802" s="2" t="d">
        <v>2014-06-21</v>
      </c>
      <c r="C802" s="1" t="s">
        <v>75</v>
      </c>
      <c r="D802" s="1" t="s">
        <v>310</v>
      </c>
      <c r="E802" s="1" t="s">
        <v>511</v>
      </c>
      <c r="F802" s="1" t="s">
        <v>512</v>
      </c>
      <c r="G802" s="1" t="s">
        <v>27</v>
      </c>
      <c r="H802" s="1" t="s">
        <v>378</v>
      </c>
      <c r="I802" s="1">
        <v>1</v>
      </c>
      <c r="J802" s="1">
        <v>0</v>
      </c>
      <c r="K802" s="1" t="s">
        <v>524</v>
      </c>
      <c r="L802" s="1" t="s">
        <v>19</v>
      </c>
    </row>
    <row r="803" spans="1:12" hidden="1" x14ac:dyDescent="0.2">
      <c r="A803" s="1">
        <v>2014</v>
      </c>
      <c r="B803" s="2" t="d">
        <v>2014-06-22</v>
      </c>
      <c r="C803" s="1" t="s">
        <v>41</v>
      </c>
      <c r="D803" s="1" t="s">
        <v>394</v>
      </c>
      <c r="E803" s="1" t="s">
        <v>523</v>
      </c>
      <c r="F803" s="1" t="s">
        <v>109</v>
      </c>
      <c r="G803" s="1" t="s">
        <v>27</v>
      </c>
      <c r="H803" s="1" t="s">
        <v>23</v>
      </c>
      <c r="I803" s="1">
        <v>1</v>
      </c>
      <c r="J803" s="1">
        <v>0</v>
      </c>
      <c r="K803" s="1" t="s">
        <v>374</v>
      </c>
      <c r="L803" s="1" t="s">
        <v>19</v>
      </c>
    </row>
    <row r="804" spans="1:12" hidden="1" x14ac:dyDescent="0.2">
      <c r="A804" s="1">
        <v>2014</v>
      </c>
      <c r="B804" s="2" t="d">
        <v>2014-06-22</v>
      </c>
      <c r="C804" s="1" t="s">
        <v>32</v>
      </c>
      <c r="D804" s="1" t="s">
        <v>394</v>
      </c>
      <c r="E804" s="1" t="s">
        <v>522</v>
      </c>
      <c r="F804" s="1" t="s">
        <v>118</v>
      </c>
      <c r="G804" s="1" t="s">
        <v>27</v>
      </c>
      <c r="H804" s="1" t="s">
        <v>135</v>
      </c>
      <c r="I804" s="1">
        <v>2</v>
      </c>
      <c r="J804" s="1">
        <v>4</v>
      </c>
      <c r="K804" s="1" t="s">
        <v>281</v>
      </c>
      <c r="L804" s="1" t="s">
        <v>19</v>
      </c>
    </row>
    <row r="805" spans="1:12" hidden="1" x14ac:dyDescent="0.2">
      <c r="A805" s="1">
        <v>2014</v>
      </c>
      <c r="B805" s="2" t="d">
        <v>2014-06-22</v>
      </c>
      <c r="C805" s="1" t="s">
        <v>75</v>
      </c>
      <c r="D805" s="1" t="s">
        <v>400</v>
      </c>
      <c r="E805" s="1" t="s">
        <v>516</v>
      </c>
      <c r="F805" s="1" t="s">
        <v>517</v>
      </c>
      <c r="G805" s="1" t="s">
        <v>27</v>
      </c>
      <c r="H805" s="1" t="s">
        <v>22</v>
      </c>
      <c r="I805" s="1">
        <v>2</v>
      </c>
      <c r="J805" s="1">
        <v>2</v>
      </c>
      <c r="K805" s="1" t="s">
        <v>197</v>
      </c>
      <c r="L805" s="1" t="s">
        <v>19</v>
      </c>
    </row>
    <row r="806" spans="1:12" hidden="1" x14ac:dyDescent="0.2">
      <c r="A806" s="1">
        <v>2014</v>
      </c>
      <c r="B806" s="2" t="d">
        <v>2014-06-23</v>
      </c>
      <c r="C806" s="1" t="s">
        <v>41</v>
      </c>
      <c r="D806" s="1" t="s">
        <v>241</v>
      </c>
      <c r="E806" s="1" t="s">
        <v>525</v>
      </c>
      <c r="F806" s="1" t="s">
        <v>112</v>
      </c>
      <c r="G806" s="1" t="s">
        <v>27</v>
      </c>
      <c r="H806" s="1" t="s">
        <v>227</v>
      </c>
      <c r="I806" s="1">
        <v>0</v>
      </c>
      <c r="J806" s="1">
        <v>3</v>
      </c>
      <c r="K806" s="1" t="s">
        <v>68</v>
      </c>
      <c r="L806" s="1" t="s">
        <v>19</v>
      </c>
    </row>
    <row r="807" spans="1:12" hidden="1" x14ac:dyDescent="0.2">
      <c r="A807" s="1">
        <v>2014</v>
      </c>
      <c r="B807" s="2" t="d">
        <v>2014-06-23</v>
      </c>
      <c r="C807" s="1" t="s">
        <v>41</v>
      </c>
      <c r="D807" s="1" t="s">
        <v>241</v>
      </c>
      <c r="E807" s="1" t="s">
        <v>506</v>
      </c>
      <c r="F807" s="1" t="s">
        <v>114</v>
      </c>
      <c r="G807" s="1" t="s">
        <v>27</v>
      </c>
      <c r="H807" s="1" t="s">
        <v>59</v>
      </c>
      <c r="I807" s="1">
        <v>2</v>
      </c>
      <c r="J807" s="1">
        <v>0</v>
      </c>
      <c r="K807" s="1" t="s">
        <v>35</v>
      </c>
      <c r="L807" s="1" t="s">
        <v>19</v>
      </c>
    </row>
    <row r="808" spans="1:12" x14ac:dyDescent="0.2">
      <c r="A808" s="1">
        <v>2014</v>
      </c>
      <c r="B808" s="2" t="d">
        <v>2014-06-23</v>
      </c>
      <c r="C808" s="1" t="s">
        <v>79</v>
      </c>
      <c r="D808" s="1" t="s">
        <v>242</v>
      </c>
      <c r="E808" s="1" t="s">
        <v>520</v>
      </c>
      <c r="F808" s="1" t="s">
        <v>521</v>
      </c>
      <c r="G808" s="1" t="s">
        <v>27</v>
      </c>
      <c r="H808" s="1" t="s">
        <v>273</v>
      </c>
      <c r="I808" s="1">
        <v>1</v>
      </c>
      <c r="J808" s="1">
        <v>4</v>
      </c>
      <c r="K808" s="1" t="s">
        <v>27</v>
      </c>
      <c r="L808" s="1" t="s">
        <v>19</v>
      </c>
    </row>
    <row r="809" spans="1:12" hidden="1" x14ac:dyDescent="0.2">
      <c r="A809" s="1">
        <v>2014</v>
      </c>
      <c r="B809" s="2" t="d">
        <v>2014-06-23</v>
      </c>
      <c r="C809" s="1" t="s">
        <v>79</v>
      </c>
      <c r="D809" s="1" t="s">
        <v>242</v>
      </c>
      <c r="E809" s="1" t="s">
        <v>519</v>
      </c>
      <c r="F809" s="1" t="s">
        <v>122</v>
      </c>
      <c r="G809" s="1" t="s">
        <v>27</v>
      </c>
      <c r="H809" s="1" t="s">
        <v>399</v>
      </c>
      <c r="I809" s="1">
        <v>1</v>
      </c>
      <c r="J809" s="1">
        <v>3</v>
      </c>
      <c r="K809" s="1" t="s">
        <v>18</v>
      </c>
      <c r="L809" s="1" t="s">
        <v>19</v>
      </c>
    </row>
    <row r="810" spans="1:12" hidden="1" x14ac:dyDescent="0.2">
      <c r="A810" s="1">
        <v>2014</v>
      </c>
      <c r="B810" s="2" t="d">
        <v>2014-06-24</v>
      </c>
      <c r="C810" s="1" t="s">
        <v>41</v>
      </c>
      <c r="D810" s="1" t="s">
        <v>306</v>
      </c>
      <c r="E810" s="1" t="s">
        <v>507</v>
      </c>
      <c r="F810" s="1" t="s">
        <v>508</v>
      </c>
      <c r="G810" s="1" t="s">
        <v>27</v>
      </c>
      <c r="H810" s="1" t="s">
        <v>49</v>
      </c>
      <c r="I810" s="1">
        <v>0</v>
      </c>
      <c r="J810" s="1">
        <v>1</v>
      </c>
      <c r="K810" s="1" t="s">
        <v>16</v>
      </c>
      <c r="L810" s="1" t="s">
        <v>19</v>
      </c>
    </row>
    <row r="811" spans="1:12" hidden="1" x14ac:dyDescent="0.2">
      <c r="A811" s="1">
        <v>2014</v>
      </c>
      <c r="B811" s="2" t="d">
        <v>2014-06-24</v>
      </c>
      <c r="C811" s="1" t="s">
        <v>41</v>
      </c>
      <c r="D811" s="1" t="s">
        <v>306</v>
      </c>
      <c r="E811" s="1" t="s">
        <v>513</v>
      </c>
      <c r="F811" s="1" t="s">
        <v>116</v>
      </c>
      <c r="G811" s="1" t="s">
        <v>27</v>
      </c>
      <c r="H811" s="1" t="s">
        <v>337</v>
      </c>
      <c r="I811" s="1">
        <v>0</v>
      </c>
      <c r="J811" s="1">
        <v>0</v>
      </c>
      <c r="K811" s="1" t="s">
        <v>110</v>
      </c>
      <c r="L811" s="1" t="s">
        <v>19</v>
      </c>
    </row>
    <row r="812" spans="1:12" hidden="1" x14ac:dyDescent="0.2">
      <c r="A812" s="1">
        <v>2014</v>
      </c>
      <c r="B812" s="2" t="d">
        <v>2014-06-24</v>
      </c>
      <c r="C812" s="1" t="s">
        <v>32</v>
      </c>
      <c r="D812" s="1" t="s">
        <v>304</v>
      </c>
      <c r="E812" s="1" t="s">
        <v>511</v>
      </c>
      <c r="F812" s="1" t="s">
        <v>512</v>
      </c>
      <c r="G812" s="1" t="s">
        <v>27</v>
      </c>
      <c r="H812" s="1" t="s">
        <v>395</v>
      </c>
      <c r="I812" s="1">
        <v>1</v>
      </c>
      <c r="J812" s="1">
        <v>4</v>
      </c>
      <c r="K812" s="1" t="s">
        <v>177</v>
      </c>
      <c r="L812" s="1" t="s">
        <v>19</v>
      </c>
    </row>
    <row r="813" spans="1:12" hidden="1" x14ac:dyDescent="0.2">
      <c r="A813" s="1">
        <v>2014</v>
      </c>
      <c r="B813" s="2" t="d">
        <v>2014-06-24</v>
      </c>
      <c r="C813" s="1" t="s">
        <v>79</v>
      </c>
      <c r="D813" s="1" t="s">
        <v>304</v>
      </c>
      <c r="E813" s="1" t="s">
        <v>514</v>
      </c>
      <c r="F813" s="1" t="s">
        <v>515</v>
      </c>
      <c r="G813" s="1" t="s">
        <v>27</v>
      </c>
      <c r="H813" s="1" t="s">
        <v>377</v>
      </c>
      <c r="I813" s="1">
        <v>2</v>
      </c>
      <c r="J813" s="1">
        <v>1</v>
      </c>
      <c r="K813" s="1" t="s">
        <v>459</v>
      </c>
      <c r="L813" s="1" t="s">
        <v>19</v>
      </c>
    </row>
    <row r="814" spans="1:12" hidden="1" x14ac:dyDescent="0.2">
      <c r="A814" s="1">
        <v>2014</v>
      </c>
      <c r="B814" s="2" t="d">
        <v>2014-06-25</v>
      </c>
      <c r="C814" s="1" t="s">
        <v>41</v>
      </c>
      <c r="D814" s="1" t="s">
        <v>310</v>
      </c>
      <c r="E814" s="1" t="s">
        <v>522</v>
      </c>
      <c r="F814" s="1" t="s">
        <v>118</v>
      </c>
      <c r="G814" s="1" t="s">
        <v>27</v>
      </c>
      <c r="H814" s="1" t="s">
        <v>378</v>
      </c>
      <c r="I814" s="1">
        <v>2</v>
      </c>
      <c r="J814" s="1">
        <v>3</v>
      </c>
      <c r="K814" s="1" t="s">
        <v>33</v>
      </c>
      <c r="L814" s="1" t="s">
        <v>19</v>
      </c>
    </row>
    <row r="815" spans="1:12" hidden="1" x14ac:dyDescent="0.2">
      <c r="A815" s="1">
        <v>2014</v>
      </c>
      <c r="B815" s="2" t="d">
        <v>2014-06-25</v>
      </c>
      <c r="C815" s="1" t="s">
        <v>41</v>
      </c>
      <c r="D815" s="1" t="s">
        <v>310</v>
      </c>
      <c r="E815" s="1" t="s">
        <v>509</v>
      </c>
      <c r="F815" s="1" t="s">
        <v>510</v>
      </c>
      <c r="G815" s="1" t="s">
        <v>27</v>
      </c>
      <c r="H815" s="1" t="s">
        <v>524</v>
      </c>
      <c r="I815" s="1">
        <v>3</v>
      </c>
      <c r="J815" s="1">
        <v>1</v>
      </c>
      <c r="K815" s="1" t="s">
        <v>258</v>
      </c>
      <c r="L815" s="1" t="s">
        <v>19</v>
      </c>
    </row>
    <row r="816" spans="1:12" hidden="1" x14ac:dyDescent="0.2">
      <c r="A816" s="1">
        <v>2014</v>
      </c>
      <c r="B816" s="2" t="d">
        <v>2014-06-25</v>
      </c>
      <c r="C816" s="1" t="s">
        <v>32</v>
      </c>
      <c r="D816" s="1" t="s">
        <v>317</v>
      </c>
      <c r="E816" s="1" t="s">
        <v>516</v>
      </c>
      <c r="F816" s="1" t="s">
        <v>517</v>
      </c>
      <c r="G816" s="1" t="s">
        <v>27</v>
      </c>
      <c r="H816" s="1" t="s">
        <v>287</v>
      </c>
      <c r="I816" s="1">
        <v>0</v>
      </c>
      <c r="J816" s="1">
        <v>3</v>
      </c>
      <c r="K816" s="1" t="s">
        <v>58</v>
      </c>
      <c r="L816" s="1" t="s">
        <v>19</v>
      </c>
    </row>
    <row r="817" spans="1:12" hidden="1" x14ac:dyDescent="0.2">
      <c r="A817" s="1">
        <v>2014</v>
      </c>
      <c r="B817" s="2" t="d">
        <v>2014-06-25</v>
      </c>
      <c r="C817" s="1" t="s">
        <v>79</v>
      </c>
      <c r="D817" s="1" t="s">
        <v>317</v>
      </c>
      <c r="E817" s="1" t="s">
        <v>523</v>
      </c>
      <c r="F817" s="1" t="s">
        <v>109</v>
      </c>
      <c r="G817" s="1" t="s">
        <v>27</v>
      </c>
      <c r="H817" s="1" t="s">
        <v>423</v>
      </c>
      <c r="I817" s="1">
        <v>0</v>
      </c>
      <c r="J817" s="1">
        <v>0</v>
      </c>
      <c r="K817" s="1" t="s">
        <v>17</v>
      </c>
      <c r="L817" s="1" t="s">
        <v>19</v>
      </c>
    </row>
    <row r="818" spans="1:12" hidden="1" x14ac:dyDescent="0.2">
      <c r="A818" s="1">
        <v>2014</v>
      </c>
      <c r="B818" s="2" t="d">
        <v>2014-06-26</v>
      </c>
      <c r="C818" s="1" t="s">
        <v>41</v>
      </c>
      <c r="D818" s="1" t="s">
        <v>400</v>
      </c>
      <c r="E818" s="1" t="s">
        <v>519</v>
      </c>
      <c r="F818" s="1" t="s">
        <v>122</v>
      </c>
      <c r="G818" s="1" t="s">
        <v>27</v>
      </c>
      <c r="H818" s="1" t="s">
        <v>22</v>
      </c>
      <c r="I818" s="1">
        <v>0</v>
      </c>
      <c r="J818" s="1">
        <v>1</v>
      </c>
      <c r="K818" s="1" t="s">
        <v>65</v>
      </c>
      <c r="L818" s="1" t="s">
        <v>19</v>
      </c>
    </row>
    <row r="819" spans="1:12" hidden="1" x14ac:dyDescent="0.2">
      <c r="A819" s="1">
        <v>2014</v>
      </c>
      <c r="B819" s="2" t="d">
        <v>2014-06-26</v>
      </c>
      <c r="C819" s="1" t="s">
        <v>41</v>
      </c>
      <c r="D819" s="1" t="s">
        <v>400</v>
      </c>
      <c r="E819" s="1" t="s">
        <v>520</v>
      </c>
      <c r="F819" s="1" t="s">
        <v>521</v>
      </c>
      <c r="G819" s="1" t="s">
        <v>27</v>
      </c>
      <c r="H819" s="1" t="s">
        <v>197</v>
      </c>
      <c r="I819" s="1">
        <v>2</v>
      </c>
      <c r="J819" s="1">
        <v>1</v>
      </c>
      <c r="K819" s="1" t="s">
        <v>472</v>
      </c>
      <c r="L819" s="1" t="s">
        <v>19</v>
      </c>
    </row>
    <row r="820" spans="1:12" hidden="1" x14ac:dyDescent="0.2">
      <c r="A820" s="1">
        <v>2014</v>
      </c>
      <c r="B820" s="2" t="d">
        <v>2014-06-26</v>
      </c>
      <c r="C820" s="1" t="s">
        <v>79</v>
      </c>
      <c r="D820" s="1" t="s">
        <v>394</v>
      </c>
      <c r="E820" s="1" t="s">
        <v>506</v>
      </c>
      <c r="F820" s="1" t="s">
        <v>114</v>
      </c>
      <c r="G820" s="1" t="s">
        <v>27</v>
      </c>
      <c r="H820" s="1" t="s">
        <v>135</v>
      </c>
      <c r="I820" s="1">
        <v>0</v>
      </c>
      <c r="J820" s="1">
        <v>1</v>
      </c>
      <c r="K820" s="1" t="s">
        <v>23</v>
      </c>
      <c r="L820" s="1" t="s">
        <v>19</v>
      </c>
    </row>
    <row r="821" spans="1:12" hidden="1" x14ac:dyDescent="0.2">
      <c r="A821" s="1">
        <v>2014</v>
      </c>
      <c r="B821" s="2" t="d">
        <v>2014-06-26</v>
      </c>
      <c r="C821" s="1" t="s">
        <v>79</v>
      </c>
      <c r="D821" s="1" t="s">
        <v>394</v>
      </c>
      <c r="E821" s="1" t="s">
        <v>525</v>
      </c>
      <c r="F821" s="1" t="s">
        <v>112</v>
      </c>
      <c r="G821" s="1" t="s">
        <v>27</v>
      </c>
      <c r="H821" s="1" t="s">
        <v>281</v>
      </c>
      <c r="I821" s="1">
        <v>1</v>
      </c>
      <c r="J821" s="1">
        <v>1</v>
      </c>
      <c r="K821" s="1" t="s">
        <v>374</v>
      </c>
      <c r="L821" s="1" t="s">
        <v>19</v>
      </c>
    </row>
    <row r="822" spans="1:12" hidden="1" x14ac:dyDescent="0.2">
      <c r="A822" s="1">
        <v>2014</v>
      </c>
      <c r="B822" s="2" t="d">
        <v>2014-06-28</v>
      </c>
      <c r="C822" s="1" t="s">
        <v>41</v>
      </c>
      <c r="D822" s="12" t="s">
        <v>323</v>
      </c>
      <c r="E822" s="1" t="s">
        <v>513</v>
      </c>
      <c r="F822" s="1" t="s">
        <v>116</v>
      </c>
      <c r="G822" s="1" t="s">
        <v>27</v>
      </c>
      <c r="H822" s="1" t="s">
        <v>27</v>
      </c>
      <c r="I822" s="1">
        <v>1</v>
      </c>
      <c r="J822" s="1">
        <v>1</v>
      </c>
      <c r="K822" s="1" t="s">
        <v>35</v>
      </c>
      <c r="L822" s="1" t="s">
        <v>382</v>
      </c>
    </row>
    <row r="823" spans="1:12" hidden="1" x14ac:dyDescent="0.2">
      <c r="A823" s="1">
        <v>2014</v>
      </c>
      <c r="B823" s="2" t="d">
        <v>2014-06-28</v>
      </c>
      <c r="C823" s="1" t="s">
        <v>79</v>
      </c>
      <c r="D823" s="12" t="s">
        <v>323</v>
      </c>
      <c r="E823" s="1" t="s">
        <v>523</v>
      </c>
      <c r="F823" s="1" t="s">
        <v>109</v>
      </c>
      <c r="G823" s="1" t="s">
        <v>27</v>
      </c>
      <c r="H823" s="1" t="s">
        <v>177</v>
      </c>
      <c r="I823" s="1">
        <v>2</v>
      </c>
      <c r="J823" s="1">
        <v>0</v>
      </c>
      <c r="K823" s="1" t="s">
        <v>16</v>
      </c>
      <c r="L823" s="1" t="s">
        <v>19</v>
      </c>
    </row>
    <row r="824" spans="1:12" hidden="1" x14ac:dyDescent="0.2">
      <c r="A824" s="1">
        <v>2014</v>
      </c>
      <c r="B824" s="2" t="d">
        <v>2014-06-30</v>
      </c>
      <c r="C824" s="1" t="s">
        <v>41</v>
      </c>
      <c r="D824" s="12" t="s">
        <v>323</v>
      </c>
      <c r="E824" s="1" t="s">
        <v>520</v>
      </c>
      <c r="F824" s="1" t="s">
        <v>521</v>
      </c>
      <c r="G824" s="1" t="s">
        <v>27</v>
      </c>
      <c r="H824" s="1" t="s">
        <v>17</v>
      </c>
      <c r="I824" s="1">
        <v>2</v>
      </c>
      <c r="J824" s="1">
        <v>0</v>
      </c>
      <c r="K824" s="1" t="s">
        <v>378</v>
      </c>
      <c r="L824" s="1" t="s">
        <v>19</v>
      </c>
    </row>
    <row r="825" spans="1:12" hidden="1" x14ac:dyDescent="0.2">
      <c r="A825" s="1">
        <v>2014</v>
      </c>
      <c r="B825" s="2" t="d">
        <v>2014-06-30</v>
      </c>
      <c r="C825" s="1" t="s">
        <v>79</v>
      </c>
      <c r="D825" s="12" t="s">
        <v>323</v>
      </c>
      <c r="E825" s="1" t="s">
        <v>522</v>
      </c>
      <c r="F825" s="1" t="s">
        <v>118</v>
      </c>
      <c r="G825" s="1" t="s">
        <v>27</v>
      </c>
      <c r="H825" s="1" t="s">
        <v>65</v>
      </c>
      <c r="I825" s="1">
        <v>2</v>
      </c>
      <c r="J825" s="1">
        <v>1</v>
      </c>
      <c r="K825" s="1" t="s">
        <v>281</v>
      </c>
      <c r="L825" s="1" t="s">
        <v>526</v>
      </c>
    </row>
    <row r="826" spans="1:12" hidden="1" x14ac:dyDescent="0.2">
      <c r="A826" s="1">
        <v>2014</v>
      </c>
      <c r="B826" s="2" t="d">
        <v>2014-07-04</v>
      </c>
      <c r="C826" s="1" t="s">
        <v>79</v>
      </c>
      <c r="D826" s="12" t="s">
        <v>74</v>
      </c>
      <c r="E826" s="1" t="s">
        <v>514</v>
      </c>
      <c r="F826" s="1" t="s">
        <v>515</v>
      </c>
      <c r="G826" s="1" t="s">
        <v>27</v>
      </c>
      <c r="H826" s="1" t="s">
        <v>27</v>
      </c>
      <c r="I826" s="1">
        <v>2</v>
      </c>
      <c r="J826" s="1">
        <v>1</v>
      </c>
      <c r="K826" s="1" t="s">
        <v>177</v>
      </c>
      <c r="L826" s="1" t="s">
        <v>19</v>
      </c>
    </row>
    <row r="827" spans="1:12" hidden="1" x14ac:dyDescent="0.2">
      <c r="A827" s="1">
        <v>2014</v>
      </c>
      <c r="B827" s="2" t="d">
        <v>2014-07-04</v>
      </c>
      <c r="C827" s="1" t="s">
        <v>41</v>
      </c>
      <c r="D827" s="12" t="s">
        <v>74</v>
      </c>
      <c r="E827" s="1" t="s">
        <v>523</v>
      </c>
      <c r="F827" s="1" t="s">
        <v>109</v>
      </c>
      <c r="G827" s="1" t="s">
        <v>27</v>
      </c>
      <c r="H827" s="1" t="s">
        <v>17</v>
      </c>
      <c r="I827" s="1">
        <v>0</v>
      </c>
      <c r="J827" s="1">
        <v>1</v>
      </c>
      <c r="K827" s="1" t="s">
        <v>65</v>
      </c>
      <c r="L827" s="1" t="s">
        <v>19</v>
      </c>
    </row>
    <row r="828" spans="1:12" hidden="1" x14ac:dyDescent="0.2">
      <c r="A828" s="1">
        <v>2014</v>
      </c>
      <c r="B828" s="2" t="d">
        <v>2014-07-08</v>
      </c>
      <c r="C828" s="1" t="s">
        <v>79</v>
      </c>
      <c r="D828" s="12" t="s">
        <v>42</v>
      </c>
      <c r="E828" s="1" t="s">
        <v>513</v>
      </c>
      <c r="F828" s="1" t="s">
        <v>116</v>
      </c>
      <c r="G828" s="1" t="s">
        <v>27</v>
      </c>
      <c r="H828" s="1" t="s">
        <v>27</v>
      </c>
      <c r="I828" s="1">
        <v>1</v>
      </c>
      <c r="J828" s="1">
        <v>7</v>
      </c>
      <c r="K828" s="1" t="s">
        <v>65</v>
      </c>
      <c r="L828" s="1" t="s">
        <v>19</v>
      </c>
    </row>
    <row r="829" spans="1:12" hidden="1" x14ac:dyDescent="0.2">
      <c r="A829" s="1">
        <v>2014</v>
      </c>
      <c r="B829" s="2" t="d">
        <v>2014-07-12</v>
      </c>
      <c r="C829" s="1" t="s">
        <v>79</v>
      </c>
      <c r="D829" s="12" t="s">
        <v>527</v>
      </c>
      <c r="E829" s="1" t="s">
        <v>520</v>
      </c>
      <c r="F829" s="1" t="s">
        <v>521</v>
      </c>
      <c r="G829" s="1" t="s">
        <v>27</v>
      </c>
      <c r="H829" s="1" t="s">
        <v>27</v>
      </c>
      <c r="I829" s="1">
        <v>0</v>
      </c>
      <c r="J829" s="1">
        <v>3</v>
      </c>
      <c r="K829" s="1" t="s">
        <v>59</v>
      </c>
      <c r="L829" s="1" t="s">
        <v>19</v>
      </c>
    </row>
    <row r="830" spans="1:12" hidden="1" x14ac:dyDescent="0.2">
      <c r="A830" s="1">
        <v>2014</v>
      </c>
      <c r="B830" s="2" t="d">
        <v>2014-07-13</v>
      </c>
      <c r="C830" s="1" t="s">
        <v>32</v>
      </c>
      <c r="D830" s="12" t="s">
        <v>44</v>
      </c>
      <c r="E830" s="1" t="s">
        <v>523</v>
      </c>
      <c r="F830" s="1" t="s">
        <v>109</v>
      </c>
      <c r="G830" s="1" t="s">
        <v>27</v>
      </c>
      <c r="H830" s="1" t="s">
        <v>65</v>
      </c>
      <c r="I830" s="1">
        <v>1</v>
      </c>
      <c r="J830" s="1">
        <v>0</v>
      </c>
      <c r="K830" s="1" t="s">
        <v>33</v>
      </c>
      <c r="L830" s="1" t="s">
        <v>526</v>
      </c>
    </row>
    <row r="831" spans="1:12" hidden="1" x14ac:dyDescent="0.2">
      <c r="A831" s="1">
        <v>2014</v>
      </c>
      <c r="B831" s="2" t="d">
        <v>2014-07-09</v>
      </c>
      <c r="C831" s="1" t="s">
        <v>79</v>
      </c>
      <c r="D831" s="12" t="s">
        <v>42</v>
      </c>
      <c r="E831" s="1" t="s">
        <v>506</v>
      </c>
      <c r="F831" s="1" t="s">
        <v>114</v>
      </c>
      <c r="G831" s="1" t="s">
        <v>27</v>
      </c>
      <c r="H831" s="1" t="s">
        <v>59</v>
      </c>
      <c r="I831" s="1">
        <v>0</v>
      </c>
      <c r="J831" s="1">
        <v>0</v>
      </c>
      <c r="K831" s="1" t="s">
        <v>33</v>
      </c>
      <c r="L831" s="1" t="s">
        <v>528</v>
      </c>
    </row>
    <row r="832" spans="1:12" hidden="1" x14ac:dyDescent="0.2">
      <c r="A832" s="1">
        <v>2014</v>
      </c>
      <c r="B832" s="2" t="d">
        <v>2014-07-05</v>
      </c>
      <c r="C832" s="1" t="s">
        <v>79</v>
      </c>
      <c r="D832" s="12" t="s">
        <v>74</v>
      </c>
      <c r="E832" s="1" t="s">
        <v>509</v>
      </c>
      <c r="F832" s="1" t="s">
        <v>510</v>
      </c>
      <c r="G832" s="1" t="s">
        <v>27</v>
      </c>
      <c r="H832" s="1" t="s">
        <v>59</v>
      </c>
      <c r="I832" s="1">
        <v>0</v>
      </c>
      <c r="J832" s="1">
        <v>0</v>
      </c>
      <c r="K832" s="1" t="s">
        <v>337</v>
      </c>
      <c r="L832" s="1" t="s">
        <v>529</v>
      </c>
    </row>
    <row r="833" spans="1:12" hidden="1" x14ac:dyDescent="0.2">
      <c r="A833" s="1">
        <v>2014</v>
      </c>
      <c r="B833" s="2" t="d">
        <v>2014-07-05</v>
      </c>
      <c r="C833" s="1" t="s">
        <v>41</v>
      </c>
      <c r="D833" s="12" t="s">
        <v>74</v>
      </c>
      <c r="E833" s="1" t="s">
        <v>520</v>
      </c>
      <c r="F833" s="1" t="s">
        <v>521</v>
      </c>
      <c r="G833" s="1" t="s">
        <v>27</v>
      </c>
      <c r="H833" s="1" t="s">
        <v>33</v>
      </c>
      <c r="I833" s="1">
        <v>1</v>
      </c>
      <c r="J833" s="1">
        <v>0</v>
      </c>
      <c r="K833" s="1" t="s">
        <v>23</v>
      </c>
      <c r="L833" s="1" t="s">
        <v>19</v>
      </c>
    </row>
    <row r="834" spans="1:12" hidden="1" x14ac:dyDescent="0.2">
      <c r="A834" s="1">
        <v>2014</v>
      </c>
      <c r="B834" s="2" t="d">
        <v>2014-06-29</v>
      </c>
      <c r="C834" s="1" t="s">
        <v>41</v>
      </c>
      <c r="D834" s="12" t="s">
        <v>323</v>
      </c>
      <c r="E834" s="1" t="s">
        <v>514</v>
      </c>
      <c r="F834" s="1" t="s">
        <v>515</v>
      </c>
      <c r="G834" s="1" t="s">
        <v>27</v>
      </c>
      <c r="H834" s="1" t="s">
        <v>59</v>
      </c>
      <c r="I834" s="1">
        <v>2</v>
      </c>
      <c r="J834" s="1">
        <v>1</v>
      </c>
      <c r="K834" s="1" t="s">
        <v>18</v>
      </c>
      <c r="L834" s="1" t="s">
        <v>19</v>
      </c>
    </row>
    <row r="835" spans="1:12" hidden="1" x14ac:dyDescent="0.2">
      <c r="A835" s="1">
        <v>2014</v>
      </c>
      <c r="B835" s="2" t="d">
        <v>2014-06-29</v>
      </c>
      <c r="C835" s="1" t="s">
        <v>79</v>
      </c>
      <c r="D835" s="12" t="s">
        <v>323</v>
      </c>
      <c r="E835" s="1" t="s">
        <v>519</v>
      </c>
      <c r="F835" s="1" t="s">
        <v>122</v>
      </c>
      <c r="G835" s="1" t="s">
        <v>27</v>
      </c>
      <c r="H835" s="1" t="s">
        <v>337</v>
      </c>
      <c r="I835" s="1">
        <v>1</v>
      </c>
      <c r="J835" s="1">
        <v>1</v>
      </c>
      <c r="K835" s="1" t="s">
        <v>377</v>
      </c>
      <c r="L835" s="1" t="s">
        <v>530</v>
      </c>
    </row>
    <row r="836" spans="1:12" hidden="1" x14ac:dyDescent="0.2">
      <c r="A836" s="1">
        <v>2014</v>
      </c>
      <c r="B836" s="2" t="d">
        <v>2014-07-01</v>
      </c>
      <c r="C836" s="1" t="s">
        <v>41</v>
      </c>
      <c r="D836" s="12" t="s">
        <v>323</v>
      </c>
      <c r="E836" s="1" t="s">
        <v>506</v>
      </c>
      <c r="F836" s="1" t="s">
        <v>114</v>
      </c>
      <c r="G836" s="1" t="s">
        <v>27</v>
      </c>
      <c r="H836" s="1" t="s">
        <v>33</v>
      </c>
      <c r="I836" s="1">
        <v>1</v>
      </c>
      <c r="J836" s="1">
        <v>0</v>
      </c>
      <c r="K836" s="1" t="s">
        <v>58</v>
      </c>
      <c r="L836" s="1" t="s">
        <v>261</v>
      </c>
    </row>
    <row r="837" spans="1:12" hidden="1" x14ac:dyDescent="0.2">
      <c r="A837" s="1">
        <v>2014</v>
      </c>
      <c r="B837" s="2" t="d">
        <v>2014-07-01</v>
      </c>
      <c r="C837" s="1" t="s">
        <v>79</v>
      </c>
      <c r="D837" s="12" t="s">
        <v>323</v>
      </c>
      <c r="E837" s="1" t="s">
        <v>509</v>
      </c>
      <c r="F837" s="1" t="s">
        <v>510</v>
      </c>
      <c r="G837" s="1" t="s">
        <v>27</v>
      </c>
      <c r="H837" s="1" t="s">
        <v>23</v>
      </c>
      <c r="I837" s="1">
        <v>2</v>
      </c>
      <c r="J837" s="1">
        <v>1</v>
      </c>
      <c r="K837" s="1" t="s">
        <v>22</v>
      </c>
      <c r="L837" s="1" t="s">
        <v>324</v>
      </c>
    </row>
  </sheetData>
  <autoFilter ref="A1:L837" xr:uid="{FEC7FCD5-F467-914E-AFC8-3E719D7FA79B}">
    <filterColumn colId="10">
      <filters>
        <filter val="Brazil"/>
      </filters>
    </filterColumn>
  </autoFilter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FCD5-F467-914E-AFC8-3E719D7FA79B}">
  <sheetPr filterMode="1"/>
  <dimension ref="A1:N853"/>
  <sheetViews>
    <sheetView zoomScale="134" workbookViewId="0">
      <selection activeCell="H1" sqref="H1:I853"/>
    </sheetView>
  </sheetViews>
  <sheetFormatPr baseColWidth="10" defaultRowHeight="16" x14ac:dyDescent="0.2"/>
  <cols>
    <col min="1" max="1" width="8" style="1" bestFit="1" customWidth="1"/>
    <col min="2" max="2" width="11" style="1" bestFit="1" customWidth="1"/>
    <col min="3" max="3" width="8.1640625" style="1" bestFit="1" customWidth="1"/>
    <col min="4" max="4" width="16.83203125" style="1" customWidth="1"/>
    <col min="5" max="5" width="21" style="1" customWidth="1"/>
    <col min="6" max="6" width="18.83203125" style="1" customWidth="1"/>
    <col min="7" max="7" width="12.83203125" style="1" bestFit="1" customWidth="1"/>
    <col min="8" max="8" width="16" style="1" customWidth="1"/>
    <col min="9" max="9" width="14.5" style="1" bestFit="1" customWidth="1"/>
    <col min="10" max="10" width="14" style="1" bestFit="1" customWidth="1"/>
    <col min="11" max="11" width="24" style="1" bestFit="1" customWidth="1"/>
    <col min="12" max="12" width="40.83203125" style="1" customWidth="1"/>
    <col min="13" max="13" width="152.33203125" style="1" bestFit="1" customWidth="1"/>
    <col min="14" max="14" width="15.5" style="1" bestFit="1" customWidth="1"/>
    <col min="15" max="16384" width="10.832031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558</v>
      </c>
      <c r="N1" s="1" t="s">
        <v>560</v>
      </c>
    </row>
    <row r="2" spans="1:14" hidden="1" x14ac:dyDescent="0.2">
      <c r="A2" s="1">
        <v>1930</v>
      </c>
      <c r="B2" s="2" t="d">
        <v>2030-07-13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>
        <v>1</v>
      </c>
      <c r="K2" s="1" t="s">
        <v>18</v>
      </c>
      <c r="L2" s="1" t="s">
        <v>19</v>
      </c>
      <c r="M2" s="1" t="str">
        <f>_xlfn.TEXTJOIN("|",TRUE,A2,B2,C2,D2,E2,F2,G2,H2,I2,J2,K2,L2)</f>
        <v xml:space="preserve">1930|47677| 15:00 |Group 1|Pocitos|Montevideo |Uruguay|France|4|1|Mexico| </v>
      </c>
    </row>
    <row r="3" spans="1:14" hidden="1" x14ac:dyDescent="0.2">
      <c r="A3" s="1">
        <v>1930</v>
      </c>
      <c r="B3" s="2" t="d">
        <v>2030-07-13</v>
      </c>
      <c r="C3" s="1" t="s">
        <v>12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22</v>
      </c>
      <c r="I3" s="1">
        <v>3</v>
      </c>
      <c r="J3" s="1">
        <v>0</v>
      </c>
      <c r="K3" s="1" t="s">
        <v>23</v>
      </c>
      <c r="L3" s="1" t="s">
        <v>19</v>
      </c>
      <c r="M3" s="1" t="str">
        <f t="shared" ref="M3:M66" si="0">_xlfn.TEXTJOIN("|",TRUE,A3,B3,C3,D3,E3,F3,G3,H3,I3,J3,K3,L3)</f>
        <v xml:space="preserve">1930|47677| 15:00 |Group 4|Parque Central|Montevideo |Uruguay|USA|3|0|Belgium| </v>
      </c>
    </row>
    <row r="4" spans="1:14" hidden="1" x14ac:dyDescent="0.2">
      <c r="A4" s="1">
        <v>1930</v>
      </c>
      <c r="B4" s="2" t="d">
        <v>2030-07-14</v>
      </c>
      <c r="C4" s="1" t="s">
        <v>24</v>
      </c>
      <c r="D4" s="1" t="s">
        <v>25</v>
      </c>
      <c r="E4" s="1" t="s">
        <v>21</v>
      </c>
      <c r="F4" s="1" t="s">
        <v>15</v>
      </c>
      <c r="G4" s="1" t="s">
        <v>16</v>
      </c>
      <c r="H4" s="1" t="s">
        <v>26</v>
      </c>
      <c r="I4" s="1">
        <v>2</v>
      </c>
      <c r="J4" s="1">
        <v>1</v>
      </c>
      <c r="K4" s="1" t="s">
        <v>27</v>
      </c>
      <c r="L4" s="1" t="s">
        <v>19</v>
      </c>
      <c r="M4" s="1" t="str">
        <f t="shared" si="0"/>
        <v xml:space="preserve">1930|47678| 12:45 |Group 2|Parque Central|Montevideo |Uruguay|Yugoslavia|2|1|Brazil| </v>
      </c>
    </row>
    <row r="5" spans="1:14" hidden="1" x14ac:dyDescent="0.2">
      <c r="A5" s="1">
        <v>1930</v>
      </c>
      <c r="B5" s="2" t="d">
        <v>2030-07-14</v>
      </c>
      <c r="C5" s="1" t="s">
        <v>28</v>
      </c>
      <c r="D5" s="1" t="s">
        <v>29</v>
      </c>
      <c r="E5" s="1" t="s">
        <v>14</v>
      </c>
      <c r="F5" s="1" t="s">
        <v>15</v>
      </c>
      <c r="G5" s="1" t="s">
        <v>16</v>
      </c>
      <c r="H5" s="1" t="s">
        <v>30</v>
      </c>
      <c r="I5" s="1">
        <v>3</v>
      </c>
      <c r="J5" s="1">
        <v>1</v>
      </c>
      <c r="K5" s="1" t="s">
        <v>31</v>
      </c>
      <c r="L5" s="1" t="s">
        <v>19</v>
      </c>
      <c r="M5" s="1" t="str">
        <f t="shared" si="0"/>
        <v xml:space="preserve">1930|47678| 14:50 |Group 3|Pocitos|Montevideo |Uruguay|Romania|3|1|Peru| </v>
      </c>
    </row>
    <row r="6" spans="1:14" hidden="1" x14ac:dyDescent="0.2">
      <c r="A6" s="1">
        <v>1930</v>
      </c>
      <c r="B6" s="2" t="d">
        <v>2030-07-15</v>
      </c>
      <c r="C6" s="1" t="s">
        <v>32</v>
      </c>
      <c r="D6" s="1" t="s">
        <v>13</v>
      </c>
      <c r="E6" s="1" t="s">
        <v>21</v>
      </c>
      <c r="F6" s="1" t="s">
        <v>15</v>
      </c>
      <c r="G6" s="1" t="s">
        <v>16</v>
      </c>
      <c r="H6" s="1" t="s">
        <v>33</v>
      </c>
      <c r="I6" s="1">
        <v>1</v>
      </c>
      <c r="J6" s="1">
        <v>0</v>
      </c>
      <c r="K6" s="1" t="s">
        <v>17</v>
      </c>
      <c r="L6" s="1" t="s">
        <v>19</v>
      </c>
      <c r="M6" s="1" t="str">
        <f t="shared" si="0"/>
        <v xml:space="preserve">1930|47679| 16:00 |Group 1|Parque Central|Montevideo |Uruguay|Argentina|1|0|France| </v>
      </c>
    </row>
    <row r="7" spans="1:14" hidden="1" x14ac:dyDescent="0.2">
      <c r="A7" s="1">
        <v>1930</v>
      </c>
      <c r="B7" s="2" t="d">
        <v>2030-07-16</v>
      </c>
      <c r="C7" s="1" t="s">
        <v>34</v>
      </c>
      <c r="D7" s="1" t="s">
        <v>13</v>
      </c>
      <c r="E7" s="1" t="s">
        <v>21</v>
      </c>
      <c r="F7" s="1" t="s">
        <v>15</v>
      </c>
      <c r="G7" s="1" t="s">
        <v>16</v>
      </c>
      <c r="H7" s="1" t="s">
        <v>35</v>
      </c>
      <c r="I7" s="1">
        <v>3</v>
      </c>
      <c r="J7" s="1">
        <v>0</v>
      </c>
      <c r="K7" s="1" t="s">
        <v>18</v>
      </c>
      <c r="L7" s="1" t="s">
        <v>19</v>
      </c>
      <c r="M7" s="1" t="str">
        <f t="shared" si="0"/>
        <v xml:space="preserve">1930|47680| 14:45 |Group 1|Parque Central|Montevideo |Uruguay|Chile|3|0|Mexico| </v>
      </c>
    </row>
    <row r="8" spans="1:14" hidden="1" x14ac:dyDescent="0.2">
      <c r="A8" s="1">
        <v>1930</v>
      </c>
      <c r="B8" s="2" t="d">
        <v>2030-07-17</v>
      </c>
      <c r="C8" s="1" t="s">
        <v>24</v>
      </c>
      <c r="D8" s="1" t="s">
        <v>25</v>
      </c>
      <c r="E8" s="1" t="s">
        <v>21</v>
      </c>
      <c r="F8" s="1" t="s">
        <v>15</v>
      </c>
      <c r="G8" s="1" t="s">
        <v>16</v>
      </c>
      <c r="H8" s="1" t="s">
        <v>26</v>
      </c>
      <c r="I8" s="1">
        <v>4</v>
      </c>
      <c r="J8" s="1">
        <v>0</v>
      </c>
      <c r="K8" s="1" t="s">
        <v>36</v>
      </c>
      <c r="L8" s="1" t="s">
        <v>19</v>
      </c>
      <c r="M8" s="1" t="str">
        <f t="shared" si="0"/>
        <v xml:space="preserve">1930|47681| 12:45 |Group 2|Parque Central|Montevideo |Uruguay|Yugoslavia|4|0|Bolivia| </v>
      </c>
    </row>
    <row r="9" spans="1:14" hidden="1" x14ac:dyDescent="0.2">
      <c r="A9" s="1">
        <v>1930</v>
      </c>
      <c r="B9" s="2" t="d">
        <v>2030-07-17</v>
      </c>
      <c r="C9" s="1" t="s">
        <v>34</v>
      </c>
      <c r="D9" s="1" t="s">
        <v>20</v>
      </c>
      <c r="E9" s="1" t="s">
        <v>21</v>
      </c>
      <c r="F9" s="1" t="s">
        <v>15</v>
      </c>
      <c r="G9" s="1" t="s">
        <v>16</v>
      </c>
      <c r="H9" s="1" t="s">
        <v>22</v>
      </c>
      <c r="I9" s="1">
        <v>3</v>
      </c>
      <c r="J9" s="1">
        <v>0</v>
      </c>
      <c r="K9" s="1" t="s">
        <v>37</v>
      </c>
      <c r="L9" s="1" t="s">
        <v>19</v>
      </c>
      <c r="M9" s="1" t="str">
        <f t="shared" si="0"/>
        <v xml:space="preserve">1930|47681| 14:45 |Group 4|Parque Central|Montevideo |Uruguay|USA|3|0|Paraguay| </v>
      </c>
    </row>
    <row r="10" spans="1:14" hidden="1" x14ac:dyDescent="0.2">
      <c r="A10" s="1">
        <v>1930</v>
      </c>
      <c r="B10" s="2" t="d">
        <v>2030-07-18</v>
      </c>
      <c r="C10" s="1" t="s">
        <v>38</v>
      </c>
      <c r="D10" s="1" t="s">
        <v>29</v>
      </c>
      <c r="E10" s="1" t="s">
        <v>39</v>
      </c>
      <c r="F10" s="1" t="s">
        <v>15</v>
      </c>
      <c r="G10" s="1" t="s">
        <v>16</v>
      </c>
      <c r="H10" s="1" t="s">
        <v>16</v>
      </c>
      <c r="I10" s="1">
        <v>1</v>
      </c>
      <c r="J10" s="1">
        <v>0</v>
      </c>
      <c r="K10" s="1" t="s">
        <v>31</v>
      </c>
      <c r="L10" s="1" t="s">
        <v>19</v>
      </c>
      <c r="M10" s="1" t="str">
        <f t="shared" si="0"/>
        <v xml:space="preserve">1930|47682| 14:30 |Group 3|Estadio Centenario|Montevideo |Uruguay|Uruguay|1|0|Peru| </v>
      </c>
    </row>
    <row r="11" spans="1:14" hidden="1" x14ac:dyDescent="0.2">
      <c r="A11" s="1">
        <v>1930</v>
      </c>
      <c r="B11" s="2" t="d">
        <v>2030-07-19</v>
      </c>
      <c r="C11" s="1" t="s">
        <v>40</v>
      </c>
      <c r="D11" s="1" t="s">
        <v>13</v>
      </c>
      <c r="E11" s="1" t="s">
        <v>39</v>
      </c>
      <c r="F11" s="1" t="s">
        <v>15</v>
      </c>
      <c r="G11" s="1" t="s">
        <v>16</v>
      </c>
      <c r="H11" s="1" t="s">
        <v>35</v>
      </c>
      <c r="I11" s="1">
        <v>1</v>
      </c>
      <c r="J11" s="1">
        <v>0</v>
      </c>
      <c r="K11" s="1" t="s">
        <v>17</v>
      </c>
      <c r="L11" s="1" t="s">
        <v>19</v>
      </c>
      <c r="M11" s="1" t="str">
        <f t="shared" si="0"/>
        <v xml:space="preserve">1930|47683| 12:50 |Group 1|Estadio Centenario|Montevideo |Uruguay|Chile|1|0|France| </v>
      </c>
    </row>
    <row r="12" spans="1:14" hidden="1" x14ac:dyDescent="0.2">
      <c r="A12" s="1">
        <v>1930</v>
      </c>
      <c r="B12" s="2" t="d">
        <v>2030-07-19</v>
      </c>
      <c r="C12" s="1" t="s">
        <v>12</v>
      </c>
      <c r="D12" s="1" t="s">
        <v>13</v>
      </c>
      <c r="E12" s="1" t="s">
        <v>39</v>
      </c>
      <c r="F12" s="1" t="s">
        <v>15</v>
      </c>
      <c r="G12" s="1" t="s">
        <v>16</v>
      </c>
      <c r="H12" s="1" t="s">
        <v>33</v>
      </c>
      <c r="I12" s="1">
        <v>6</v>
      </c>
      <c r="J12" s="1">
        <v>3</v>
      </c>
      <c r="K12" s="1" t="s">
        <v>18</v>
      </c>
      <c r="L12" s="1" t="s">
        <v>19</v>
      </c>
      <c r="M12" s="1" t="str">
        <f t="shared" si="0"/>
        <v xml:space="preserve">1930|47683| 15:00 |Group 1|Estadio Centenario|Montevideo |Uruguay|Argentina|6|3|Mexico| </v>
      </c>
    </row>
    <row r="13" spans="1:14" hidden="1" x14ac:dyDescent="0.2">
      <c r="A13" s="1">
        <v>1930</v>
      </c>
      <c r="B13" s="2" t="d">
        <v>2030-07-20</v>
      </c>
      <c r="C13" s="1" t="s">
        <v>41</v>
      </c>
      <c r="D13" s="1" t="s">
        <v>25</v>
      </c>
      <c r="E13" s="1" t="s">
        <v>39</v>
      </c>
      <c r="F13" s="1" t="s">
        <v>15</v>
      </c>
      <c r="G13" s="1" t="s">
        <v>16</v>
      </c>
      <c r="H13" s="1" t="s">
        <v>27</v>
      </c>
      <c r="I13" s="1">
        <v>4</v>
      </c>
      <c r="J13" s="1">
        <v>0</v>
      </c>
      <c r="K13" s="1" t="s">
        <v>36</v>
      </c>
      <c r="L13" s="1" t="s">
        <v>19</v>
      </c>
      <c r="M13" s="1" t="str">
        <f t="shared" si="0"/>
        <v xml:space="preserve">1930|47684| 13:00 |Group 2|Estadio Centenario|Montevideo |Uruguay|Brazil|4|0|Bolivia| </v>
      </c>
    </row>
    <row r="14" spans="1:14" hidden="1" x14ac:dyDescent="0.2">
      <c r="A14" s="1">
        <v>1930</v>
      </c>
      <c r="B14" s="2" t="d">
        <v>2030-07-20</v>
      </c>
      <c r="C14" s="1" t="s">
        <v>12</v>
      </c>
      <c r="D14" s="1" t="s">
        <v>20</v>
      </c>
      <c r="E14" s="1" t="s">
        <v>39</v>
      </c>
      <c r="F14" s="1" t="s">
        <v>15</v>
      </c>
      <c r="G14" s="1" t="s">
        <v>16</v>
      </c>
      <c r="H14" s="1" t="s">
        <v>37</v>
      </c>
      <c r="I14" s="1">
        <v>1</v>
      </c>
      <c r="J14" s="1">
        <v>0</v>
      </c>
      <c r="K14" s="1" t="s">
        <v>23</v>
      </c>
      <c r="L14" s="1" t="s">
        <v>19</v>
      </c>
      <c r="M14" s="1" t="str">
        <f t="shared" si="0"/>
        <v xml:space="preserve">1930|47684| 15:00 |Group 4|Estadio Centenario|Montevideo |Uruguay|Paraguay|1|0|Belgium| </v>
      </c>
    </row>
    <row r="15" spans="1:14" hidden="1" x14ac:dyDescent="0.2">
      <c r="A15" s="1">
        <v>1930</v>
      </c>
      <c r="B15" s="2" t="d">
        <v>2030-07-21</v>
      </c>
      <c r="C15" s="1" t="s">
        <v>28</v>
      </c>
      <c r="D15" s="1" t="s">
        <v>29</v>
      </c>
      <c r="E15" s="1" t="s">
        <v>39</v>
      </c>
      <c r="F15" s="1" t="s">
        <v>15</v>
      </c>
      <c r="G15" s="1" t="s">
        <v>16</v>
      </c>
      <c r="H15" s="1" t="s">
        <v>16</v>
      </c>
      <c r="I15" s="1">
        <v>4</v>
      </c>
      <c r="J15" s="1">
        <v>0</v>
      </c>
      <c r="K15" s="1" t="s">
        <v>30</v>
      </c>
      <c r="L15" s="1" t="s">
        <v>19</v>
      </c>
      <c r="M15" s="1" t="str">
        <f t="shared" si="0"/>
        <v xml:space="preserve">1930|47685| 14:50 |Group 3|Estadio Centenario|Montevideo |Uruguay|Uruguay|4|0|Romania| </v>
      </c>
    </row>
    <row r="16" spans="1:14" hidden="1" x14ac:dyDescent="0.2">
      <c r="A16" s="1">
        <v>1930</v>
      </c>
      <c r="B16" s="2" t="d">
        <v>2030-07-22</v>
      </c>
      <c r="C16" s="1" t="s">
        <v>34</v>
      </c>
      <c r="D16" s="1" t="s">
        <v>13</v>
      </c>
      <c r="E16" s="1" t="s">
        <v>39</v>
      </c>
      <c r="F16" s="1" t="s">
        <v>15</v>
      </c>
      <c r="G16" s="1" t="s">
        <v>16</v>
      </c>
      <c r="H16" s="1" t="s">
        <v>33</v>
      </c>
      <c r="I16" s="1">
        <v>3</v>
      </c>
      <c r="J16" s="1">
        <v>1</v>
      </c>
      <c r="K16" s="1" t="s">
        <v>35</v>
      </c>
      <c r="L16" s="1" t="s">
        <v>19</v>
      </c>
      <c r="M16" s="1" t="str">
        <f t="shared" si="0"/>
        <v xml:space="preserve">1930|47686| 14:45 |Group 1|Estadio Centenario|Montevideo |Uruguay|Argentina|3|1|Chile| </v>
      </c>
    </row>
    <row r="17" spans="1:13" hidden="1" x14ac:dyDescent="0.2">
      <c r="A17" s="1">
        <v>1930</v>
      </c>
      <c r="B17" s="2" t="d">
        <v>2030-07-26</v>
      </c>
      <c r="C17" s="1" t="s">
        <v>34</v>
      </c>
      <c r="D17" s="12" t="s">
        <v>42</v>
      </c>
      <c r="E17" s="1" t="s">
        <v>39</v>
      </c>
      <c r="F17" s="1" t="s">
        <v>15</v>
      </c>
      <c r="G17" s="1" t="s">
        <v>16</v>
      </c>
      <c r="H17" s="1" t="s">
        <v>33</v>
      </c>
      <c r="I17" s="1">
        <v>6</v>
      </c>
      <c r="J17" s="1">
        <v>1</v>
      </c>
      <c r="K17" s="1" t="s">
        <v>22</v>
      </c>
      <c r="L17" s="1" t="s">
        <v>19</v>
      </c>
      <c r="M17" s="1" t="str">
        <f t="shared" si="0"/>
        <v xml:space="preserve">1930|47690| 14:45 |Semi-finals|Estadio Centenario|Montevideo |Uruguay|Argentina|6|1|USA| </v>
      </c>
    </row>
    <row r="18" spans="1:13" hidden="1" x14ac:dyDescent="0.2">
      <c r="A18" s="1">
        <v>1930</v>
      </c>
      <c r="B18" s="2" t="d">
        <v>2030-07-27</v>
      </c>
      <c r="C18" s="1" t="s">
        <v>34</v>
      </c>
      <c r="D18" s="12" t="s">
        <v>42</v>
      </c>
      <c r="E18" s="1" t="s">
        <v>39</v>
      </c>
      <c r="F18" s="1" t="s">
        <v>15</v>
      </c>
      <c r="G18" s="1" t="s">
        <v>16</v>
      </c>
      <c r="H18" s="1" t="s">
        <v>16</v>
      </c>
      <c r="I18" s="1">
        <v>6</v>
      </c>
      <c r="J18" s="1">
        <v>1</v>
      </c>
      <c r="K18" s="1" t="s">
        <v>26</v>
      </c>
      <c r="L18" s="1" t="s">
        <v>19</v>
      </c>
      <c r="M18" s="1" t="str">
        <f t="shared" si="0"/>
        <v xml:space="preserve">1930|47691| 14:45 |Semi-finals|Estadio Centenario|Montevideo |Uruguay|Uruguay|6|1|Yugoslavia| </v>
      </c>
    </row>
    <row r="19" spans="1:13" hidden="1" x14ac:dyDescent="0.2">
      <c r="A19" s="1">
        <v>1930</v>
      </c>
      <c r="B19" s="2" t="d">
        <v>2030-07-30</v>
      </c>
      <c r="C19" s="1" t="s">
        <v>43</v>
      </c>
      <c r="D19" s="12" t="s">
        <v>44</v>
      </c>
      <c r="E19" s="1" t="s">
        <v>39</v>
      </c>
      <c r="F19" s="1" t="s">
        <v>15</v>
      </c>
      <c r="G19" s="1" t="s">
        <v>16</v>
      </c>
      <c r="H19" s="1" t="s">
        <v>16</v>
      </c>
      <c r="I19" s="1">
        <v>4</v>
      </c>
      <c r="J19" s="1">
        <v>2</v>
      </c>
      <c r="K19" s="1" t="s">
        <v>33</v>
      </c>
      <c r="L19" s="1" t="s">
        <v>19</v>
      </c>
      <c r="M19" s="1" t="str">
        <f t="shared" si="0"/>
        <v xml:space="preserve">1930|47694| 14:15 |Final|Estadio Centenario|Montevideo |Uruguay|Uruguay|4|2|Argentina| </v>
      </c>
    </row>
    <row r="20" spans="1:13" hidden="1" x14ac:dyDescent="0.2">
      <c r="A20" s="1">
        <v>1934</v>
      </c>
      <c r="B20" s="2" t="d">
        <v>2034-05-27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>
        <v>3</v>
      </c>
      <c r="J20" s="1">
        <v>2</v>
      </c>
      <c r="K20" s="1" t="s">
        <v>17</v>
      </c>
      <c r="L20" s="1" t="s">
        <v>51</v>
      </c>
      <c r="M20" s="1" t="str">
        <f t="shared" si="0"/>
        <v xml:space="preserve">1934|49091| 16:30 |Preliminary round|Stadio Benito Mussolini|Turin |Italy|Austria|3|2|France|Austria win after extra time </v>
      </c>
    </row>
    <row r="21" spans="1:13" hidden="1" x14ac:dyDescent="0.2">
      <c r="A21" s="1">
        <v>1934</v>
      </c>
      <c r="B21" s="2" t="d">
        <v>2034-05-27</v>
      </c>
      <c r="C21" s="1" t="s">
        <v>45</v>
      </c>
      <c r="D21" s="1" t="s">
        <v>46</v>
      </c>
      <c r="E21" s="1" t="s">
        <v>52</v>
      </c>
      <c r="F21" s="1" t="s">
        <v>53</v>
      </c>
      <c r="G21" s="1" t="s">
        <v>49</v>
      </c>
      <c r="H21" s="1" t="s">
        <v>54</v>
      </c>
      <c r="I21" s="1">
        <v>4</v>
      </c>
      <c r="J21" s="1">
        <v>2</v>
      </c>
      <c r="K21" s="1" t="s">
        <v>55</v>
      </c>
      <c r="L21" s="1" t="s">
        <v>19</v>
      </c>
      <c r="M21" s="1" t="str">
        <f t="shared" si="0"/>
        <v xml:space="preserve">1934|49091| 16:30 |Preliminary round|Giorgio Ascarelli|Naples |Italy|Hungary|4|2|Egypt| </v>
      </c>
    </row>
    <row r="22" spans="1:13" hidden="1" x14ac:dyDescent="0.2">
      <c r="A22" s="1">
        <v>1934</v>
      </c>
      <c r="B22" s="2" t="d">
        <v>2034-05-27</v>
      </c>
      <c r="C22" s="1" t="s">
        <v>45</v>
      </c>
      <c r="D22" s="1" t="s">
        <v>46</v>
      </c>
      <c r="E22" s="1" t="s">
        <v>56</v>
      </c>
      <c r="F22" s="1" t="s">
        <v>57</v>
      </c>
      <c r="G22" s="1" t="s">
        <v>49</v>
      </c>
      <c r="H22" s="1" t="s">
        <v>58</v>
      </c>
      <c r="I22" s="1">
        <v>3</v>
      </c>
      <c r="J22" s="1">
        <v>2</v>
      </c>
      <c r="K22" s="1" t="s">
        <v>59</v>
      </c>
      <c r="L22" s="1" t="s">
        <v>19</v>
      </c>
      <c r="M22" s="1" t="str">
        <f t="shared" si="0"/>
        <v xml:space="preserve">1934|49091| 16:30 |Preliminary round|San Siro|Milan |Italy|Switzerland|3|2|Netherlands| </v>
      </c>
    </row>
    <row r="23" spans="1:13" hidden="1" x14ac:dyDescent="0.2">
      <c r="A23" s="1">
        <v>1934</v>
      </c>
      <c r="B23" s="2" t="d">
        <v>2034-05-27</v>
      </c>
      <c r="C23" s="1" t="s">
        <v>45</v>
      </c>
      <c r="D23" s="1" t="s">
        <v>46</v>
      </c>
      <c r="E23" s="1" t="s">
        <v>60</v>
      </c>
      <c r="F23" s="1" t="s">
        <v>61</v>
      </c>
      <c r="G23" s="1" t="s">
        <v>49</v>
      </c>
      <c r="H23" s="1" t="s">
        <v>62</v>
      </c>
      <c r="I23" s="1">
        <v>3</v>
      </c>
      <c r="J23" s="1">
        <v>2</v>
      </c>
      <c r="K23" s="1" t="s">
        <v>33</v>
      </c>
      <c r="L23" s="1" t="s">
        <v>19</v>
      </c>
      <c r="M23" s="1" t="str">
        <f t="shared" si="0"/>
        <v xml:space="preserve">1934|49091| 16:30 |Preliminary round|Littorale|Bologna |Italy|Sweden|3|2|Argentina| </v>
      </c>
    </row>
    <row r="24" spans="1:13" x14ac:dyDescent="0.2">
      <c r="A24" s="1">
        <v>1934</v>
      </c>
      <c r="B24" s="2" t="d">
        <v>2034-05-27</v>
      </c>
      <c r="C24" s="1" t="s">
        <v>45</v>
      </c>
      <c r="D24" s="1" t="s">
        <v>46</v>
      </c>
      <c r="E24" s="1" t="s">
        <v>63</v>
      </c>
      <c r="F24" s="1" t="s">
        <v>64</v>
      </c>
      <c r="G24" s="1" t="s">
        <v>49</v>
      </c>
      <c r="H24" s="1" t="s">
        <v>65</v>
      </c>
      <c r="I24" s="1">
        <v>5</v>
      </c>
      <c r="J24" s="1">
        <v>2</v>
      </c>
      <c r="K24" s="1" t="s">
        <v>23</v>
      </c>
      <c r="L24" s="1" t="s">
        <v>19</v>
      </c>
      <c r="M24" s="1" t="str">
        <f t="shared" si="0"/>
        <v xml:space="preserve">1934|49091| 16:30 |Preliminary round|Giovanni Berta|Florence |Italy|Germany|5|2|Belgium| </v>
      </c>
    </row>
    <row r="25" spans="1:13" hidden="1" x14ac:dyDescent="0.2">
      <c r="A25" s="1">
        <v>1934</v>
      </c>
      <c r="B25" s="2" t="d">
        <v>2034-05-27</v>
      </c>
      <c r="C25" s="1" t="s">
        <v>45</v>
      </c>
      <c r="D25" s="1" t="s">
        <v>46</v>
      </c>
      <c r="E25" s="1" t="s">
        <v>66</v>
      </c>
      <c r="F25" s="1" t="s">
        <v>67</v>
      </c>
      <c r="G25" s="1" t="s">
        <v>49</v>
      </c>
      <c r="H25" s="1" t="s">
        <v>68</v>
      </c>
      <c r="I25" s="1">
        <v>3</v>
      </c>
      <c r="J25" s="1">
        <v>1</v>
      </c>
      <c r="K25" s="1" t="s">
        <v>27</v>
      </c>
      <c r="L25" s="1" t="s">
        <v>19</v>
      </c>
      <c r="M25" s="1" t="str">
        <f t="shared" si="0"/>
        <v xml:space="preserve">1934|49091| 16:30 |Preliminary round|Luigi Ferraris|Genoa |Italy|Spain|3|1|Brazil| </v>
      </c>
    </row>
    <row r="26" spans="1:13" hidden="1" x14ac:dyDescent="0.2">
      <c r="A26" s="1">
        <v>1934</v>
      </c>
      <c r="B26" s="2" t="d">
        <v>2034-05-27</v>
      </c>
      <c r="C26" s="1" t="s">
        <v>45</v>
      </c>
      <c r="D26" s="1" t="s">
        <v>46</v>
      </c>
      <c r="E26" s="1" t="s">
        <v>69</v>
      </c>
      <c r="F26" s="1" t="s">
        <v>70</v>
      </c>
      <c r="G26" s="1" t="s">
        <v>49</v>
      </c>
      <c r="H26" s="1" t="s">
        <v>49</v>
      </c>
      <c r="I26" s="1">
        <v>7</v>
      </c>
      <c r="J26" s="1">
        <v>1</v>
      </c>
      <c r="K26" s="1" t="s">
        <v>22</v>
      </c>
      <c r="L26" s="1" t="s">
        <v>19</v>
      </c>
      <c r="M26" s="1" t="str">
        <f t="shared" si="0"/>
        <v xml:space="preserve">1934|49091| 16:30 |Preliminary round|Nazionale PNF|Rome |Italy|Italy|7|1|USA| </v>
      </c>
    </row>
    <row r="27" spans="1:13" hidden="1" x14ac:dyDescent="0.2">
      <c r="A27" s="1">
        <v>1934</v>
      </c>
      <c r="B27" s="2" t="d">
        <v>2034-05-27</v>
      </c>
      <c r="C27" s="1" t="s">
        <v>45</v>
      </c>
      <c r="D27" s="1" t="s">
        <v>46</v>
      </c>
      <c r="E27" s="1" t="s">
        <v>71</v>
      </c>
      <c r="F27" s="1" t="s">
        <v>72</v>
      </c>
      <c r="G27" s="1" t="s">
        <v>49</v>
      </c>
      <c r="H27" s="1" t="s">
        <v>73</v>
      </c>
      <c r="I27" s="1">
        <v>2</v>
      </c>
      <c r="J27" s="1">
        <v>1</v>
      </c>
      <c r="K27" s="1" t="s">
        <v>30</v>
      </c>
      <c r="L27" s="1" t="s">
        <v>19</v>
      </c>
      <c r="M27" s="1" t="str">
        <f t="shared" si="0"/>
        <v xml:space="preserve">1934|49091| 16:30 |Preliminary round|Littorio|Trieste |Italy|Czechoslovakia|2|1|Romania| </v>
      </c>
    </row>
    <row r="28" spans="1:13" hidden="1" x14ac:dyDescent="0.2">
      <c r="A28" s="1">
        <v>1934</v>
      </c>
      <c r="B28" s="2" t="d">
        <v>2034-05-31</v>
      </c>
      <c r="C28" s="1" t="s">
        <v>45</v>
      </c>
      <c r="D28" s="12" t="s">
        <v>74</v>
      </c>
      <c r="E28" s="1" t="s">
        <v>47</v>
      </c>
      <c r="F28" s="1" t="s">
        <v>48</v>
      </c>
      <c r="G28" s="1" t="s">
        <v>49</v>
      </c>
      <c r="H28" s="1" t="s">
        <v>73</v>
      </c>
      <c r="I28" s="1">
        <v>3</v>
      </c>
      <c r="J28" s="1">
        <v>2</v>
      </c>
      <c r="K28" s="1" t="s">
        <v>58</v>
      </c>
      <c r="L28" s="1" t="s">
        <v>19</v>
      </c>
      <c r="M28" s="1" t="str">
        <f t="shared" si="0"/>
        <v xml:space="preserve">1934|49095| 16:30 |Quarter-finals|Stadio Benito Mussolini|Turin |Italy|Czechoslovakia|3|2|Switzerland| </v>
      </c>
    </row>
    <row r="29" spans="1:13" x14ac:dyDescent="0.2">
      <c r="A29" s="1">
        <v>1934</v>
      </c>
      <c r="B29" s="2" t="d">
        <v>2034-05-31</v>
      </c>
      <c r="C29" s="1" t="s">
        <v>45</v>
      </c>
      <c r="D29" s="12" t="s">
        <v>74</v>
      </c>
      <c r="E29" s="1" t="s">
        <v>56</v>
      </c>
      <c r="F29" s="1" t="s">
        <v>57</v>
      </c>
      <c r="G29" s="1" t="s">
        <v>49</v>
      </c>
      <c r="H29" s="1" t="s">
        <v>65</v>
      </c>
      <c r="I29" s="1">
        <v>2</v>
      </c>
      <c r="J29" s="1">
        <v>1</v>
      </c>
      <c r="K29" s="1" t="s">
        <v>62</v>
      </c>
      <c r="L29" s="1" t="s">
        <v>19</v>
      </c>
      <c r="M29" s="1" t="str">
        <f t="shared" si="0"/>
        <v xml:space="preserve">1934|49095| 16:30 |Quarter-finals|San Siro|Milan |Italy|Germany|2|1|Sweden| </v>
      </c>
    </row>
    <row r="30" spans="1:13" hidden="1" x14ac:dyDescent="0.2">
      <c r="A30" s="1">
        <v>1934</v>
      </c>
      <c r="B30" s="2" t="d">
        <v>2034-05-31</v>
      </c>
      <c r="C30" s="1" t="s">
        <v>45</v>
      </c>
      <c r="D30" s="12" t="s">
        <v>74</v>
      </c>
      <c r="E30" s="1" t="s">
        <v>63</v>
      </c>
      <c r="F30" s="1" t="s">
        <v>64</v>
      </c>
      <c r="G30" s="1" t="s">
        <v>49</v>
      </c>
      <c r="H30" s="1" t="s">
        <v>49</v>
      </c>
      <c r="I30" s="1">
        <v>1</v>
      </c>
      <c r="J30" s="1">
        <v>1</v>
      </c>
      <c r="K30" s="1" t="s">
        <v>68</v>
      </c>
      <c r="L30" s="1" t="s">
        <v>19</v>
      </c>
      <c r="M30" s="1" t="str">
        <f t="shared" si="0"/>
        <v xml:space="preserve">1934|49095| 16:30 |Quarter-finals|Giovanni Berta|Florence |Italy|Italy|1|1|Spain| </v>
      </c>
    </row>
    <row r="31" spans="1:13" hidden="1" x14ac:dyDescent="0.2">
      <c r="A31" s="1">
        <v>1934</v>
      </c>
      <c r="B31" s="2" t="d">
        <v>2034-05-31</v>
      </c>
      <c r="C31" s="1" t="s">
        <v>45</v>
      </c>
      <c r="D31" s="12" t="s">
        <v>74</v>
      </c>
      <c r="E31" s="1" t="s">
        <v>60</v>
      </c>
      <c r="F31" s="1" t="s">
        <v>61</v>
      </c>
      <c r="G31" s="1" t="s">
        <v>49</v>
      </c>
      <c r="H31" s="1" t="s">
        <v>50</v>
      </c>
      <c r="I31" s="1">
        <v>2</v>
      </c>
      <c r="J31" s="1">
        <v>1</v>
      </c>
      <c r="K31" s="1" t="s">
        <v>54</v>
      </c>
      <c r="L31" s="1" t="s">
        <v>19</v>
      </c>
      <c r="M31" s="1" t="str">
        <f t="shared" si="0"/>
        <v xml:space="preserve">1934|49095| 16:30 |Quarter-finals|Littorale|Bologna |Italy|Austria|2|1|Hungary| </v>
      </c>
    </row>
    <row r="32" spans="1:13" hidden="1" x14ac:dyDescent="0.2">
      <c r="A32" s="1">
        <v>1934</v>
      </c>
      <c r="B32" s="2" t="d">
        <v>2034-06-01</v>
      </c>
      <c r="C32" s="1" t="s">
        <v>45</v>
      </c>
      <c r="D32" s="12" t="s">
        <v>74</v>
      </c>
      <c r="E32" s="1" t="s">
        <v>63</v>
      </c>
      <c r="F32" s="1" t="s">
        <v>64</v>
      </c>
      <c r="G32" s="1" t="s">
        <v>49</v>
      </c>
      <c r="H32" s="1" t="s">
        <v>49</v>
      </c>
      <c r="I32" s="1">
        <v>1</v>
      </c>
      <c r="J32" s="1">
        <v>0</v>
      </c>
      <c r="K32" s="1" t="s">
        <v>68</v>
      </c>
      <c r="L32" s="1" t="s">
        <v>19</v>
      </c>
      <c r="M32" s="1" t="str">
        <f t="shared" si="0"/>
        <v xml:space="preserve">1934|49096| 16:30 |Quarter-finals|Giovanni Berta|Florence |Italy|Italy|1|0|Spain| </v>
      </c>
    </row>
    <row r="33" spans="1:13" hidden="1" x14ac:dyDescent="0.2">
      <c r="A33" s="1">
        <v>1934</v>
      </c>
      <c r="B33" s="2" t="d">
        <v>2034-06-03</v>
      </c>
      <c r="C33" s="1" t="s">
        <v>45</v>
      </c>
      <c r="D33" s="12" t="s">
        <v>42</v>
      </c>
      <c r="E33" s="1" t="s">
        <v>56</v>
      </c>
      <c r="F33" s="1" t="s">
        <v>57</v>
      </c>
      <c r="G33" s="1" t="s">
        <v>49</v>
      </c>
      <c r="H33" s="1" t="s">
        <v>49</v>
      </c>
      <c r="I33" s="1">
        <v>1</v>
      </c>
      <c r="J33" s="1">
        <v>0</v>
      </c>
      <c r="K33" s="1" t="s">
        <v>50</v>
      </c>
      <c r="L33" s="1" t="s">
        <v>19</v>
      </c>
      <c r="M33" s="1" t="str">
        <f t="shared" si="0"/>
        <v xml:space="preserve">1934|49098| 16:30 |Semi-finals|San Siro|Milan |Italy|Italy|1|0|Austria| </v>
      </c>
    </row>
    <row r="34" spans="1:13" hidden="1" x14ac:dyDescent="0.2">
      <c r="A34" s="1">
        <v>1934</v>
      </c>
      <c r="B34" s="2" t="d">
        <v>2034-06-03</v>
      </c>
      <c r="C34" s="1" t="s">
        <v>45</v>
      </c>
      <c r="D34" s="12" t="s">
        <v>42</v>
      </c>
      <c r="E34" s="1" t="s">
        <v>69</v>
      </c>
      <c r="F34" s="1" t="s">
        <v>70</v>
      </c>
      <c r="G34" s="1" t="s">
        <v>49</v>
      </c>
      <c r="H34" s="1" t="s">
        <v>73</v>
      </c>
      <c r="I34" s="1">
        <v>3</v>
      </c>
      <c r="J34" s="1">
        <v>1</v>
      </c>
      <c r="K34" s="1" t="s">
        <v>65</v>
      </c>
      <c r="L34" s="1" t="s">
        <v>19</v>
      </c>
      <c r="M34" s="1" t="str">
        <f t="shared" si="0"/>
        <v xml:space="preserve">1934|49098| 16:30 |Semi-finals|Nazionale PNF|Rome |Italy|Czechoslovakia|3|1|Germany| </v>
      </c>
    </row>
    <row r="35" spans="1:13" x14ac:dyDescent="0.2">
      <c r="A35" s="1">
        <v>1934</v>
      </c>
      <c r="B35" s="2" t="d">
        <v>2034-06-07</v>
      </c>
      <c r="C35" s="1" t="s">
        <v>75</v>
      </c>
      <c r="D35" s="12" t="s">
        <v>76</v>
      </c>
      <c r="E35" s="1" t="s">
        <v>52</v>
      </c>
      <c r="F35" s="1" t="s">
        <v>53</v>
      </c>
      <c r="G35" s="1" t="s">
        <v>49</v>
      </c>
      <c r="H35" s="1" t="s">
        <v>65</v>
      </c>
      <c r="I35" s="1">
        <v>3</v>
      </c>
      <c r="J35" s="1">
        <v>2</v>
      </c>
      <c r="K35" s="1" t="s">
        <v>50</v>
      </c>
      <c r="L35" s="1" t="s">
        <v>19</v>
      </c>
      <c r="M35" s="1" t="str">
        <f t="shared" si="0"/>
        <v xml:space="preserve">1934|49102| 18:00 |Match for third place|Giorgio Ascarelli|Naples |Italy|Germany|3|2|Austria| </v>
      </c>
    </row>
    <row r="36" spans="1:13" hidden="1" x14ac:dyDescent="0.2">
      <c r="A36" s="1">
        <v>1934</v>
      </c>
      <c r="B36" s="2" t="d">
        <v>2034-06-10</v>
      </c>
      <c r="C36" s="1" t="s">
        <v>77</v>
      </c>
      <c r="D36" s="12" t="s">
        <v>44</v>
      </c>
      <c r="E36" s="1" t="s">
        <v>69</v>
      </c>
      <c r="F36" s="1" t="s">
        <v>70</v>
      </c>
      <c r="G36" s="1" t="s">
        <v>49</v>
      </c>
      <c r="H36" s="1" t="s">
        <v>49</v>
      </c>
      <c r="I36" s="1">
        <v>2</v>
      </c>
      <c r="J36" s="1">
        <v>1</v>
      </c>
      <c r="K36" s="1" t="s">
        <v>73</v>
      </c>
      <c r="L36" s="1" t="s">
        <v>78</v>
      </c>
      <c r="M36" s="1" t="str">
        <f t="shared" si="0"/>
        <v xml:space="preserve">1934|49105| 17:30 |Final|Nazionale PNF|Rome |Italy|Italy|2|1|Czechoslovakia|Italy win after extra time </v>
      </c>
    </row>
    <row r="37" spans="1:13" hidden="1" x14ac:dyDescent="0.2">
      <c r="A37" s="1">
        <v>1938</v>
      </c>
      <c r="B37" s="2" t="d">
        <v>2038-06-04</v>
      </c>
      <c r="C37" s="1" t="s">
        <v>79</v>
      </c>
      <c r="D37" s="1" t="s">
        <v>80</v>
      </c>
      <c r="E37" s="1" t="s">
        <v>81</v>
      </c>
      <c r="F37" s="1" t="s">
        <v>82</v>
      </c>
      <c r="G37" s="1" t="s">
        <v>17</v>
      </c>
      <c r="H37" s="1" t="s">
        <v>58</v>
      </c>
      <c r="I37" s="1">
        <v>1</v>
      </c>
      <c r="J37" s="1">
        <v>1</v>
      </c>
      <c r="K37" s="1" t="s">
        <v>65</v>
      </c>
      <c r="L37" s="1" t="s">
        <v>19</v>
      </c>
      <c r="M37" s="1" t="str">
        <f t="shared" si="0"/>
        <v xml:space="preserve">1938|50560| 17:00 |First round|Parc des Princes|Paris |France|Switzerland|1|1|Germany| </v>
      </c>
    </row>
    <row r="38" spans="1:13" hidden="1" x14ac:dyDescent="0.2">
      <c r="A38" s="1">
        <v>1938</v>
      </c>
      <c r="B38" s="2" t="d">
        <v>2038-06-05</v>
      </c>
      <c r="C38" s="1" t="s">
        <v>79</v>
      </c>
      <c r="D38" s="1" t="s">
        <v>80</v>
      </c>
      <c r="E38" s="1" t="s">
        <v>83</v>
      </c>
      <c r="F38" s="1" t="s">
        <v>84</v>
      </c>
      <c r="G38" s="1" t="s">
        <v>17</v>
      </c>
      <c r="H38" s="1" t="s">
        <v>54</v>
      </c>
      <c r="I38" s="1">
        <v>6</v>
      </c>
      <c r="J38" s="1">
        <v>0</v>
      </c>
      <c r="K38" s="1" t="s">
        <v>85</v>
      </c>
      <c r="L38" s="1" t="s">
        <v>19</v>
      </c>
      <c r="M38" s="1" t="str">
        <f t="shared" si="0"/>
        <v xml:space="preserve">1938|50561| 17:00 |First round|Velodrome Municipale|Reims |France|Hungary|6|0|Dutch East Indies| </v>
      </c>
    </row>
    <row r="39" spans="1:13" hidden="1" x14ac:dyDescent="0.2">
      <c r="A39" s="1">
        <v>1938</v>
      </c>
      <c r="B39" s="2" t="d">
        <v>2038-06-05</v>
      </c>
      <c r="C39" s="1" t="s">
        <v>79</v>
      </c>
      <c r="D39" s="1" t="s">
        <v>80</v>
      </c>
      <c r="E39" s="1" t="s">
        <v>86</v>
      </c>
      <c r="F39" s="1" t="s">
        <v>87</v>
      </c>
      <c r="G39" s="1" t="s">
        <v>17</v>
      </c>
      <c r="H39" s="1" t="s">
        <v>17</v>
      </c>
      <c r="I39" s="1">
        <v>3</v>
      </c>
      <c r="J39" s="1">
        <v>1</v>
      </c>
      <c r="K39" s="1" t="s">
        <v>23</v>
      </c>
      <c r="L39" s="1" t="s">
        <v>19</v>
      </c>
      <c r="M39" s="1" t="str">
        <f t="shared" si="0"/>
        <v xml:space="preserve">1938|50561| 17:00 |First round|Stade Olympique|Colombes |France|France|3|1|Belgium| </v>
      </c>
    </row>
    <row r="40" spans="1:13" hidden="1" x14ac:dyDescent="0.2">
      <c r="A40" s="1">
        <v>1938</v>
      </c>
      <c r="B40" s="2" t="d">
        <v>2038-06-05</v>
      </c>
      <c r="C40" s="1" t="s">
        <v>79</v>
      </c>
      <c r="D40" s="1" t="s">
        <v>80</v>
      </c>
      <c r="E40" s="1" t="s">
        <v>88</v>
      </c>
      <c r="F40" s="1" t="s">
        <v>89</v>
      </c>
      <c r="G40" s="1" t="s">
        <v>17</v>
      </c>
      <c r="H40" s="1" t="s">
        <v>90</v>
      </c>
      <c r="I40" s="1">
        <v>3</v>
      </c>
      <c r="J40" s="1">
        <v>3</v>
      </c>
      <c r="K40" s="1" t="s">
        <v>30</v>
      </c>
      <c r="L40" s="1" t="s">
        <v>19</v>
      </c>
      <c r="M40" s="1" t="str">
        <f t="shared" si="0"/>
        <v xml:space="preserve">1938|50561| 17:00 |First round|Stade Municipal|Toulouse |France|Cuba|3|3|Romania| </v>
      </c>
    </row>
    <row r="41" spans="1:13" hidden="1" x14ac:dyDescent="0.2">
      <c r="A41" s="1">
        <v>1938</v>
      </c>
      <c r="B41" s="2" t="d">
        <v>2038-06-05</v>
      </c>
      <c r="C41" s="1" t="s">
        <v>79</v>
      </c>
      <c r="D41" s="1" t="s">
        <v>80</v>
      </c>
      <c r="E41" s="1" t="s">
        <v>91</v>
      </c>
      <c r="F41" s="1" t="s">
        <v>92</v>
      </c>
      <c r="G41" s="1" t="s">
        <v>17</v>
      </c>
      <c r="H41" s="1" t="s">
        <v>49</v>
      </c>
      <c r="I41" s="1">
        <v>2</v>
      </c>
      <c r="J41" s="1">
        <v>1</v>
      </c>
      <c r="K41" s="1" t="s">
        <v>93</v>
      </c>
      <c r="L41" s="1" t="s">
        <v>78</v>
      </c>
      <c r="M41" s="1" t="str">
        <f t="shared" si="0"/>
        <v xml:space="preserve">1938|50561| 17:00 |First round|Stade Vï¿½lodrome|Marseilles |France|Italy|2|1|Norway|Italy win after extra time </v>
      </c>
    </row>
    <row r="42" spans="1:13" hidden="1" x14ac:dyDescent="0.2">
      <c r="A42" s="1">
        <v>1938</v>
      </c>
      <c r="B42" s="2" t="d">
        <v>2038-06-05</v>
      </c>
      <c r="C42" s="1" t="s">
        <v>77</v>
      </c>
      <c r="D42" s="1" t="s">
        <v>80</v>
      </c>
      <c r="E42" s="1" t="s">
        <v>94</v>
      </c>
      <c r="F42" s="1" t="s">
        <v>95</v>
      </c>
      <c r="G42" s="1" t="s">
        <v>17</v>
      </c>
      <c r="H42" s="1" t="s">
        <v>27</v>
      </c>
      <c r="I42" s="1">
        <v>6</v>
      </c>
      <c r="J42" s="1">
        <v>5</v>
      </c>
      <c r="K42" s="1" t="s">
        <v>96</v>
      </c>
      <c r="L42" s="1" t="s">
        <v>97</v>
      </c>
      <c r="M42" s="1" t="str">
        <f t="shared" si="0"/>
        <v xml:space="preserve">1938|50561| 17:30 |First round|Stade de la Meinau|Strasbourg |France|Brazil|6|5|Poland|Brazil win after extra time </v>
      </c>
    </row>
    <row r="43" spans="1:13" hidden="1" x14ac:dyDescent="0.2">
      <c r="A43" s="1">
        <v>1938</v>
      </c>
      <c r="B43" s="2" t="d">
        <v>2038-06-05</v>
      </c>
      <c r="C43" s="1" t="s">
        <v>98</v>
      </c>
      <c r="D43" s="1" t="s">
        <v>80</v>
      </c>
      <c r="E43" s="1" t="s">
        <v>99</v>
      </c>
      <c r="F43" s="1" t="s">
        <v>100</v>
      </c>
      <c r="G43" s="1" t="s">
        <v>17</v>
      </c>
      <c r="H43" s="1" t="s">
        <v>73</v>
      </c>
      <c r="I43" s="1">
        <v>3</v>
      </c>
      <c r="J43" s="1">
        <v>0</v>
      </c>
      <c r="K43" s="1" t="s">
        <v>59</v>
      </c>
      <c r="L43" s="1" t="s">
        <v>101</v>
      </c>
      <c r="M43" s="1" t="str">
        <f t="shared" si="0"/>
        <v xml:space="preserve">1938|50561| 18:30 |First round|Cavee Verte|Le Havre |France|Czechoslovakia|3|0|Netherlands|Czechoslovakia win after extra time </v>
      </c>
    </row>
    <row r="44" spans="1:13" hidden="1" x14ac:dyDescent="0.2">
      <c r="A44" s="1">
        <v>1938</v>
      </c>
      <c r="B44" s="2" t="d">
        <v>2038-06-09</v>
      </c>
      <c r="C44" s="1" t="s">
        <v>75</v>
      </c>
      <c r="D44" s="1" t="s">
        <v>80</v>
      </c>
      <c r="E44" s="1" t="s">
        <v>88</v>
      </c>
      <c r="F44" s="1" t="s">
        <v>89</v>
      </c>
      <c r="G44" s="1" t="s">
        <v>17</v>
      </c>
      <c r="H44" s="1" t="s">
        <v>90</v>
      </c>
      <c r="I44" s="1">
        <v>2</v>
      </c>
      <c r="J44" s="1">
        <v>1</v>
      </c>
      <c r="K44" s="1" t="s">
        <v>30</v>
      </c>
      <c r="L44" s="1" t="s">
        <v>19</v>
      </c>
      <c r="M44" s="1" t="str">
        <f t="shared" si="0"/>
        <v xml:space="preserve">1938|50565| 18:00 |First round|Stade Municipal|Toulouse |France|Cuba|2|1|Romania| </v>
      </c>
    </row>
    <row r="45" spans="1:13" hidden="1" x14ac:dyDescent="0.2">
      <c r="A45" s="1">
        <v>1938</v>
      </c>
      <c r="B45" s="2" t="d">
        <v>2038-06-09</v>
      </c>
      <c r="C45" s="1" t="s">
        <v>75</v>
      </c>
      <c r="D45" s="1" t="s">
        <v>80</v>
      </c>
      <c r="E45" s="1" t="s">
        <v>81</v>
      </c>
      <c r="F45" s="1" t="s">
        <v>82</v>
      </c>
      <c r="G45" s="1" t="s">
        <v>17</v>
      </c>
      <c r="H45" s="1" t="s">
        <v>58</v>
      </c>
      <c r="I45" s="1">
        <v>4</v>
      </c>
      <c r="J45" s="1">
        <v>2</v>
      </c>
      <c r="K45" s="1" t="s">
        <v>65</v>
      </c>
      <c r="L45" s="1" t="s">
        <v>19</v>
      </c>
      <c r="M45" s="1" t="str">
        <f t="shared" si="0"/>
        <v xml:space="preserve">1938|50565| 18:00 |First round|Parc des Princes|Paris |France|Switzerland|4|2|Germany| </v>
      </c>
    </row>
    <row r="46" spans="1:13" hidden="1" x14ac:dyDescent="0.2">
      <c r="A46" s="1">
        <v>1938</v>
      </c>
      <c r="B46" s="2" t="d">
        <v>2038-06-12</v>
      </c>
      <c r="C46" s="1" t="s">
        <v>79</v>
      </c>
      <c r="D46" s="12" t="s">
        <v>74</v>
      </c>
      <c r="E46" s="1" t="s">
        <v>102</v>
      </c>
      <c r="F46" s="1" t="s">
        <v>103</v>
      </c>
      <c r="G46" s="1" t="s">
        <v>17</v>
      </c>
      <c r="H46" s="1" t="s">
        <v>27</v>
      </c>
      <c r="I46" s="1">
        <v>1</v>
      </c>
      <c r="J46" s="1">
        <v>1</v>
      </c>
      <c r="K46" s="1" t="s">
        <v>73</v>
      </c>
      <c r="L46" s="1" t="s">
        <v>19</v>
      </c>
      <c r="M46" s="1" t="str">
        <f t="shared" si="0"/>
        <v xml:space="preserve">1938|50568| 17:00 |Quarter-finals|Stade du Parc Lescure|Bordeaux |France|Brazil|1|1|Czechoslovakia| </v>
      </c>
    </row>
    <row r="47" spans="1:13" hidden="1" x14ac:dyDescent="0.2">
      <c r="A47" s="1">
        <v>1938</v>
      </c>
      <c r="B47" s="2" t="d">
        <v>2038-06-12</v>
      </c>
      <c r="C47" s="1" t="s">
        <v>79</v>
      </c>
      <c r="D47" s="12" t="s">
        <v>74</v>
      </c>
      <c r="E47" s="1" t="s">
        <v>104</v>
      </c>
      <c r="F47" s="1" t="s">
        <v>105</v>
      </c>
      <c r="G47" s="1" t="s">
        <v>17</v>
      </c>
      <c r="H47" s="1" t="s">
        <v>54</v>
      </c>
      <c r="I47" s="1">
        <v>2</v>
      </c>
      <c r="J47" s="1">
        <v>0</v>
      </c>
      <c r="K47" s="1" t="s">
        <v>58</v>
      </c>
      <c r="L47" s="1" t="s">
        <v>19</v>
      </c>
      <c r="M47" s="1" t="str">
        <f t="shared" si="0"/>
        <v xml:space="preserve">1938|50568| 17:00 |Quarter-finals|Victor Boucquey|Lille |France|Hungary|2|0|Switzerland| </v>
      </c>
    </row>
    <row r="48" spans="1:13" hidden="1" x14ac:dyDescent="0.2">
      <c r="A48" s="1">
        <v>1938</v>
      </c>
      <c r="B48" s="2" t="d">
        <v>2038-06-12</v>
      </c>
      <c r="C48" s="1" t="s">
        <v>79</v>
      </c>
      <c r="D48" s="12" t="s">
        <v>74</v>
      </c>
      <c r="E48" s="1" t="s">
        <v>106</v>
      </c>
      <c r="F48" s="1" t="s">
        <v>107</v>
      </c>
      <c r="G48" s="1" t="s">
        <v>17</v>
      </c>
      <c r="H48" s="1" t="s">
        <v>62</v>
      </c>
      <c r="I48" s="1">
        <v>8</v>
      </c>
      <c r="J48" s="1">
        <v>0</v>
      </c>
      <c r="K48" s="1" t="s">
        <v>90</v>
      </c>
      <c r="L48" s="1" t="s">
        <v>19</v>
      </c>
      <c r="M48" s="1" t="str">
        <f t="shared" si="0"/>
        <v xml:space="preserve">1938|50568| 17:00 |Quarter-finals|Fort Carree|Antibes |France|Sweden|8|0|Cuba| </v>
      </c>
    </row>
    <row r="49" spans="1:13" hidden="1" x14ac:dyDescent="0.2">
      <c r="A49" s="1">
        <v>1938</v>
      </c>
      <c r="B49" s="2" t="d">
        <v>2038-06-12</v>
      </c>
      <c r="C49" s="1" t="s">
        <v>79</v>
      </c>
      <c r="D49" s="12" t="s">
        <v>74</v>
      </c>
      <c r="E49" s="1" t="s">
        <v>86</v>
      </c>
      <c r="F49" s="1" t="s">
        <v>87</v>
      </c>
      <c r="G49" s="1" t="s">
        <v>17</v>
      </c>
      <c r="H49" s="1" t="s">
        <v>49</v>
      </c>
      <c r="I49" s="1">
        <v>3</v>
      </c>
      <c r="J49" s="1">
        <v>1</v>
      </c>
      <c r="K49" s="1" t="s">
        <v>17</v>
      </c>
      <c r="L49" s="1" t="s">
        <v>19</v>
      </c>
      <c r="M49" s="1" t="str">
        <f t="shared" si="0"/>
        <v xml:space="preserve">1938|50568| 17:00 |Quarter-finals|Stade Olympique|Colombes |France|Italy|3|1|France| </v>
      </c>
    </row>
    <row r="50" spans="1:13" hidden="1" x14ac:dyDescent="0.2">
      <c r="A50" s="1">
        <v>1938</v>
      </c>
      <c r="B50" s="2" t="d">
        <v>2038-06-14</v>
      </c>
      <c r="C50" s="1" t="s">
        <v>75</v>
      </c>
      <c r="D50" s="12" t="s">
        <v>74</v>
      </c>
      <c r="E50" s="1" t="s">
        <v>102</v>
      </c>
      <c r="F50" s="1" t="s">
        <v>103</v>
      </c>
      <c r="G50" s="1" t="s">
        <v>17</v>
      </c>
      <c r="H50" s="1" t="s">
        <v>27</v>
      </c>
      <c r="I50" s="1">
        <v>2</v>
      </c>
      <c r="J50" s="1">
        <v>1</v>
      </c>
      <c r="K50" s="1" t="s">
        <v>73</v>
      </c>
      <c r="L50" s="1" t="s">
        <v>19</v>
      </c>
      <c r="M50" s="1" t="str">
        <f t="shared" si="0"/>
        <v xml:space="preserve">1938|50570| 18:00 |Quarter-finals|Stade du Parc Lescure|Bordeaux |France|Brazil|2|1|Czechoslovakia| </v>
      </c>
    </row>
    <row r="51" spans="1:13" hidden="1" x14ac:dyDescent="0.2">
      <c r="A51" s="1">
        <v>1938</v>
      </c>
      <c r="B51" s="2" t="d">
        <v>2038-06-16</v>
      </c>
      <c r="C51" s="1" t="s">
        <v>75</v>
      </c>
      <c r="D51" s="12" t="s">
        <v>42</v>
      </c>
      <c r="E51" s="1" t="s">
        <v>81</v>
      </c>
      <c r="F51" s="1" t="s">
        <v>82</v>
      </c>
      <c r="G51" s="1" t="s">
        <v>17</v>
      </c>
      <c r="H51" s="1" t="s">
        <v>54</v>
      </c>
      <c r="I51" s="1">
        <v>5</v>
      </c>
      <c r="J51" s="1">
        <v>1</v>
      </c>
      <c r="K51" s="1" t="s">
        <v>62</v>
      </c>
      <c r="L51" s="1" t="s">
        <v>19</v>
      </c>
      <c r="M51" s="1" t="str">
        <f t="shared" si="0"/>
        <v xml:space="preserve">1938|50572| 18:00 |Semi-finals|Parc des Princes|Paris |France|Hungary|5|1|Sweden| </v>
      </c>
    </row>
    <row r="52" spans="1:13" hidden="1" x14ac:dyDescent="0.2">
      <c r="A52" s="1">
        <v>1938</v>
      </c>
      <c r="B52" s="2" t="d">
        <v>2038-06-16</v>
      </c>
      <c r="C52" s="1" t="s">
        <v>75</v>
      </c>
      <c r="D52" s="12" t="s">
        <v>42</v>
      </c>
      <c r="E52" s="1" t="s">
        <v>91</v>
      </c>
      <c r="F52" s="1" t="s">
        <v>92</v>
      </c>
      <c r="G52" s="1" t="s">
        <v>17</v>
      </c>
      <c r="H52" s="1" t="s">
        <v>49</v>
      </c>
      <c r="I52" s="1">
        <v>2</v>
      </c>
      <c r="J52" s="1">
        <v>1</v>
      </c>
      <c r="K52" s="1" t="s">
        <v>27</v>
      </c>
      <c r="L52" s="1" t="s">
        <v>19</v>
      </c>
      <c r="M52" s="1" t="str">
        <f t="shared" si="0"/>
        <v xml:space="preserve">1938|50572| 18:00 |Semi-finals|Stade Vï¿½lodrome|Marseilles |France|Italy|2|1|Brazil| </v>
      </c>
    </row>
    <row r="53" spans="1:13" hidden="1" x14ac:dyDescent="0.2">
      <c r="A53" s="1">
        <v>1938</v>
      </c>
      <c r="B53" s="2" t="d">
        <v>2038-06-19</v>
      </c>
      <c r="C53" s="1" t="s">
        <v>79</v>
      </c>
      <c r="D53" s="12" t="s">
        <v>76</v>
      </c>
      <c r="E53" s="1" t="s">
        <v>102</v>
      </c>
      <c r="F53" s="1" t="s">
        <v>103</v>
      </c>
      <c r="G53" s="1" t="s">
        <v>17</v>
      </c>
      <c r="H53" s="1" t="s">
        <v>27</v>
      </c>
      <c r="I53" s="1">
        <v>4</v>
      </c>
      <c r="J53" s="1">
        <v>2</v>
      </c>
      <c r="K53" s="1" t="s">
        <v>62</v>
      </c>
      <c r="L53" s="1" t="s">
        <v>19</v>
      </c>
      <c r="M53" s="1" t="str">
        <f t="shared" si="0"/>
        <v xml:space="preserve">1938|50575| 17:00 |Match for third place|Stade du Parc Lescure|Bordeaux |France|Brazil|4|2|Sweden| </v>
      </c>
    </row>
    <row r="54" spans="1:13" hidden="1" x14ac:dyDescent="0.2">
      <c r="A54" s="1">
        <v>1938</v>
      </c>
      <c r="B54" s="2" t="d">
        <v>2038-06-19</v>
      </c>
      <c r="C54" s="1" t="s">
        <v>79</v>
      </c>
      <c r="D54" s="12" t="s">
        <v>44</v>
      </c>
      <c r="E54" s="1" t="s">
        <v>86</v>
      </c>
      <c r="F54" s="1" t="s">
        <v>87</v>
      </c>
      <c r="G54" s="1" t="s">
        <v>17</v>
      </c>
      <c r="H54" s="1" t="s">
        <v>49</v>
      </c>
      <c r="I54" s="1">
        <v>4</v>
      </c>
      <c r="J54" s="1">
        <v>2</v>
      </c>
      <c r="K54" s="1" t="s">
        <v>54</v>
      </c>
      <c r="L54" s="1" t="s">
        <v>19</v>
      </c>
      <c r="M54" s="1" t="str">
        <f t="shared" si="0"/>
        <v xml:space="preserve">1938|50575| 17:00 |Final|Stade Olympique|Colombes |France|Italy|4|2|Hungary| </v>
      </c>
    </row>
    <row r="55" spans="1:13" hidden="1" x14ac:dyDescent="0.2">
      <c r="A55" s="1">
        <v>1950</v>
      </c>
      <c r="B55" s="2" t="d">
        <v>1950-06-24</v>
      </c>
      <c r="C55" s="1" t="s">
        <v>12</v>
      </c>
      <c r="D55" s="1" t="s">
        <v>13</v>
      </c>
      <c r="E55" s="1" t="s">
        <v>108</v>
      </c>
      <c r="F55" s="1" t="s">
        <v>109</v>
      </c>
      <c r="G55" s="1" t="s">
        <v>27</v>
      </c>
      <c r="H55" s="1" t="s">
        <v>27</v>
      </c>
      <c r="I55" s="1">
        <v>4</v>
      </c>
      <c r="J55" s="1">
        <v>0</v>
      </c>
      <c r="K55" s="1" t="s">
        <v>18</v>
      </c>
      <c r="L55" s="1" t="s">
        <v>19</v>
      </c>
      <c r="M55" s="1" t="str">
        <f t="shared" si="0"/>
        <v xml:space="preserve">1950|18438| 15:00 |Group 1|Maracanï¿½ - Estï¿½dio Jornalista Mï¿½rio Filho|Rio De Janeiro |Brazil|Brazil|4|0|Mexico| </v>
      </c>
    </row>
    <row r="56" spans="1:13" hidden="1" x14ac:dyDescent="0.2">
      <c r="A56" s="1">
        <v>1950</v>
      </c>
      <c r="B56" s="2" t="d">
        <v>1950-06-25</v>
      </c>
      <c r="C56" s="1" t="s">
        <v>12</v>
      </c>
      <c r="D56" s="1" t="s">
        <v>25</v>
      </c>
      <c r="E56" s="1" t="s">
        <v>108</v>
      </c>
      <c r="F56" s="1" t="s">
        <v>109</v>
      </c>
      <c r="G56" s="1" t="s">
        <v>27</v>
      </c>
      <c r="H56" s="1" t="s">
        <v>110</v>
      </c>
      <c r="I56" s="1">
        <v>2</v>
      </c>
      <c r="J56" s="1">
        <v>0</v>
      </c>
      <c r="K56" s="1" t="s">
        <v>35</v>
      </c>
      <c r="L56" s="1" t="s">
        <v>19</v>
      </c>
      <c r="M56" s="1" t="str">
        <f t="shared" si="0"/>
        <v xml:space="preserve">1950|18439| 15:00 |Group 2|Maracanï¿½ - Estï¿½dio Jornalista Mï¿½rio Filho|Rio De Janeiro |Brazil|England|2|0|Chile| </v>
      </c>
    </row>
    <row r="57" spans="1:13" hidden="1" x14ac:dyDescent="0.2">
      <c r="A57" s="1">
        <v>1950</v>
      </c>
      <c r="B57" s="2" t="d">
        <v>1950-06-25</v>
      </c>
      <c r="C57" s="1" t="s">
        <v>12</v>
      </c>
      <c r="D57" s="1" t="s">
        <v>25</v>
      </c>
      <c r="E57" s="1" t="s">
        <v>111</v>
      </c>
      <c r="F57" s="1" t="s">
        <v>112</v>
      </c>
      <c r="G57" s="1" t="s">
        <v>27</v>
      </c>
      <c r="H57" s="1" t="s">
        <v>68</v>
      </c>
      <c r="I57" s="1">
        <v>3</v>
      </c>
      <c r="J57" s="1">
        <v>1</v>
      </c>
      <c r="K57" s="1" t="s">
        <v>22</v>
      </c>
      <c r="L57" s="1" t="s">
        <v>19</v>
      </c>
      <c r="M57" s="1" t="str">
        <f t="shared" si="0"/>
        <v xml:space="preserve">1950|18439| 15:00 |Group 2|Durival de Brito|Curitiba |Brazil|Spain|3|1|USA| </v>
      </c>
    </row>
    <row r="58" spans="1:13" hidden="1" x14ac:dyDescent="0.2">
      <c r="A58" s="1">
        <v>1950</v>
      </c>
      <c r="B58" s="2" t="d">
        <v>1950-06-25</v>
      </c>
      <c r="C58" s="1" t="s">
        <v>12</v>
      </c>
      <c r="D58" s="1" t="s">
        <v>29</v>
      </c>
      <c r="E58" s="1" t="s">
        <v>113</v>
      </c>
      <c r="F58" s="1" t="s">
        <v>114</v>
      </c>
      <c r="G58" s="1" t="s">
        <v>27</v>
      </c>
      <c r="H58" s="1" t="s">
        <v>62</v>
      </c>
      <c r="I58" s="1">
        <v>3</v>
      </c>
      <c r="J58" s="1">
        <v>2</v>
      </c>
      <c r="K58" s="1" t="s">
        <v>49</v>
      </c>
      <c r="L58" s="1" t="s">
        <v>19</v>
      </c>
      <c r="M58" s="1" t="str">
        <f t="shared" si="0"/>
        <v xml:space="preserve">1950|18439| 15:00 |Group 3|Pacaembu|Sao Paulo |Brazil|Sweden|3|2|Italy| </v>
      </c>
    </row>
    <row r="59" spans="1:13" hidden="1" x14ac:dyDescent="0.2">
      <c r="A59" s="1">
        <v>1950</v>
      </c>
      <c r="B59" s="2" t="d">
        <v>1950-06-25</v>
      </c>
      <c r="C59" s="1" t="s">
        <v>12</v>
      </c>
      <c r="D59" s="1" t="s">
        <v>13</v>
      </c>
      <c r="E59" s="1" t="s">
        <v>115</v>
      </c>
      <c r="F59" s="1" t="s">
        <v>116</v>
      </c>
      <c r="G59" s="1" t="s">
        <v>27</v>
      </c>
      <c r="H59" s="1" t="s">
        <v>26</v>
      </c>
      <c r="I59" s="1">
        <v>3</v>
      </c>
      <c r="J59" s="1">
        <v>0</v>
      </c>
      <c r="K59" s="1" t="s">
        <v>58</v>
      </c>
      <c r="L59" s="1" t="s">
        <v>19</v>
      </c>
      <c r="M59" s="1" t="str">
        <f t="shared" si="0"/>
        <v xml:space="preserve">1950|18439| 15:00 |Group 1|Independencia|Belo Horizonte |Brazil|Yugoslavia|3|0|Switzerland| </v>
      </c>
    </row>
    <row r="60" spans="1:13" hidden="1" x14ac:dyDescent="0.2">
      <c r="A60" s="1">
        <v>1950</v>
      </c>
      <c r="B60" s="2" t="d">
        <v>1950-06-28</v>
      </c>
      <c r="C60" s="1" t="s">
        <v>12</v>
      </c>
      <c r="D60" s="1" t="s">
        <v>13</v>
      </c>
      <c r="E60" s="1" t="s">
        <v>113</v>
      </c>
      <c r="F60" s="1" t="s">
        <v>114</v>
      </c>
      <c r="G60" s="1" t="s">
        <v>27</v>
      </c>
      <c r="H60" s="1" t="s">
        <v>27</v>
      </c>
      <c r="I60" s="1">
        <v>2</v>
      </c>
      <c r="J60" s="1">
        <v>2</v>
      </c>
      <c r="K60" s="1" t="s">
        <v>58</v>
      </c>
      <c r="L60" s="1" t="s">
        <v>19</v>
      </c>
      <c r="M60" s="1" t="str">
        <f t="shared" si="0"/>
        <v xml:space="preserve">1950|18442| 15:00 |Group 1|Pacaembu|Sao Paulo |Brazil|Brazil|2|2|Switzerland| </v>
      </c>
    </row>
    <row r="61" spans="1:13" hidden="1" x14ac:dyDescent="0.2">
      <c r="A61" s="1">
        <v>1950</v>
      </c>
      <c r="B61" s="2" t="d">
        <v>1950-06-28</v>
      </c>
      <c r="C61" s="1" t="s">
        <v>12</v>
      </c>
      <c r="D61" s="1" t="s">
        <v>13</v>
      </c>
      <c r="E61" s="1" t="s">
        <v>117</v>
      </c>
      <c r="F61" s="1" t="s">
        <v>118</v>
      </c>
      <c r="G61" s="1" t="s">
        <v>27</v>
      </c>
      <c r="H61" s="1" t="s">
        <v>26</v>
      </c>
      <c r="I61" s="1">
        <v>4</v>
      </c>
      <c r="J61" s="1">
        <v>1</v>
      </c>
      <c r="K61" s="1" t="s">
        <v>18</v>
      </c>
      <c r="L61" s="1" t="s">
        <v>19</v>
      </c>
      <c r="M61" s="1" t="str">
        <f t="shared" si="0"/>
        <v xml:space="preserve">1950|18442| 15:00 |Group 1|Eucaliptos|Porto Alegre |Brazil|Yugoslavia|4|1|Mexico| </v>
      </c>
    </row>
    <row r="62" spans="1:13" hidden="1" x14ac:dyDescent="0.2">
      <c r="A62" s="1">
        <v>1950</v>
      </c>
      <c r="B62" s="2" t="d">
        <v>1950-06-29</v>
      </c>
      <c r="C62" s="1" t="s">
        <v>12</v>
      </c>
      <c r="D62" s="1" t="s">
        <v>25</v>
      </c>
      <c r="E62" s="1" t="s">
        <v>108</v>
      </c>
      <c r="F62" s="1" t="s">
        <v>109</v>
      </c>
      <c r="G62" s="1" t="s">
        <v>27</v>
      </c>
      <c r="H62" s="1" t="s">
        <v>68</v>
      </c>
      <c r="I62" s="1">
        <v>2</v>
      </c>
      <c r="J62" s="1">
        <v>0</v>
      </c>
      <c r="K62" s="1" t="s">
        <v>35</v>
      </c>
      <c r="L62" s="1" t="s">
        <v>19</v>
      </c>
      <c r="M62" s="1" t="str">
        <f t="shared" si="0"/>
        <v xml:space="preserve">1950|18443| 15:00 |Group 2|Maracanï¿½ - Estï¿½dio Jornalista Mï¿½rio Filho|Rio De Janeiro |Brazil|Spain|2|0|Chile| </v>
      </c>
    </row>
    <row r="63" spans="1:13" hidden="1" x14ac:dyDescent="0.2">
      <c r="A63" s="1">
        <v>1950</v>
      </c>
      <c r="B63" s="2" t="d">
        <v>1950-06-29</v>
      </c>
      <c r="C63" s="1" t="s">
        <v>119</v>
      </c>
      <c r="D63" s="1" t="s">
        <v>29</v>
      </c>
      <c r="E63" s="1" t="s">
        <v>111</v>
      </c>
      <c r="F63" s="1" t="s">
        <v>112</v>
      </c>
      <c r="G63" s="1" t="s">
        <v>27</v>
      </c>
      <c r="H63" s="1" t="s">
        <v>62</v>
      </c>
      <c r="I63" s="1">
        <v>2</v>
      </c>
      <c r="J63" s="1">
        <v>2</v>
      </c>
      <c r="K63" s="1" t="s">
        <v>37</v>
      </c>
      <c r="L63" s="1" t="s">
        <v>19</v>
      </c>
      <c r="M63" s="1" t="str">
        <f t="shared" si="0"/>
        <v xml:space="preserve">1950|18443| 15:30 |Group 3|Durival de Brito|Curitiba |Brazil|Sweden|2|2|Paraguay| </v>
      </c>
    </row>
    <row r="64" spans="1:13" hidden="1" x14ac:dyDescent="0.2">
      <c r="A64" s="1">
        <v>1950</v>
      </c>
      <c r="B64" s="2" t="d">
        <v>1950-06-29</v>
      </c>
      <c r="C64" s="1" t="s">
        <v>12</v>
      </c>
      <c r="D64" s="1" t="s">
        <v>25</v>
      </c>
      <c r="E64" s="1" t="s">
        <v>115</v>
      </c>
      <c r="F64" s="1" t="s">
        <v>116</v>
      </c>
      <c r="G64" s="1" t="s">
        <v>27</v>
      </c>
      <c r="H64" s="1" t="s">
        <v>22</v>
      </c>
      <c r="I64" s="1">
        <v>1</v>
      </c>
      <c r="J64" s="1">
        <v>0</v>
      </c>
      <c r="K64" s="1" t="s">
        <v>110</v>
      </c>
      <c r="L64" s="1" t="s">
        <v>19</v>
      </c>
      <c r="M64" s="1" t="str">
        <f t="shared" si="0"/>
        <v xml:space="preserve">1950|18443| 15:00 |Group 2|Independencia|Belo Horizonte |Brazil|USA|1|0|England| </v>
      </c>
    </row>
    <row r="65" spans="1:13" hidden="1" x14ac:dyDescent="0.2">
      <c r="A65" s="1">
        <v>1950</v>
      </c>
      <c r="B65" s="2" t="d">
        <v>1950-07-01</v>
      </c>
      <c r="C65" s="1" t="s">
        <v>12</v>
      </c>
      <c r="D65" s="1" t="s">
        <v>13</v>
      </c>
      <c r="E65" s="1" t="s">
        <v>108</v>
      </c>
      <c r="F65" s="1" t="s">
        <v>109</v>
      </c>
      <c r="G65" s="1" t="s">
        <v>27</v>
      </c>
      <c r="H65" s="1" t="s">
        <v>27</v>
      </c>
      <c r="I65" s="1">
        <v>2</v>
      </c>
      <c r="J65" s="1">
        <v>0</v>
      </c>
      <c r="K65" s="1" t="s">
        <v>26</v>
      </c>
      <c r="L65" s="1" t="s">
        <v>19</v>
      </c>
      <c r="M65" s="1" t="str">
        <f t="shared" si="0"/>
        <v xml:space="preserve">1950|18445| 15:00 |Group 1|Maracanï¿½ - Estï¿½dio Jornalista Mï¿½rio Filho|Rio De Janeiro |Brazil|Brazil|2|0|Yugoslavia| </v>
      </c>
    </row>
    <row r="66" spans="1:13" hidden="1" x14ac:dyDescent="0.2">
      <c r="A66" s="1">
        <v>1950</v>
      </c>
      <c r="B66" s="2" t="d">
        <v>1950-07-02</v>
      </c>
      <c r="C66" s="1" t="s">
        <v>12</v>
      </c>
      <c r="D66" s="1" t="s">
        <v>25</v>
      </c>
      <c r="E66" s="1" t="s">
        <v>108</v>
      </c>
      <c r="F66" s="1" t="s">
        <v>109</v>
      </c>
      <c r="G66" s="1" t="s">
        <v>27</v>
      </c>
      <c r="H66" s="1" t="s">
        <v>68</v>
      </c>
      <c r="I66" s="1">
        <v>1</v>
      </c>
      <c r="J66" s="1">
        <v>0</v>
      </c>
      <c r="K66" s="1" t="s">
        <v>110</v>
      </c>
      <c r="L66" s="1" t="s">
        <v>19</v>
      </c>
      <c r="M66" s="1" t="str">
        <f t="shared" si="0"/>
        <v xml:space="preserve">1950|18446| 15:00 |Group 2|Maracanï¿½ - Estï¿½dio Jornalista Mï¿½rio Filho|Rio De Janeiro |Brazil|Spain|1|0|England| </v>
      </c>
    </row>
    <row r="67" spans="1:13" hidden="1" x14ac:dyDescent="0.2">
      <c r="A67" s="1">
        <v>1950</v>
      </c>
      <c r="B67" s="2" t="d">
        <v>1950-07-02</v>
      </c>
      <c r="C67" s="1" t="s">
        <v>12</v>
      </c>
      <c r="D67" s="1" t="s">
        <v>29</v>
      </c>
      <c r="E67" s="1" t="s">
        <v>113</v>
      </c>
      <c r="F67" s="1" t="s">
        <v>114</v>
      </c>
      <c r="G67" s="1" t="s">
        <v>27</v>
      </c>
      <c r="H67" s="1" t="s">
        <v>49</v>
      </c>
      <c r="I67" s="1">
        <v>2</v>
      </c>
      <c r="J67" s="1">
        <v>0</v>
      </c>
      <c r="K67" s="1" t="s">
        <v>37</v>
      </c>
      <c r="L67" s="1" t="s">
        <v>19</v>
      </c>
      <c r="M67" s="1" t="str">
        <f t="shared" ref="M67:M130" si="1">_xlfn.TEXTJOIN("|",TRUE,A67,B67,C67,D67,E67,F67,G67,H67,I67,J67,K67,L67)</f>
        <v xml:space="preserve">1950|18446| 15:00 |Group 3|Pacaembu|Sao Paulo |Brazil|Italy|2|0|Paraguay| </v>
      </c>
    </row>
    <row r="68" spans="1:13" hidden="1" x14ac:dyDescent="0.2">
      <c r="A68" s="1">
        <v>1950</v>
      </c>
      <c r="B68" s="2" t="d">
        <v>1950-07-02</v>
      </c>
      <c r="C68" s="1" t="s">
        <v>12</v>
      </c>
      <c r="D68" s="1" t="s">
        <v>20</v>
      </c>
      <c r="E68" s="1" t="s">
        <v>115</v>
      </c>
      <c r="F68" s="1" t="s">
        <v>116</v>
      </c>
      <c r="G68" s="1" t="s">
        <v>27</v>
      </c>
      <c r="H68" s="1" t="s">
        <v>16</v>
      </c>
      <c r="I68" s="1">
        <v>8</v>
      </c>
      <c r="J68" s="1">
        <v>0</v>
      </c>
      <c r="K68" s="1" t="s">
        <v>36</v>
      </c>
      <c r="L68" s="1" t="s">
        <v>19</v>
      </c>
      <c r="M68" s="1" t="str">
        <f t="shared" si="1"/>
        <v xml:space="preserve">1950|18446| 15:00 |Group 4|Independencia|Belo Horizonte |Brazil|Uruguay|8|0|Bolivia| </v>
      </c>
    </row>
    <row r="69" spans="1:13" hidden="1" x14ac:dyDescent="0.2">
      <c r="A69" s="1">
        <v>1950</v>
      </c>
      <c r="B69" s="2" t="d">
        <v>1950-07-02</v>
      </c>
      <c r="C69" s="1" t="s">
        <v>120</v>
      </c>
      <c r="D69" s="1" t="s">
        <v>13</v>
      </c>
      <c r="E69" s="1" t="s">
        <v>117</v>
      </c>
      <c r="F69" s="1" t="s">
        <v>118</v>
      </c>
      <c r="G69" s="1" t="s">
        <v>27</v>
      </c>
      <c r="H69" s="1" t="s">
        <v>58</v>
      </c>
      <c r="I69" s="1">
        <v>2</v>
      </c>
      <c r="J69" s="1">
        <v>1</v>
      </c>
      <c r="K69" s="1" t="s">
        <v>18</v>
      </c>
      <c r="L69" s="1" t="s">
        <v>19</v>
      </c>
      <c r="M69" s="1" t="str">
        <f t="shared" si="1"/>
        <v xml:space="preserve">1950|18446| 15:40 |Group 1|Eucaliptos|Porto Alegre |Brazil|Switzerland|2|1|Mexico| </v>
      </c>
    </row>
    <row r="70" spans="1:13" hidden="1" x14ac:dyDescent="0.2">
      <c r="A70" s="1">
        <v>1950</v>
      </c>
      <c r="B70" s="2" t="d">
        <v>1950-07-02</v>
      </c>
      <c r="C70" s="1" t="s">
        <v>12</v>
      </c>
      <c r="D70" s="1" t="s">
        <v>25</v>
      </c>
      <c r="E70" s="1" t="s">
        <v>121</v>
      </c>
      <c r="F70" s="1" t="s">
        <v>122</v>
      </c>
      <c r="G70" s="1" t="s">
        <v>27</v>
      </c>
      <c r="H70" s="1" t="s">
        <v>35</v>
      </c>
      <c r="I70" s="1">
        <v>5</v>
      </c>
      <c r="J70" s="1">
        <v>2</v>
      </c>
      <c r="K70" s="1" t="s">
        <v>22</v>
      </c>
      <c r="L70" s="1" t="s">
        <v>19</v>
      </c>
      <c r="M70" s="1" t="str">
        <f t="shared" si="1"/>
        <v xml:space="preserve">1950|18446| 15:00 |Group 2|Ilha do Retiro|Recife |Brazil|Chile|5|2|USA| </v>
      </c>
    </row>
    <row r="71" spans="1:13" hidden="1" x14ac:dyDescent="0.2">
      <c r="A71" s="1">
        <v>1950</v>
      </c>
      <c r="B71" s="2" t="d">
        <v>1950-07-09</v>
      </c>
      <c r="C71" s="1" t="s">
        <v>12</v>
      </c>
      <c r="D71" s="1" t="s">
        <v>123</v>
      </c>
      <c r="E71" s="1" t="s">
        <v>113</v>
      </c>
      <c r="F71" s="1" t="s">
        <v>114</v>
      </c>
      <c r="G71" s="1" t="s">
        <v>27</v>
      </c>
      <c r="H71" s="1" t="s">
        <v>16</v>
      </c>
      <c r="I71" s="1">
        <v>2</v>
      </c>
      <c r="J71" s="1">
        <v>2</v>
      </c>
      <c r="K71" s="1" t="s">
        <v>68</v>
      </c>
      <c r="L71" s="1" t="s">
        <v>19</v>
      </c>
      <c r="M71" s="1" t="str">
        <f t="shared" si="1"/>
        <v xml:space="preserve">1950|18453| 15:00 |Group 6|Pacaembu|Sao Paulo |Brazil|Uruguay|2|2|Spain| </v>
      </c>
    </row>
    <row r="72" spans="1:13" hidden="1" x14ac:dyDescent="0.2">
      <c r="A72" s="1">
        <v>1950</v>
      </c>
      <c r="B72" s="2" t="d">
        <v>1950-07-09</v>
      </c>
      <c r="C72" s="1" t="s">
        <v>12</v>
      </c>
      <c r="D72" s="1" t="s">
        <v>123</v>
      </c>
      <c r="E72" s="1" t="s">
        <v>108</v>
      </c>
      <c r="F72" s="1" t="s">
        <v>109</v>
      </c>
      <c r="G72" s="1" t="s">
        <v>27</v>
      </c>
      <c r="H72" s="1" t="s">
        <v>27</v>
      </c>
      <c r="I72" s="1">
        <v>7</v>
      </c>
      <c r="J72" s="1">
        <v>1</v>
      </c>
      <c r="K72" s="1" t="s">
        <v>62</v>
      </c>
      <c r="L72" s="1" t="s">
        <v>19</v>
      </c>
      <c r="M72" s="1" t="str">
        <f t="shared" si="1"/>
        <v xml:space="preserve">1950|18453| 15:00 |Group 6|Maracanï¿½ - Estï¿½dio Jornalista Mï¿½rio Filho|Rio De Janeiro |Brazil|Brazil|7|1|Sweden| </v>
      </c>
    </row>
    <row r="73" spans="1:13" hidden="1" x14ac:dyDescent="0.2">
      <c r="A73" s="1">
        <v>1950</v>
      </c>
      <c r="B73" s="2" t="d">
        <v>1950-07-13</v>
      </c>
      <c r="C73" s="1" t="s">
        <v>12</v>
      </c>
      <c r="D73" s="1" t="s">
        <v>123</v>
      </c>
      <c r="E73" s="1" t="s">
        <v>108</v>
      </c>
      <c r="F73" s="1" t="s">
        <v>109</v>
      </c>
      <c r="G73" s="1" t="s">
        <v>27</v>
      </c>
      <c r="H73" s="1" t="s">
        <v>27</v>
      </c>
      <c r="I73" s="1">
        <v>6</v>
      </c>
      <c r="J73" s="1">
        <v>1</v>
      </c>
      <c r="K73" s="1" t="s">
        <v>68</v>
      </c>
      <c r="L73" s="1" t="s">
        <v>19</v>
      </c>
      <c r="M73" s="1" t="str">
        <f t="shared" si="1"/>
        <v xml:space="preserve">1950|18457| 15:00 |Group 6|Maracanï¿½ - Estï¿½dio Jornalista Mï¿½rio Filho|Rio De Janeiro |Brazil|Brazil|6|1|Spain| </v>
      </c>
    </row>
    <row r="74" spans="1:13" hidden="1" x14ac:dyDescent="0.2">
      <c r="A74" s="1">
        <v>1950</v>
      </c>
      <c r="B74" s="2" t="d">
        <v>1950-07-13</v>
      </c>
      <c r="C74" s="1" t="s">
        <v>12</v>
      </c>
      <c r="D74" s="1" t="s">
        <v>123</v>
      </c>
      <c r="E74" s="1" t="s">
        <v>113</v>
      </c>
      <c r="F74" s="1" t="s">
        <v>114</v>
      </c>
      <c r="G74" s="1" t="s">
        <v>27</v>
      </c>
      <c r="H74" s="1" t="s">
        <v>16</v>
      </c>
      <c r="I74" s="1">
        <v>3</v>
      </c>
      <c r="J74" s="1">
        <v>2</v>
      </c>
      <c r="K74" s="1" t="s">
        <v>62</v>
      </c>
      <c r="L74" s="1" t="s">
        <v>19</v>
      </c>
      <c r="M74" s="1" t="str">
        <f t="shared" si="1"/>
        <v xml:space="preserve">1950|18457| 15:00 |Group 6|Pacaembu|Sao Paulo |Brazil|Uruguay|3|2|Sweden| </v>
      </c>
    </row>
    <row r="75" spans="1:13" hidden="1" x14ac:dyDescent="0.2">
      <c r="A75" s="1">
        <v>1950</v>
      </c>
      <c r="B75" s="2" t="d">
        <v>1950-07-16</v>
      </c>
      <c r="C75" s="1" t="s">
        <v>12</v>
      </c>
      <c r="D75" s="1" t="s">
        <v>123</v>
      </c>
      <c r="E75" s="1" t="s">
        <v>113</v>
      </c>
      <c r="F75" s="1" t="s">
        <v>114</v>
      </c>
      <c r="G75" s="1" t="s">
        <v>27</v>
      </c>
      <c r="H75" s="1" t="s">
        <v>62</v>
      </c>
      <c r="I75" s="1">
        <v>3</v>
      </c>
      <c r="J75" s="1">
        <v>1</v>
      </c>
      <c r="K75" s="1" t="s">
        <v>68</v>
      </c>
      <c r="L75" s="1" t="s">
        <v>19</v>
      </c>
      <c r="M75" s="1" t="str">
        <f t="shared" si="1"/>
        <v xml:space="preserve">1950|18460| 15:00 |Group 6|Pacaembu|Sao Paulo |Brazil|Sweden|3|1|Spain| </v>
      </c>
    </row>
    <row r="76" spans="1:13" hidden="1" x14ac:dyDescent="0.2">
      <c r="A76" s="1">
        <v>1950</v>
      </c>
      <c r="B76" s="2" t="d">
        <v>1950-07-16</v>
      </c>
      <c r="C76" s="1" t="s">
        <v>12</v>
      </c>
      <c r="D76" s="1" t="s">
        <v>123</v>
      </c>
      <c r="E76" s="1" t="s">
        <v>108</v>
      </c>
      <c r="F76" s="1" t="s">
        <v>109</v>
      </c>
      <c r="G76" s="1" t="s">
        <v>27</v>
      </c>
      <c r="H76" s="1" t="s">
        <v>16</v>
      </c>
      <c r="I76" s="1">
        <v>2</v>
      </c>
      <c r="J76" s="1">
        <v>1</v>
      </c>
      <c r="K76" s="1" t="s">
        <v>27</v>
      </c>
      <c r="L76" s="1" t="s">
        <v>19</v>
      </c>
      <c r="M76" s="1" t="str">
        <f t="shared" si="1"/>
        <v xml:space="preserve">1950|18460| 15:00 |Group 6|Maracanï¿½ - Estï¿½dio Jornalista Mï¿½rio Filho|Rio De Janeiro |Brazil|Uruguay|2|1|Brazil| </v>
      </c>
    </row>
    <row r="77" spans="1:13" hidden="1" x14ac:dyDescent="0.2">
      <c r="A77" s="1">
        <v>1954</v>
      </c>
      <c r="B77" s="2" t="d">
        <v>1954-06-16</v>
      </c>
      <c r="C77" s="1" t="s">
        <v>75</v>
      </c>
      <c r="D77" s="1" t="s">
        <v>29</v>
      </c>
      <c r="E77" s="1" t="s">
        <v>124</v>
      </c>
      <c r="F77" s="1" t="s">
        <v>125</v>
      </c>
      <c r="G77" s="1" t="s">
        <v>58</v>
      </c>
      <c r="H77" s="1" t="s">
        <v>16</v>
      </c>
      <c r="I77" s="1">
        <v>2</v>
      </c>
      <c r="J77" s="1">
        <v>0</v>
      </c>
      <c r="K77" s="1" t="s">
        <v>73</v>
      </c>
      <c r="L77" s="1" t="s">
        <v>19</v>
      </c>
      <c r="M77" s="1" t="str">
        <f t="shared" si="1"/>
        <v xml:space="preserve">1954|19891| 18:00 |Group 3|Wankdorf Stadium|Berne |Switzerland|Uruguay|2|0|Czechoslovakia| </v>
      </c>
    </row>
    <row r="78" spans="1:13" hidden="1" x14ac:dyDescent="0.2">
      <c r="A78" s="1">
        <v>1954</v>
      </c>
      <c r="B78" s="2" t="d">
        <v>1954-06-16</v>
      </c>
      <c r="C78" s="1" t="s">
        <v>75</v>
      </c>
      <c r="D78" s="1" t="s">
        <v>29</v>
      </c>
      <c r="E78" s="1" t="s">
        <v>126</v>
      </c>
      <c r="F78" s="1" t="s">
        <v>127</v>
      </c>
      <c r="G78" s="1" t="s">
        <v>58</v>
      </c>
      <c r="H78" s="1" t="s">
        <v>50</v>
      </c>
      <c r="I78" s="1">
        <v>1</v>
      </c>
      <c r="J78" s="1">
        <v>0</v>
      </c>
      <c r="K78" s="1" t="s">
        <v>128</v>
      </c>
      <c r="L78" s="1" t="s">
        <v>19</v>
      </c>
      <c r="M78" s="1" t="str">
        <f t="shared" si="1"/>
        <v xml:space="preserve">1954|19891| 18:00 |Group 3|Hardturm|Zurich |Switzerland|Austria|1|0|Scotland| </v>
      </c>
    </row>
    <row r="79" spans="1:13" hidden="1" x14ac:dyDescent="0.2">
      <c r="A79" s="1">
        <v>1954</v>
      </c>
      <c r="B79" s="2" t="d">
        <v>1954-06-16</v>
      </c>
      <c r="C79" s="1" t="s">
        <v>75</v>
      </c>
      <c r="D79" s="1" t="s">
        <v>13</v>
      </c>
      <c r="E79" s="1" t="s">
        <v>129</v>
      </c>
      <c r="F79" s="1" t="s">
        <v>130</v>
      </c>
      <c r="G79" s="1" t="s">
        <v>58</v>
      </c>
      <c r="H79" s="1" t="s">
        <v>27</v>
      </c>
      <c r="I79" s="1">
        <v>5</v>
      </c>
      <c r="J79" s="1">
        <v>0</v>
      </c>
      <c r="K79" s="1" t="s">
        <v>18</v>
      </c>
      <c r="L79" s="1" t="s">
        <v>19</v>
      </c>
      <c r="M79" s="1" t="str">
        <f t="shared" si="1"/>
        <v xml:space="preserve">1954|19891| 18:00 |Group 1|Charmilles|Geneva |Switzerland|Brazil|5|0|Mexico| </v>
      </c>
    </row>
    <row r="80" spans="1:13" hidden="1" x14ac:dyDescent="0.2">
      <c r="A80" s="1">
        <v>1954</v>
      </c>
      <c r="B80" s="2" t="d">
        <v>1954-06-16</v>
      </c>
      <c r="C80" s="1" t="s">
        <v>75</v>
      </c>
      <c r="D80" s="1" t="s">
        <v>13</v>
      </c>
      <c r="E80" s="1" t="s">
        <v>131</v>
      </c>
      <c r="F80" s="1" t="s">
        <v>132</v>
      </c>
      <c r="G80" s="1" t="s">
        <v>58</v>
      </c>
      <c r="H80" s="1" t="s">
        <v>26</v>
      </c>
      <c r="I80" s="1">
        <v>1</v>
      </c>
      <c r="J80" s="1">
        <v>0</v>
      </c>
      <c r="K80" s="1" t="s">
        <v>17</v>
      </c>
      <c r="L80" s="1" t="s">
        <v>19</v>
      </c>
      <c r="M80" s="1" t="str">
        <f t="shared" si="1"/>
        <v xml:space="preserve">1954|19891| 18:00 |Group 1|La Pontaise|Lausanne |Switzerland|Yugoslavia|1|0|France| </v>
      </c>
    </row>
    <row r="81" spans="1:13" x14ac:dyDescent="0.2">
      <c r="A81" s="1">
        <v>1954</v>
      </c>
      <c r="B81" s="2" t="d">
        <v>1954-06-17</v>
      </c>
      <c r="C81" s="1" t="s">
        <v>75</v>
      </c>
      <c r="D81" s="1" t="s">
        <v>25</v>
      </c>
      <c r="E81" s="1" t="s">
        <v>124</v>
      </c>
      <c r="F81" s="1" t="s">
        <v>125</v>
      </c>
      <c r="G81" s="1" t="s">
        <v>58</v>
      </c>
      <c r="H81" s="1" t="s">
        <v>133</v>
      </c>
      <c r="I81" s="1">
        <v>4</v>
      </c>
      <c r="J81" s="1">
        <v>1</v>
      </c>
      <c r="K81" s="1" t="s">
        <v>134</v>
      </c>
      <c r="L81" s="1" t="s">
        <v>19</v>
      </c>
      <c r="M81" s="1" t="str">
        <f t="shared" si="1"/>
        <v xml:space="preserve">1954|19892| 18:00 |Group 2|Wankdorf Stadium|Berne |Switzerland|Germany FR|4|1|Turkey| </v>
      </c>
    </row>
    <row r="82" spans="1:13" hidden="1" x14ac:dyDescent="0.2">
      <c r="A82" s="1">
        <v>1954</v>
      </c>
      <c r="B82" s="2" t="d">
        <v>1954-06-17</v>
      </c>
      <c r="C82" s="1" t="s">
        <v>75</v>
      </c>
      <c r="D82" s="1" t="s">
        <v>25</v>
      </c>
      <c r="E82" s="1" t="s">
        <v>126</v>
      </c>
      <c r="F82" s="1" t="s">
        <v>127</v>
      </c>
      <c r="G82" s="1" t="s">
        <v>58</v>
      </c>
      <c r="H82" s="1" t="s">
        <v>54</v>
      </c>
      <c r="I82" s="1">
        <v>9</v>
      </c>
      <c r="J82" s="1">
        <v>0</v>
      </c>
      <c r="K82" s="1" t="s">
        <v>135</v>
      </c>
      <c r="L82" s="1" t="s">
        <v>19</v>
      </c>
      <c r="M82" s="1" t="str">
        <f t="shared" si="1"/>
        <v xml:space="preserve">1954|19892| 18:00 |Group 2|Hardturm|Zurich |Switzerland|Hungary|9|0|Korea Republic| </v>
      </c>
    </row>
    <row r="83" spans="1:13" hidden="1" x14ac:dyDescent="0.2">
      <c r="A83" s="1">
        <v>1954</v>
      </c>
      <c r="B83" s="2" t="d">
        <v>1954-06-17</v>
      </c>
      <c r="C83" s="1" t="s">
        <v>136</v>
      </c>
      <c r="D83" s="1" t="s">
        <v>20</v>
      </c>
      <c r="E83" s="1" t="s">
        <v>137</v>
      </c>
      <c r="F83" s="1" t="s">
        <v>138</v>
      </c>
      <c r="G83" s="1" t="s">
        <v>58</v>
      </c>
      <c r="H83" s="1" t="s">
        <v>110</v>
      </c>
      <c r="I83" s="1">
        <v>4</v>
      </c>
      <c r="J83" s="1">
        <v>4</v>
      </c>
      <c r="K83" s="1" t="s">
        <v>23</v>
      </c>
      <c r="L83" s="1" t="s">
        <v>19</v>
      </c>
      <c r="M83" s="1" t="str">
        <f t="shared" si="1"/>
        <v xml:space="preserve">1954|19892| 18:10 |Group 4|St. Jakob|Basel |Switzerland|England|4|4|Belgium| </v>
      </c>
    </row>
    <row r="84" spans="1:13" hidden="1" x14ac:dyDescent="0.2">
      <c r="A84" s="1">
        <v>1954</v>
      </c>
      <c r="B84" s="2" t="d">
        <v>1954-06-17</v>
      </c>
      <c r="C84" s="1" t="s">
        <v>139</v>
      </c>
      <c r="D84" s="1" t="s">
        <v>20</v>
      </c>
      <c r="E84" s="1" t="s">
        <v>131</v>
      </c>
      <c r="F84" s="1" t="s">
        <v>132</v>
      </c>
      <c r="G84" s="1" t="s">
        <v>58</v>
      </c>
      <c r="H84" s="1" t="s">
        <v>58</v>
      </c>
      <c r="I84" s="1">
        <v>2</v>
      </c>
      <c r="J84" s="1">
        <v>1</v>
      </c>
      <c r="K84" s="1" t="s">
        <v>49</v>
      </c>
      <c r="L84" s="1" t="s">
        <v>19</v>
      </c>
      <c r="M84" s="1" t="str">
        <f t="shared" si="1"/>
        <v xml:space="preserve">1954|19892| 17:50 |Group 4|La Pontaise|Lausanne |Switzerland|Switzerland|2|1|Italy| </v>
      </c>
    </row>
    <row r="85" spans="1:13" hidden="1" x14ac:dyDescent="0.2">
      <c r="A85" s="1">
        <v>1954</v>
      </c>
      <c r="B85" s="2" t="d">
        <v>1954-06-19</v>
      </c>
      <c r="C85" s="1" t="s">
        <v>140</v>
      </c>
      <c r="D85" s="1" t="s">
        <v>29</v>
      </c>
      <c r="E85" s="1" t="s">
        <v>137</v>
      </c>
      <c r="F85" s="1" t="s">
        <v>138</v>
      </c>
      <c r="G85" s="1" t="s">
        <v>58</v>
      </c>
      <c r="H85" s="1" t="s">
        <v>16</v>
      </c>
      <c r="I85" s="1">
        <v>7</v>
      </c>
      <c r="J85" s="1">
        <v>0</v>
      </c>
      <c r="K85" s="1" t="s">
        <v>128</v>
      </c>
      <c r="L85" s="1" t="s">
        <v>19</v>
      </c>
      <c r="M85" s="1" t="str">
        <f t="shared" si="1"/>
        <v xml:space="preserve">1954|19894| 16:50 |Group 3|St. Jakob|Basel |Switzerland|Uruguay|7|0|Scotland| </v>
      </c>
    </row>
    <row r="86" spans="1:13" hidden="1" x14ac:dyDescent="0.2">
      <c r="A86" s="1">
        <v>1954</v>
      </c>
      <c r="B86" s="2" t="d">
        <v>1954-06-19</v>
      </c>
      <c r="C86" s="1" t="s">
        <v>79</v>
      </c>
      <c r="D86" s="1" t="s">
        <v>29</v>
      </c>
      <c r="E86" s="1" t="s">
        <v>126</v>
      </c>
      <c r="F86" s="1" t="s">
        <v>127</v>
      </c>
      <c r="G86" s="1" t="s">
        <v>58</v>
      </c>
      <c r="H86" s="1" t="s">
        <v>50</v>
      </c>
      <c r="I86" s="1">
        <v>5</v>
      </c>
      <c r="J86" s="1">
        <v>0</v>
      </c>
      <c r="K86" s="1" t="s">
        <v>73</v>
      </c>
      <c r="L86" s="1" t="s">
        <v>19</v>
      </c>
      <c r="M86" s="1" t="str">
        <f t="shared" si="1"/>
        <v xml:space="preserve">1954|19894| 17:00 |Group 3|Hardturm|Zurich |Switzerland|Austria|5|0|Czechoslovakia| </v>
      </c>
    </row>
    <row r="87" spans="1:13" hidden="1" x14ac:dyDescent="0.2">
      <c r="A87" s="1">
        <v>1954</v>
      </c>
      <c r="B87" s="2" t="d">
        <v>1954-06-19</v>
      </c>
      <c r="C87" s="1" t="s">
        <v>141</v>
      </c>
      <c r="D87" s="1" t="s">
        <v>13</v>
      </c>
      <c r="E87" s="1" t="s">
        <v>129</v>
      </c>
      <c r="F87" s="1" t="s">
        <v>130</v>
      </c>
      <c r="G87" s="1" t="s">
        <v>58</v>
      </c>
      <c r="H87" s="1" t="s">
        <v>17</v>
      </c>
      <c r="I87" s="1">
        <v>3</v>
      </c>
      <c r="J87" s="1">
        <v>2</v>
      </c>
      <c r="K87" s="1" t="s">
        <v>18</v>
      </c>
      <c r="L87" s="1" t="s">
        <v>19</v>
      </c>
      <c r="M87" s="1" t="str">
        <f t="shared" si="1"/>
        <v xml:space="preserve">1954|19894| 17:10 |Group 1|Charmilles|Geneva |Switzerland|France|3|2|Mexico| </v>
      </c>
    </row>
    <row r="88" spans="1:13" hidden="1" x14ac:dyDescent="0.2">
      <c r="A88" s="1">
        <v>1954</v>
      </c>
      <c r="B88" s="2" t="d">
        <v>1954-06-19</v>
      </c>
      <c r="C88" s="1" t="s">
        <v>79</v>
      </c>
      <c r="D88" s="1" t="s">
        <v>13</v>
      </c>
      <c r="E88" s="1" t="s">
        <v>131</v>
      </c>
      <c r="F88" s="1" t="s">
        <v>132</v>
      </c>
      <c r="G88" s="1" t="s">
        <v>58</v>
      </c>
      <c r="H88" s="1" t="s">
        <v>27</v>
      </c>
      <c r="I88" s="1">
        <v>1</v>
      </c>
      <c r="J88" s="1">
        <v>1</v>
      </c>
      <c r="K88" s="1" t="s">
        <v>26</v>
      </c>
      <c r="L88" s="1" t="s">
        <v>19</v>
      </c>
      <c r="M88" s="1" t="str">
        <f t="shared" si="1"/>
        <v xml:space="preserve">1954|19894| 17:00 |Group 1|La Pontaise|Lausanne |Switzerland|Brazil|1|1|Yugoslavia| </v>
      </c>
    </row>
    <row r="89" spans="1:13" hidden="1" x14ac:dyDescent="0.2">
      <c r="A89" s="1">
        <v>1954</v>
      </c>
      <c r="B89" s="2" t="d">
        <v>1954-06-20</v>
      </c>
      <c r="C89" s="1" t="s">
        <v>140</v>
      </c>
      <c r="D89" s="1" t="s">
        <v>25</v>
      </c>
      <c r="E89" s="1" t="s">
        <v>137</v>
      </c>
      <c r="F89" s="1" t="s">
        <v>138</v>
      </c>
      <c r="G89" s="1" t="s">
        <v>58</v>
      </c>
      <c r="H89" s="1" t="s">
        <v>54</v>
      </c>
      <c r="I89" s="1">
        <v>8</v>
      </c>
      <c r="J89" s="1">
        <v>3</v>
      </c>
      <c r="K89" s="1" t="s">
        <v>133</v>
      </c>
      <c r="L89" s="1" t="s">
        <v>19</v>
      </c>
      <c r="M89" s="1" t="str">
        <f t="shared" si="1"/>
        <v xml:space="preserve">1954|19895| 16:50 |Group 2|St. Jakob|Basel |Switzerland|Hungary|8|3|Germany FR| </v>
      </c>
    </row>
    <row r="90" spans="1:13" hidden="1" x14ac:dyDescent="0.2">
      <c r="A90" s="1">
        <v>1954</v>
      </c>
      <c r="B90" s="2" t="d">
        <v>1954-06-20</v>
      </c>
      <c r="C90" s="1" t="s">
        <v>79</v>
      </c>
      <c r="D90" s="1" t="s">
        <v>25</v>
      </c>
      <c r="E90" s="1" t="s">
        <v>129</v>
      </c>
      <c r="F90" s="1" t="s">
        <v>130</v>
      </c>
      <c r="G90" s="1" t="s">
        <v>58</v>
      </c>
      <c r="H90" s="1" t="s">
        <v>134</v>
      </c>
      <c r="I90" s="1">
        <v>7</v>
      </c>
      <c r="J90" s="1">
        <v>0</v>
      </c>
      <c r="K90" s="1" t="s">
        <v>135</v>
      </c>
      <c r="L90" s="1" t="s">
        <v>19</v>
      </c>
      <c r="M90" s="1" t="str">
        <f t="shared" si="1"/>
        <v xml:space="preserve">1954|19895| 17:00 |Group 2|Charmilles|Geneva |Switzerland|Turkey|7|0|Korea Republic| </v>
      </c>
    </row>
    <row r="91" spans="1:13" hidden="1" x14ac:dyDescent="0.2">
      <c r="A91" s="1">
        <v>1954</v>
      </c>
      <c r="B91" s="2" t="d">
        <v>1954-06-20</v>
      </c>
      <c r="C91" s="1" t="s">
        <v>141</v>
      </c>
      <c r="D91" s="1" t="s">
        <v>20</v>
      </c>
      <c r="E91" s="1" t="s">
        <v>124</v>
      </c>
      <c r="F91" s="1" t="s">
        <v>125</v>
      </c>
      <c r="G91" s="1" t="s">
        <v>58</v>
      </c>
      <c r="H91" s="1" t="s">
        <v>110</v>
      </c>
      <c r="I91" s="1">
        <v>2</v>
      </c>
      <c r="J91" s="1">
        <v>0</v>
      </c>
      <c r="K91" s="1" t="s">
        <v>58</v>
      </c>
      <c r="L91" s="1" t="s">
        <v>19</v>
      </c>
      <c r="M91" s="1" t="str">
        <f t="shared" si="1"/>
        <v xml:space="preserve">1954|19895| 17:10 |Group 4|Wankdorf Stadium|Berne |Switzerland|England|2|0|Switzerland| </v>
      </c>
    </row>
    <row r="92" spans="1:13" hidden="1" x14ac:dyDescent="0.2">
      <c r="A92" s="1">
        <v>1954</v>
      </c>
      <c r="B92" s="2" t="d">
        <v>1954-06-20</v>
      </c>
      <c r="C92" s="1" t="s">
        <v>79</v>
      </c>
      <c r="D92" s="1" t="s">
        <v>20</v>
      </c>
      <c r="E92" s="1" t="s">
        <v>142</v>
      </c>
      <c r="F92" s="1" t="s">
        <v>143</v>
      </c>
      <c r="G92" s="1" t="s">
        <v>58</v>
      </c>
      <c r="H92" s="1" t="s">
        <v>49</v>
      </c>
      <c r="I92" s="1">
        <v>4</v>
      </c>
      <c r="J92" s="1">
        <v>1</v>
      </c>
      <c r="K92" s="1" t="s">
        <v>23</v>
      </c>
      <c r="L92" s="1" t="s">
        <v>19</v>
      </c>
      <c r="M92" s="1" t="str">
        <f t="shared" si="1"/>
        <v xml:space="preserve">1954|19895| 17:00 |Group 4|Comunale di Cornaredo|Lugano |Switzerland|Italy|4|1|Belgium| </v>
      </c>
    </row>
    <row r="93" spans="1:13" x14ac:dyDescent="0.2">
      <c r="A93" s="1">
        <v>1954</v>
      </c>
      <c r="B93" s="2" t="d">
        <v>1954-06-23</v>
      </c>
      <c r="C93" s="1" t="s">
        <v>75</v>
      </c>
      <c r="D93" s="1" t="s">
        <v>25</v>
      </c>
      <c r="E93" s="1" t="s">
        <v>126</v>
      </c>
      <c r="F93" s="1" t="s">
        <v>127</v>
      </c>
      <c r="G93" s="1" t="s">
        <v>58</v>
      </c>
      <c r="H93" s="1" t="s">
        <v>133</v>
      </c>
      <c r="I93" s="1">
        <v>7</v>
      </c>
      <c r="J93" s="1">
        <v>2</v>
      </c>
      <c r="K93" s="1" t="s">
        <v>134</v>
      </c>
      <c r="L93" s="1" t="s">
        <v>19</v>
      </c>
      <c r="M93" s="1" t="str">
        <f t="shared" si="1"/>
        <v xml:space="preserve">1954|19898| 18:00 |Group 2|Hardturm|Zurich |Switzerland|Germany FR|7|2|Turkey| </v>
      </c>
    </row>
    <row r="94" spans="1:13" hidden="1" x14ac:dyDescent="0.2">
      <c r="A94" s="1">
        <v>1954</v>
      </c>
      <c r="B94" s="2" t="d">
        <v>1954-06-23</v>
      </c>
      <c r="C94" s="1" t="s">
        <v>75</v>
      </c>
      <c r="D94" s="1" t="s">
        <v>20</v>
      </c>
      <c r="E94" s="1" t="s">
        <v>137</v>
      </c>
      <c r="F94" s="1" t="s">
        <v>138</v>
      </c>
      <c r="G94" s="1" t="s">
        <v>58</v>
      </c>
      <c r="H94" s="1" t="s">
        <v>58</v>
      </c>
      <c r="I94" s="1">
        <v>4</v>
      </c>
      <c r="J94" s="1">
        <v>1</v>
      </c>
      <c r="K94" s="1" t="s">
        <v>49</v>
      </c>
      <c r="L94" s="1" t="s">
        <v>19</v>
      </c>
      <c r="M94" s="1" t="str">
        <f t="shared" si="1"/>
        <v xml:space="preserve">1954|19898| 18:00 |Group 4|St. Jakob|Basel |Switzerland|Switzerland|4|1|Italy| </v>
      </c>
    </row>
    <row r="95" spans="1:13" hidden="1" x14ac:dyDescent="0.2">
      <c r="A95" s="1">
        <v>1954</v>
      </c>
      <c r="B95" s="2" t="d">
        <v>1954-06-26</v>
      </c>
      <c r="C95" s="1" t="s">
        <v>79</v>
      </c>
      <c r="D95" s="12" t="s">
        <v>74</v>
      </c>
      <c r="E95" s="1" t="s">
        <v>137</v>
      </c>
      <c r="F95" s="1" t="s">
        <v>138</v>
      </c>
      <c r="G95" s="1" t="s">
        <v>58</v>
      </c>
      <c r="H95" s="1" t="s">
        <v>16</v>
      </c>
      <c r="I95" s="1">
        <v>4</v>
      </c>
      <c r="J95" s="1">
        <v>2</v>
      </c>
      <c r="K95" s="1" t="s">
        <v>110</v>
      </c>
      <c r="L95" s="1" t="s">
        <v>19</v>
      </c>
      <c r="M95" s="1" t="str">
        <f t="shared" si="1"/>
        <v xml:space="preserve">1954|19901| 17:00 |Quarter-finals|St. Jakob|Basel |Switzerland|Uruguay|4|2|England| </v>
      </c>
    </row>
    <row r="96" spans="1:13" hidden="1" x14ac:dyDescent="0.2">
      <c r="A96" s="1">
        <v>1954</v>
      </c>
      <c r="B96" s="2" t="d">
        <v>1954-06-26</v>
      </c>
      <c r="C96" s="1" t="s">
        <v>79</v>
      </c>
      <c r="D96" s="12" t="s">
        <v>74</v>
      </c>
      <c r="E96" s="1" t="s">
        <v>131</v>
      </c>
      <c r="F96" s="1" t="s">
        <v>132</v>
      </c>
      <c r="G96" s="1" t="s">
        <v>58</v>
      </c>
      <c r="H96" s="1" t="s">
        <v>50</v>
      </c>
      <c r="I96" s="1">
        <v>7</v>
      </c>
      <c r="J96" s="1">
        <v>5</v>
      </c>
      <c r="K96" s="1" t="s">
        <v>58</v>
      </c>
      <c r="L96" s="1" t="s">
        <v>19</v>
      </c>
      <c r="M96" s="1" t="str">
        <f t="shared" si="1"/>
        <v xml:space="preserve">1954|19901| 17:00 |Quarter-finals|La Pontaise|Lausanne |Switzerland|Austria|7|5|Switzerland| </v>
      </c>
    </row>
    <row r="97" spans="1:13" x14ac:dyDescent="0.2">
      <c r="A97" s="1">
        <v>1954</v>
      </c>
      <c r="B97" s="2" t="d">
        <v>1954-06-27</v>
      </c>
      <c r="C97" s="1" t="s">
        <v>79</v>
      </c>
      <c r="D97" s="12" t="s">
        <v>74</v>
      </c>
      <c r="E97" s="1" t="s">
        <v>129</v>
      </c>
      <c r="F97" s="1" t="s">
        <v>130</v>
      </c>
      <c r="G97" s="1" t="s">
        <v>58</v>
      </c>
      <c r="H97" s="1" t="s">
        <v>133</v>
      </c>
      <c r="I97" s="1">
        <v>2</v>
      </c>
      <c r="J97" s="1">
        <v>0</v>
      </c>
      <c r="K97" s="1" t="s">
        <v>26</v>
      </c>
      <c r="L97" s="1" t="s">
        <v>19</v>
      </c>
      <c r="M97" s="1" t="str">
        <f t="shared" si="1"/>
        <v xml:space="preserve">1954|19902| 17:00 |Quarter-finals|Charmilles|Geneva |Switzerland|Germany FR|2|0|Yugoslavia| </v>
      </c>
    </row>
    <row r="98" spans="1:13" hidden="1" x14ac:dyDescent="0.2">
      <c r="A98" s="1">
        <v>1954</v>
      </c>
      <c r="B98" s="2" t="d">
        <v>1954-06-27</v>
      </c>
      <c r="C98" s="1" t="s">
        <v>79</v>
      </c>
      <c r="D98" s="12" t="s">
        <v>74</v>
      </c>
      <c r="E98" s="1" t="s">
        <v>124</v>
      </c>
      <c r="F98" s="1" t="s">
        <v>125</v>
      </c>
      <c r="G98" s="1" t="s">
        <v>58</v>
      </c>
      <c r="H98" s="1" t="s">
        <v>54</v>
      </c>
      <c r="I98" s="1">
        <v>4</v>
      </c>
      <c r="J98" s="1">
        <v>2</v>
      </c>
      <c r="K98" s="1" t="s">
        <v>27</v>
      </c>
      <c r="L98" s="1" t="s">
        <v>19</v>
      </c>
      <c r="M98" s="1" t="str">
        <f t="shared" si="1"/>
        <v xml:space="preserve">1954|19902| 17:00 |Quarter-finals|Wankdorf Stadium|Berne |Switzerland|Hungary|4|2|Brazil| </v>
      </c>
    </row>
    <row r="99" spans="1:13" x14ac:dyDescent="0.2">
      <c r="A99" s="1">
        <v>1954</v>
      </c>
      <c r="B99" s="2" t="d">
        <v>1954-06-30</v>
      </c>
      <c r="C99" s="1" t="s">
        <v>75</v>
      </c>
      <c r="D99" s="12" t="s">
        <v>42</v>
      </c>
      <c r="E99" s="1" t="s">
        <v>137</v>
      </c>
      <c r="F99" s="1" t="s">
        <v>138</v>
      </c>
      <c r="G99" s="1" t="s">
        <v>58</v>
      </c>
      <c r="H99" s="1" t="s">
        <v>133</v>
      </c>
      <c r="I99" s="1">
        <v>6</v>
      </c>
      <c r="J99" s="1">
        <v>1</v>
      </c>
      <c r="K99" s="1" t="s">
        <v>50</v>
      </c>
      <c r="L99" s="1" t="s">
        <v>19</v>
      </c>
      <c r="M99" s="1" t="str">
        <f t="shared" si="1"/>
        <v xml:space="preserve">1954|19905| 18:00 |Semi-finals|St. Jakob|Basel |Switzerland|Germany FR|6|1|Austria| </v>
      </c>
    </row>
    <row r="100" spans="1:13" hidden="1" x14ac:dyDescent="0.2">
      <c r="A100" s="1">
        <v>1954</v>
      </c>
      <c r="B100" s="2" t="d">
        <v>1954-06-30</v>
      </c>
      <c r="C100" s="1" t="s">
        <v>75</v>
      </c>
      <c r="D100" s="12" t="s">
        <v>42</v>
      </c>
      <c r="E100" s="1" t="s">
        <v>131</v>
      </c>
      <c r="F100" s="1" t="s">
        <v>132</v>
      </c>
      <c r="G100" s="1" t="s">
        <v>58</v>
      </c>
      <c r="H100" s="1" t="s">
        <v>54</v>
      </c>
      <c r="I100" s="1">
        <v>4</v>
      </c>
      <c r="J100" s="1">
        <v>2</v>
      </c>
      <c r="K100" s="1" t="s">
        <v>16</v>
      </c>
      <c r="L100" s="1" t="s">
        <v>144</v>
      </c>
      <c r="M100" s="1" t="str">
        <f t="shared" si="1"/>
        <v xml:space="preserve">1954|19905| 18:00 |Semi-finals|La Pontaise|Lausanne |Switzerland|Hungary|4|2|Uruguay|Hungary win after extra time </v>
      </c>
    </row>
    <row r="101" spans="1:13" hidden="1" x14ac:dyDescent="0.2">
      <c r="A101" s="1">
        <v>1954</v>
      </c>
      <c r="B101" s="2" t="d">
        <v>1954-07-03</v>
      </c>
      <c r="C101" s="1" t="s">
        <v>79</v>
      </c>
      <c r="D101" s="12" t="s">
        <v>76</v>
      </c>
      <c r="E101" s="1" t="s">
        <v>126</v>
      </c>
      <c r="F101" s="1" t="s">
        <v>127</v>
      </c>
      <c r="G101" s="1" t="s">
        <v>58</v>
      </c>
      <c r="H101" s="1" t="s">
        <v>50</v>
      </c>
      <c r="I101" s="1">
        <v>3</v>
      </c>
      <c r="J101" s="1">
        <v>1</v>
      </c>
      <c r="K101" s="1" t="s">
        <v>16</v>
      </c>
      <c r="L101" s="1" t="s">
        <v>19</v>
      </c>
      <c r="M101" s="1" t="str">
        <f t="shared" si="1"/>
        <v xml:space="preserve">1954|19908| 17:00 |Match for third place|Hardturm|Zurich |Switzerland|Austria|3|1|Uruguay| </v>
      </c>
    </row>
    <row r="102" spans="1:13" x14ac:dyDescent="0.2">
      <c r="A102" s="1">
        <v>1954</v>
      </c>
      <c r="B102" s="2" t="d">
        <v>1954-07-04</v>
      </c>
      <c r="C102" s="1" t="s">
        <v>79</v>
      </c>
      <c r="D102" s="12" t="s">
        <v>44</v>
      </c>
      <c r="E102" s="1" t="s">
        <v>124</v>
      </c>
      <c r="F102" s="1" t="s">
        <v>125</v>
      </c>
      <c r="G102" s="1" t="s">
        <v>58</v>
      </c>
      <c r="H102" s="1" t="s">
        <v>133</v>
      </c>
      <c r="I102" s="1">
        <v>3</v>
      </c>
      <c r="J102" s="1">
        <v>2</v>
      </c>
      <c r="K102" s="1" t="s">
        <v>54</v>
      </c>
      <c r="L102" s="1" t="s">
        <v>19</v>
      </c>
      <c r="M102" s="1" t="str">
        <f t="shared" si="1"/>
        <v xml:space="preserve">1954|19909| 17:00 |Final|Wankdorf Stadium|Berne |Switzerland|Germany FR|3|2|Hungary| </v>
      </c>
    </row>
    <row r="103" spans="1:13" hidden="1" x14ac:dyDescent="0.2">
      <c r="A103" s="1">
        <v>1958</v>
      </c>
      <c r="B103" s="2" t="d">
        <v>1958-06-08</v>
      </c>
      <c r="C103" s="1" t="s">
        <v>145</v>
      </c>
      <c r="D103" s="1" t="s">
        <v>29</v>
      </c>
      <c r="E103" s="1" t="s">
        <v>146</v>
      </c>
      <c r="F103" s="1" t="s">
        <v>147</v>
      </c>
      <c r="G103" s="1" t="s">
        <v>62</v>
      </c>
      <c r="H103" s="1" t="s">
        <v>62</v>
      </c>
      <c r="I103" s="1">
        <v>3</v>
      </c>
      <c r="J103" s="1">
        <v>0</v>
      </c>
      <c r="K103" s="1" t="s">
        <v>18</v>
      </c>
      <c r="L103" s="1" t="s">
        <v>19</v>
      </c>
      <c r="M103" s="1" t="str">
        <f t="shared" si="1"/>
        <v xml:space="preserve">1958|21344| 14:00 |Group 3|Rasunda Stadium|Solna |Sweden|Sweden|3|0|Mexico| </v>
      </c>
    </row>
    <row r="104" spans="1:13" hidden="1" x14ac:dyDescent="0.2">
      <c r="A104" s="1">
        <v>1958</v>
      </c>
      <c r="B104" s="2" t="d">
        <v>1958-06-08</v>
      </c>
      <c r="C104" s="1" t="s">
        <v>148</v>
      </c>
      <c r="D104" s="1" t="s">
        <v>20</v>
      </c>
      <c r="E104" s="1" t="s">
        <v>149</v>
      </c>
      <c r="F104" s="1" t="s">
        <v>150</v>
      </c>
      <c r="G104" s="1" t="s">
        <v>62</v>
      </c>
      <c r="H104" s="1" t="s">
        <v>151</v>
      </c>
      <c r="I104" s="1">
        <v>2</v>
      </c>
      <c r="J104" s="1">
        <v>2</v>
      </c>
      <c r="K104" s="1" t="s">
        <v>110</v>
      </c>
      <c r="L104" s="1" t="s">
        <v>19</v>
      </c>
      <c r="M104" s="1" t="str">
        <f t="shared" si="1"/>
        <v xml:space="preserve">1958|21344| 19:00 |Group 4|Nya Ullevi|Gothenburg |Sweden|Soviet Union|2|2|England| </v>
      </c>
    </row>
    <row r="105" spans="1:13" hidden="1" x14ac:dyDescent="0.2">
      <c r="A105" s="1">
        <v>1958</v>
      </c>
      <c r="B105" s="2" t="d">
        <v>1958-06-08</v>
      </c>
      <c r="C105" s="1" t="s">
        <v>148</v>
      </c>
      <c r="D105" s="1" t="s">
        <v>13</v>
      </c>
      <c r="E105" s="1" t="s">
        <v>152</v>
      </c>
      <c r="F105" s="1" t="s">
        <v>153</v>
      </c>
      <c r="G105" s="1" t="s">
        <v>62</v>
      </c>
      <c r="H105" s="1" t="s">
        <v>33</v>
      </c>
      <c r="I105" s="1">
        <v>1</v>
      </c>
      <c r="J105" s="1">
        <v>3</v>
      </c>
      <c r="K105" s="1" t="s">
        <v>133</v>
      </c>
      <c r="L105" s="1" t="s">
        <v>19</v>
      </c>
      <c r="M105" s="1" t="str">
        <f t="shared" si="1"/>
        <v xml:space="preserve">1958|21344| 19:00 |Group 1|Malmo Stadion|Malmï¿½ |Sweden|Argentina|1|3|Germany FR| </v>
      </c>
    </row>
    <row r="106" spans="1:13" hidden="1" x14ac:dyDescent="0.2">
      <c r="A106" s="1">
        <v>1958</v>
      </c>
      <c r="B106" s="2" t="d">
        <v>1958-06-08</v>
      </c>
      <c r="C106" s="1" t="s">
        <v>148</v>
      </c>
      <c r="D106" s="1" t="s">
        <v>29</v>
      </c>
      <c r="E106" s="1" t="s">
        <v>154</v>
      </c>
      <c r="F106" s="1" t="s">
        <v>155</v>
      </c>
      <c r="G106" s="1" t="s">
        <v>62</v>
      </c>
      <c r="H106" s="1" t="s">
        <v>54</v>
      </c>
      <c r="I106" s="1">
        <v>1</v>
      </c>
      <c r="J106" s="1">
        <v>1</v>
      </c>
      <c r="K106" s="1" t="s">
        <v>156</v>
      </c>
      <c r="L106" s="1" t="s">
        <v>19</v>
      </c>
      <c r="M106" s="1" t="str">
        <f t="shared" si="1"/>
        <v xml:space="preserve">1958|21344| 19:00 |Group 3|Jarnvallen|Sandviken |Sweden|Hungary|1|1|Wales| </v>
      </c>
    </row>
    <row r="107" spans="1:13" hidden="1" x14ac:dyDescent="0.2">
      <c r="A107" s="1">
        <v>1958</v>
      </c>
      <c r="B107" s="2" t="d">
        <v>1958-06-08</v>
      </c>
      <c r="C107" s="1" t="s">
        <v>148</v>
      </c>
      <c r="D107" s="1" t="s">
        <v>25</v>
      </c>
      <c r="E107" s="1" t="s">
        <v>157</v>
      </c>
      <c r="F107" s="1" t="s">
        <v>158</v>
      </c>
      <c r="G107" s="1" t="s">
        <v>62</v>
      </c>
      <c r="H107" s="1" t="s">
        <v>17</v>
      </c>
      <c r="I107" s="1">
        <v>7</v>
      </c>
      <c r="J107" s="1">
        <v>3</v>
      </c>
      <c r="K107" s="1" t="s">
        <v>37</v>
      </c>
      <c r="L107" s="1" t="s">
        <v>19</v>
      </c>
      <c r="M107" s="1" t="str">
        <f t="shared" si="1"/>
        <v xml:space="preserve">1958|21344| 19:00 |Group 2|Idrottsparken|Norrkï¿½Ping |Sweden|France|7|3|Paraguay| </v>
      </c>
    </row>
    <row r="108" spans="1:13" hidden="1" x14ac:dyDescent="0.2">
      <c r="A108" s="1">
        <v>1958</v>
      </c>
      <c r="B108" s="2" t="d">
        <v>1958-06-08</v>
      </c>
      <c r="C108" s="1" t="s">
        <v>148</v>
      </c>
      <c r="D108" s="1" t="s">
        <v>25</v>
      </c>
      <c r="E108" s="1" t="s">
        <v>159</v>
      </c>
      <c r="F108" s="1" t="s">
        <v>160</v>
      </c>
      <c r="G108" s="1" t="s">
        <v>62</v>
      </c>
      <c r="H108" s="1" t="s">
        <v>26</v>
      </c>
      <c r="I108" s="1">
        <v>1</v>
      </c>
      <c r="J108" s="1">
        <v>1</v>
      </c>
      <c r="K108" s="1" t="s">
        <v>128</v>
      </c>
      <c r="L108" s="1" t="s">
        <v>19</v>
      </c>
      <c r="M108" s="1" t="str">
        <f t="shared" si="1"/>
        <v xml:space="preserve">1958|21344| 19:00 |Group 2|Arosvallen|Vasteras |Sweden|Yugoslavia|1|1|Scotland| </v>
      </c>
    </row>
    <row r="109" spans="1:13" hidden="1" x14ac:dyDescent="0.2">
      <c r="A109" s="1">
        <v>1958</v>
      </c>
      <c r="B109" s="2" t="d">
        <v>1958-06-08</v>
      </c>
      <c r="C109" s="1" t="s">
        <v>148</v>
      </c>
      <c r="D109" s="1" t="s">
        <v>20</v>
      </c>
      <c r="E109" s="1" t="s">
        <v>161</v>
      </c>
      <c r="F109" s="1" t="s">
        <v>162</v>
      </c>
      <c r="G109" s="1" t="s">
        <v>62</v>
      </c>
      <c r="H109" s="1" t="s">
        <v>27</v>
      </c>
      <c r="I109" s="1">
        <v>3</v>
      </c>
      <c r="J109" s="1">
        <v>0</v>
      </c>
      <c r="K109" s="1" t="s">
        <v>50</v>
      </c>
      <c r="L109" s="1" t="s">
        <v>19</v>
      </c>
      <c r="M109" s="1" t="str">
        <f t="shared" si="1"/>
        <v xml:space="preserve">1958|21344| 19:00 |Group 4|Rimnersvallen|Udevalla |Sweden|Brazil|3|0|Austria| </v>
      </c>
    </row>
    <row r="110" spans="1:13" hidden="1" x14ac:dyDescent="0.2">
      <c r="A110" s="1">
        <v>1958</v>
      </c>
      <c r="B110" s="2" t="d">
        <v>1958-06-08</v>
      </c>
      <c r="C110" s="1" t="s">
        <v>148</v>
      </c>
      <c r="D110" s="1" t="s">
        <v>13</v>
      </c>
      <c r="E110" s="1" t="s">
        <v>163</v>
      </c>
      <c r="F110" s="1" t="s">
        <v>164</v>
      </c>
      <c r="G110" s="1" t="s">
        <v>62</v>
      </c>
      <c r="H110" s="1" t="s">
        <v>165</v>
      </c>
      <c r="I110" s="1">
        <v>1</v>
      </c>
      <c r="J110" s="1">
        <v>0</v>
      </c>
      <c r="K110" s="1" t="s">
        <v>73</v>
      </c>
      <c r="L110" s="1" t="s">
        <v>19</v>
      </c>
      <c r="M110" s="1" t="str">
        <f t="shared" si="1"/>
        <v xml:space="preserve">1958|21344| 19:00 |Group 1|Orjans Vall|Halmstad |Sweden|Northern Ireland|1|0|Czechoslovakia| </v>
      </c>
    </row>
    <row r="111" spans="1:13" hidden="1" x14ac:dyDescent="0.2">
      <c r="A111" s="1">
        <v>1958</v>
      </c>
      <c r="B111" s="2" t="d">
        <v>1958-06-11</v>
      </c>
      <c r="C111" s="1" t="s">
        <v>148</v>
      </c>
      <c r="D111" s="1" t="s">
        <v>20</v>
      </c>
      <c r="E111" s="1" t="s">
        <v>149</v>
      </c>
      <c r="F111" s="1" t="s">
        <v>150</v>
      </c>
      <c r="G111" s="1" t="s">
        <v>62</v>
      </c>
      <c r="H111" s="1" t="s">
        <v>27</v>
      </c>
      <c r="I111" s="1">
        <v>0</v>
      </c>
      <c r="J111" s="1">
        <v>0</v>
      </c>
      <c r="K111" s="1" t="s">
        <v>110</v>
      </c>
      <c r="L111" s="1" t="s">
        <v>19</v>
      </c>
      <c r="M111" s="1" t="str">
        <f t="shared" si="1"/>
        <v xml:space="preserve">1958|21347| 19:00 |Group 4|Nya Ullevi|Gothenburg |Sweden|Brazil|0|0|England| </v>
      </c>
    </row>
    <row r="112" spans="1:13" hidden="1" x14ac:dyDescent="0.2">
      <c r="A112" s="1">
        <v>1958</v>
      </c>
      <c r="B112" s="2" t="d">
        <v>1958-06-11</v>
      </c>
      <c r="C112" s="1" t="s">
        <v>148</v>
      </c>
      <c r="D112" s="1" t="s">
        <v>29</v>
      </c>
      <c r="E112" s="1" t="s">
        <v>146</v>
      </c>
      <c r="F112" s="1" t="s">
        <v>147</v>
      </c>
      <c r="G112" s="1" t="s">
        <v>62</v>
      </c>
      <c r="H112" s="1" t="s">
        <v>18</v>
      </c>
      <c r="I112" s="1">
        <v>1</v>
      </c>
      <c r="J112" s="1">
        <v>1</v>
      </c>
      <c r="K112" s="1" t="s">
        <v>156</v>
      </c>
      <c r="L112" s="1" t="s">
        <v>19</v>
      </c>
      <c r="M112" s="1" t="str">
        <f t="shared" si="1"/>
        <v xml:space="preserve">1958|21347| 19:00 |Group 3|Rasunda Stadium|Solna |Sweden|Mexico|1|1|Wales| </v>
      </c>
    </row>
    <row r="113" spans="1:13" hidden="1" x14ac:dyDescent="0.2">
      <c r="A113" s="1">
        <v>1958</v>
      </c>
      <c r="B113" s="2" t="d">
        <v>1958-06-11</v>
      </c>
      <c r="C113" s="1" t="s">
        <v>148</v>
      </c>
      <c r="D113" s="1" t="s">
        <v>25</v>
      </c>
      <c r="E113" s="1" t="s">
        <v>157</v>
      </c>
      <c r="F113" s="1" t="s">
        <v>158</v>
      </c>
      <c r="G113" s="1" t="s">
        <v>62</v>
      </c>
      <c r="H113" s="1" t="s">
        <v>37</v>
      </c>
      <c r="I113" s="1">
        <v>3</v>
      </c>
      <c r="J113" s="1">
        <v>2</v>
      </c>
      <c r="K113" s="1" t="s">
        <v>128</v>
      </c>
      <c r="L113" s="1" t="s">
        <v>19</v>
      </c>
      <c r="M113" s="1" t="str">
        <f t="shared" si="1"/>
        <v xml:space="preserve">1958|21347| 19:00 |Group 2|Idrottsparken|Norrkï¿½Ping |Sweden|Paraguay|3|2|Scotland| </v>
      </c>
    </row>
    <row r="114" spans="1:13" hidden="1" x14ac:dyDescent="0.2">
      <c r="A114" s="1">
        <v>1958</v>
      </c>
      <c r="B114" s="2" t="d">
        <v>1958-06-11</v>
      </c>
      <c r="C114" s="1" t="s">
        <v>148</v>
      </c>
      <c r="D114" s="1" t="s">
        <v>25</v>
      </c>
      <c r="E114" s="1" t="s">
        <v>159</v>
      </c>
      <c r="F114" s="1" t="s">
        <v>160</v>
      </c>
      <c r="G114" s="1" t="s">
        <v>62</v>
      </c>
      <c r="H114" s="1" t="s">
        <v>26</v>
      </c>
      <c r="I114" s="1">
        <v>3</v>
      </c>
      <c r="J114" s="1">
        <v>2</v>
      </c>
      <c r="K114" s="1" t="s">
        <v>17</v>
      </c>
      <c r="L114" s="1" t="s">
        <v>19</v>
      </c>
      <c r="M114" s="1" t="str">
        <f t="shared" si="1"/>
        <v xml:space="preserve">1958|21347| 19:00 |Group 2|Arosvallen|Vasteras |Sweden|Yugoslavia|3|2|France| </v>
      </c>
    </row>
    <row r="115" spans="1:13" hidden="1" x14ac:dyDescent="0.2">
      <c r="A115" s="1">
        <v>1958</v>
      </c>
      <c r="B115" s="2" t="d">
        <v>1958-06-11</v>
      </c>
      <c r="C115" s="1" t="s">
        <v>148</v>
      </c>
      <c r="D115" s="1" t="s">
        <v>20</v>
      </c>
      <c r="E115" s="1" t="s">
        <v>166</v>
      </c>
      <c r="F115" s="1" t="s">
        <v>167</v>
      </c>
      <c r="G115" s="1" t="s">
        <v>62</v>
      </c>
      <c r="H115" s="1" t="s">
        <v>151</v>
      </c>
      <c r="I115" s="1">
        <v>2</v>
      </c>
      <c r="J115" s="1">
        <v>0</v>
      </c>
      <c r="K115" s="1" t="s">
        <v>50</v>
      </c>
      <c r="L115" s="1" t="s">
        <v>19</v>
      </c>
      <c r="M115" s="1" t="str">
        <f t="shared" si="1"/>
        <v xml:space="preserve">1958|21347| 19:00 |Group 4|Ryavallen|Boras |Sweden|Soviet Union|2|0|Austria| </v>
      </c>
    </row>
    <row r="116" spans="1:13" x14ac:dyDescent="0.2">
      <c r="A116" s="1">
        <v>1958</v>
      </c>
      <c r="B116" s="2" t="d">
        <v>1958-06-11</v>
      </c>
      <c r="C116" s="1" t="s">
        <v>148</v>
      </c>
      <c r="D116" s="1" t="s">
        <v>13</v>
      </c>
      <c r="E116" s="1" t="s">
        <v>168</v>
      </c>
      <c r="F116" s="1" t="s">
        <v>169</v>
      </c>
      <c r="G116" s="1" t="s">
        <v>62</v>
      </c>
      <c r="H116" s="1" t="s">
        <v>133</v>
      </c>
      <c r="I116" s="1">
        <v>2</v>
      </c>
      <c r="J116" s="1">
        <v>2</v>
      </c>
      <c r="K116" s="1" t="s">
        <v>73</v>
      </c>
      <c r="L116" s="1" t="s">
        <v>19</v>
      </c>
      <c r="M116" s="1" t="str">
        <f t="shared" si="1"/>
        <v xml:space="preserve">1958|21347| 19:00 |Group 1|Olympia Stadium|Helsingborg |Sweden|Germany FR|2|2|Czechoslovakia| </v>
      </c>
    </row>
    <row r="117" spans="1:13" hidden="1" x14ac:dyDescent="0.2">
      <c r="A117" s="1">
        <v>1958</v>
      </c>
      <c r="B117" s="2" t="d">
        <v>1958-06-11</v>
      </c>
      <c r="C117" s="1" t="s">
        <v>148</v>
      </c>
      <c r="D117" s="1" t="s">
        <v>13</v>
      </c>
      <c r="E117" s="1" t="s">
        <v>163</v>
      </c>
      <c r="F117" s="1" t="s">
        <v>164</v>
      </c>
      <c r="G117" s="1" t="s">
        <v>62</v>
      </c>
      <c r="H117" s="1" t="s">
        <v>33</v>
      </c>
      <c r="I117" s="1">
        <v>3</v>
      </c>
      <c r="J117" s="1">
        <v>1</v>
      </c>
      <c r="K117" s="1" t="s">
        <v>165</v>
      </c>
      <c r="L117" s="1" t="s">
        <v>19</v>
      </c>
      <c r="M117" s="1" t="str">
        <f t="shared" si="1"/>
        <v xml:space="preserve">1958|21347| 19:00 |Group 1|Orjans Vall|Halmstad |Sweden|Argentina|3|1|Northern Ireland| </v>
      </c>
    </row>
    <row r="118" spans="1:13" hidden="1" x14ac:dyDescent="0.2">
      <c r="A118" s="1">
        <v>1958</v>
      </c>
      <c r="B118" s="2" t="d">
        <v>1958-06-12</v>
      </c>
      <c r="C118" s="1" t="s">
        <v>148</v>
      </c>
      <c r="D118" s="1" t="s">
        <v>29</v>
      </c>
      <c r="E118" s="1" t="s">
        <v>146</v>
      </c>
      <c r="F118" s="1" t="s">
        <v>147</v>
      </c>
      <c r="G118" s="1" t="s">
        <v>62</v>
      </c>
      <c r="H118" s="1" t="s">
        <v>62</v>
      </c>
      <c r="I118" s="1">
        <v>2</v>
      </c>
      <c r="J118" s="1">
        <v>1</v>
      </c>
      <c r="K118" s="1" t="s">
        <v>54</v>
      </c>
      <c r="L118" s="1" t="s">
        <v>19</v>
      </c>
      <c r="M118" s="1" t="str">
        <f t="shared" si="1"/>
        <v xml:space="preserve">1958|21348| 19:00 |Group 3|Rasunda Stadium|Solna |Sweden|Sweden|2|1|Hungary| </v>
      </c>
    </row>
    <row r="119" spans="1:13" hidden="1" x14ac:dyDescent="0.2">
      <c r="A119" s="1">
        <v>1958</v>
      </c>
      <c r="B119" s="2" t="d">
        <v>1958-06-15</v>
      </c>
      <c r="C119" s="1" t="s">
        <v>145</v>
      </c>
      <c r="D119" s="1" t="s">
        <v>29</v>
      </c>
      <c r="E119" s="1" t="s">
        <v>146</v>
      </c>
      <c r="F119" s="1" t="s">
        <v>147</v>
      </c>
      <c r="G119" s="1" t="s">
        <v>62</v>
      </c>
      <c r="H119" s="1" t="s">
        <v>62</v>
      </c>
      <c r="I119" s="1">
        <v>0</v>
      </c>
      <c r="J119" s="1">
        <v>0</v>
      </c>
      <c r="K119" s="1" t="s">
        <v>156</v>
      </c>
      <c r="L119" s="1" t="s">
        <v>19</v>
      </c>
      <c r="M119" s="1" t="str">
        <f t="shared" si="1"/>
        <v xml:space="preserve">1958|21351| 14:00 |Group 3|Rasunda Stadium|Solna |Sweden|Sweden|0|0|Wales| </v>
      </c>
    </row>
    <row r="120" spans="1:13" hidden="1" x14ac:dyDescent="0.2">
      <c r="A120" s="1">
        <v>1958</v>
      </c>
      <c r="B120" s="2" t="d">
        <v>1958-06-15</v>
      </c>
      <c r="C120" s="1" t="s">
        <v>148</v>
      </c>
      <c r="D120" s="1" t="s">
        <v>20</v>
      </c>
      <c r="E120" s="1" t="s">
        <v>149</v>
      </c>
      <c r="F120" s="1" t="s">
        <v>150</v>
      </c>
      <c r="G120" s="1" t="s">
        <v>62</v>
      </c>
      <c r="H120" s="1" t="s">
        <v>27</v>
      </c>
      <c r="I120" s="1">
        <v>2</v>
      </c>
      <c r="J120" s="1">
        <v>0</v>
      </c>
      <c r="K120" s="1" t="s">
        <v>151</v>
      </c>
      <c r="L120" s="1" t="s">
        <v>19</v>
      </c>
      <c r="M120" s="1" t="str">
        <f t="shared" si="1"/>
        <v xml:space="preserve">1958|21351| 19:00 |Group 4|Nya Ullevi|Gothenburg |Sweden|Brazil|2|0|Soviet Union| </v>
      </c>
    </row>
    <row r="121" spans="1:13" x14ac:dyDescent="0.2">
      <c r="A121" s="1">
        <v>1958</v>
      </c>
      <c r="B121" s="2" t="d">
        <v>1958-06-15</v>
      </c>
      <c r="C121" s="1" t="s">
        <v>148</v>
      </c>
      <c r="D121" s="1" t="s">
        <v>13</v>
      </c>
      <c r="E121" s="1" t="s">
        <v>152</v>
      </c>
      <c r="F121" s="1" t="s">
        <v>153</v>
      </c>
      <c r="G121" s="1" t="s">
        <v>62</v>
      </c>
      <c r="H121" s="1" t="s">
        <v>133</v>
      </c>
      <c r="I121" s="1">
        <v>2</v>
      </c>
      <c r="J121" s="1">
        <v>2</v>
      </c>
      <c r="K121" s="1" t="s">
        <v>165</v>
      </c>
      <c r="L121" s="1" t="s">
        <v>19</v>
      </c>
      <c r="M121" s="1" t="str">
        <f t="shared" si="1"/>
        <v xml:space="preserve">1958|21351| 19:00 |Group 1|Malmo Stadion|Malmï¿½ |Sweden|Germany FR|2|2|Northern Ireland| </v>
      </c>
    </row>
    <row r="122" spans="1:13" hidden="1" x14ac:dyDescent="0.2">
      <c r="A122" s="1">
        <v>1958</v>
      </c>
      <c r="B122" s="2" t="d">
        <v>1958-06-15</v>
      </c>
      <c r="C122" s="1" t="s">
        <v>148</v>
      </c>
      <c r="D122" s="1" t="s">
        <v>29</v>
      </c>
      <c r="E122" s="1" t="s">
        <v>154</v>
      </c>
      <c r="F122" s="1" t="s">
        <v>155</v>
      </c>
      <c r="G122" s="1" t="s">
        <v>62</v>
      </c>
      <c r="H122" s="1" t="s">
        <v>54</v>
      </c>
      <c r="I122" s="1">
        <v>4</v>
      </c>
      <c r="J122" s="1">
        <v>0</v>
      </c>
      <c r="K122" s="1" t="s">
        <v>18</v>
      </c>
      <c r="L122" s="1" t="s">
        <v>19</v>
      </c>
      <c r="M122" s="1" t="str">
        <f t="shared" si="1"/>
        <v xml:space="preserve">1958|21351| 19:00 |Group 3|Jarnvallen|Sandviken |Sweden|Hungary|4|0|Mexico| </v>
      </c>
    </row>
    <row r="123" spans="1:13" hidden="1" x14ac:dyDescent="0.2">
      <c r="A123" s="1">
        <v>1958</v>
      </c>
      <c r="B123" s="2" t="d">
        <v>1958-06-15</v>
      </c>
      <c r="C123" s="1" t="s">
        <v>148</v>
      </c>
      <c r="D123" s="1" t="s">
        <v>25</v>
      </c>
      <c r="E123" s="1" t="s">
        <v>170</v>
      </c>
      <c r="F123" s="1" t="s">
        <v>171</v>
      </c>
      <c r="G123" s="1" t="s">
        <v>62</v>
      </c>
      <c r="H123" s="1" t="s">
        <v>37</v>
      </c>
      <c r="I123" s="1">
        <v>3</v>
      </c>
      <c r="J123" s="1">
        <v>3</v>
      </c>
      <c r="K123" s="1" t="s">
        <v>26</v>
      </c>
      <c r="L123" s="1" t="s">
        <v>19</v>
      </c>
      <c r="M123" s="1" t="str">
        <f t="shared" si="1"/>
        <v xml:space="preserve">1958|21351| 19:00 |Group 2|Tunavallen|Eskilstuna |Sweden|Paraguay|3|3|Yugoslavia| </v>
      </c>
    </row>
    <row r="124" spans="1:13" hidden="1" x14ac:dyDescent="0.2">
      <c r="A124" s="1">
        <v>1958</v>
      </c>
      <c r="B124" s="2" t="d">
        <v>1958-06-15</v>
      </c>
      <c r="C124" s="1" t="s">
        <v>148</v>
      </c>
      <c r="D124" s="1" t="s">
        <v>25</v>
      </c>
      <c r="E124" s="1" t="s">
        <v>172</v>
      </c>
      <c r="F124" s="1" t="s">
        <v>173</v>
      </c>
      <c r="G124" s="1" t="s">
        <v>62</v>
      </c>
      <c r="H124" s="1" t="s">
        <v>17</v>
      </c>
      <c r="I124" s="1">
        <v>2</v>
      </c>
      <c r="J124" s="1">
        <v>1</v>
      </c>
      <c r="K124" s="1" t="s">
        <v>128</v>
      </c>
      <c r="L124" s="1" t="s">
        <v>19</v>
      </c>
      <c r="M124" s="1" t="str">
        <f t="shared" si="1"/>
        <v xml:space="preserve">1958|21351| 19:00 |Group 2|Eyravallen|Orebro |Sweden|France|2|1|Scotland| </v>
      </c>
    </row>
    <row r="125" spans="1:13" hidden="1" x14ac:dyDescent="0.2">
      <c r="A125" s="1">
        <v>1958</v>
      </c>
      <c r="B125" s="2" t="d">
        <v>1958-06-15</v>
      </c>
      <c r="C125" s="1" t="s">
        <v>148</v>
      </c>
      <c r="D125" s="1" t="s">
        <v>20</v>
      </c>
      <c r="E125" s="1" t="s">
        <v>166</v>
      </c>
      <c r="F125" s="1" t="s">
        <v>167</v>
      </c>
      <c r="G125" s="1" t="s">
        <v>62</v>
      </c>
      <c r="H125" s="1" t="s">
        <v>110</v>
      </c>
      <c r="I125" s="1">
        <v>2</v>
      </c>
      <c r="J125" s="1">
        <v>2</v>
      </c>
      <c r="K125" s="1" t="s">
        <v>50</v>
      </c>
      <c r="L125" s="1" t="s">
        <v>19</v>
      </c>
      <c r="M125" s="1" t="str">
        <f t="shared" si="1"/>
        <v xml:space="preserve">1958|21351| 19:00 |Group 4|Ryavallen|Boras |Sweden|England|2|2|Austria| </v>
      </c>
    </row>
    <row r="126" spans="1:13" hidden="1" x14ac:dyDescent="0.2">
      <c r="A126" s="1">
        <v>1958</v>
      </c>
      <c r="B126" s="2" t="d">
        <v>1958-06-15</v>
      </c>
      <c r="C126" s="1" t="s">
        <v>148</v>
      </c>
      <c r="D126" s="1" t="s">
        <v>13</v>
      </c>
      <c r="E126" s="1" t="s">
        <v>168</v>
      </c>
      <c r="F126" s="1" t="s">
        <v>169</v>
      </c>
      <c r="G126" s="1" t="s">
        <v>62</v>
      </c>
      <c r="H126" s="1" t="s">
        <v>73</v>
      </c>
      <c r="I126" s="1">
        <v>6</v>
      </c>
      <c r="J126" s="1">
        <v>1</v>
      </c>
      <c r="K126" s="1" t="s">
        <v>33</v>
      </c>
      <c r="L126" s="1" t="s">
        <v>19</v>
      </c>
      <c r="M126" s="1" t="str">
        <f t="shared" si="1"/>
        <v xml:space="preserve">1958|21351| 19:00 |Group 1|Olympia Stadium|Helsingborg |Sweden|Czechoslovakia|6|1|Argentina| </v>
      </c>
    </row>
    <row r="127" spans="1:13" hidden="1" x14ac:dyDescent="0.2">
      <c r="A127" s="1">
        <v>1958</v>
      </c>
      <c r="B127" s="2" t="d">
        <v>1958-06-17</v>
      </c>
      <c r="C127" s="1" t="s">
        <v>148</v>
      </c>
      <c r="D127" s="1" t="s">
        <v>20</v>
      </c>
      <c r="E127" s="1" t="s">
        <v>149</v>
      </c>
      <c r="F127" s="1" t="s">
        <v>150</v>
      </c>
      <c r="G127" s="1" t="s">
        <v>62</v>
      </c>
      <c r="H127" s="1" t="s">
        <v>151</v>
      </c>
      <c r="I127" s="1">
        <v>1</v>
      </c>
      <c r="J127" s="1">
        <v>0</v>
      </c>
      <c r="K127" s="1" t="s">
        <v>110</v>
      </c>
      <c r="L127" s="1" t="s">
        <v>19</v>
      </c>
      <c r="M127" s="1" t="str">
        <f t="shared" si="1"/>
        <v xml:space="preserve">1958|21353| 19:00 |Group 4|Nya Ullevi|Gothenburg |Sweden|Soviet Union|1|0|England| </v>
      </c>
    </row>
    <row r="128" spans="1:13" hidden="1" x14ac:dyDescent="0.2">
      <c r="A128" s="1">
        <v>1958</v>
      </c>
      <c r="B128" s="2" t="d">
        <v>1958-06-17</v>
      </c>
      <c r="C128" s="1" t="s">
        <v>148</v>
      </c>
      <c r="D128" s="1" t="s">
        <v>13</v>
      </c>
      <c r="E128" s="1" t="s">
        <v>152</v>
      </c>
      <c r="F128" s="1" t="s">
        <v>153</v>
      </c>
      <c r="G128" s="1" t="s">
        <v>62</v>
      </c>
      <c r="H128" s="1" t="s">
        <v>165</v>
      </c>
      <c r="I128" s="1">
        <v>2</v>
      </c>
      <c r="J128" s="1">
        <v>1</v>
      </c>
      <c r="K128" s="1" t="s">
        <v>73</v>
      </c>
      <c r="L128" s="1" t="s">
        <v>174</v>
      </c>
      <c r="M128" s="1" t="str">
        <f t="shared" si="1"/>
        <v xml:space="preserve">1958|21353| 19:00 |Group 1|Malmo Stadion|Malmï¿½ |Sweden|Northern Ireland|2|1|Czechoslovakia|Northern Ireland win after extra time </v>
      </c>
    </row>
    <row r="129" spans="1:13" hidden="1" x14ac:dyDescent="0.2">
      <c r="A129" s="1">
        <v>1958</v>
      </c>
      <c r="B129" s="2" t="d">
        <v>1958-06-17</v>
      </c>
      <c r="C129" s="1" t="s">
        <v>148</v>
      </c>
      <c r="D129" s="1" t="s">
        <v>29</v>
      </c>
      <c r="E129" s="1" t="s">
        <v>146</v>
      </c>
      <c r="F129" s="1" t="s">
        <v>147</v>
      </c>
      <c r="G129" s="1" t="s">
        <v>62</v>
      </c>
      <c r="H129" s="1" t="s">
        <v>156</v>
      </c>
      <c r="I129" s="1">
        <v>2</v>
      </c>
      <c r="J129" s="1">
        <v>1</v>
      </c>
      <c r="K129" s="1" t="s">
        <v>54</v>
      </c>
      <c r="L129" s="1" t="s">
        <v>19</v>
      </c>
      <c r="M129" s="1" t="str">
        <f t="shared" si="1"/>
        <v xml:space="preserve">1958|21353| 19:00 |Group 3|Rasunda Stadium|Solna |Sweden|Wales|2|1|Hungary| </v>
      </c>
    </row>
    <row r="130" spans="1:13" hidden="1" x14ac:dyDescent="0.2">
      <c r="A130" s="1">
        <v>1958</v>
      </c>
      <c r="B130" s="2" t="d">
        <v>1958-06-19</v>
      </c>
      <c r="C130" s="1" t="s">
        <v>148</v>
      </c>
      <c r="D130" s="12" t="s">
        <v>74</v>
      </c>
      <c r="E130" s="1" t="s">
        <v>149</v>
      </c>
      <c r="F130" s="1" t="s">
        <v>150</v>
      </c>
      <c r="G130" s="1" t="s">
        <v>62</v>
      </c>
      <c r="H130" s="1" t="s">
        <v>27</v>
      </c>
      <c r="I130" s="1">
        <v>1</v>
      </c>
      <c r="J130" s="1">
        <v>0</v>
      </c>
      <c r="K130" s="1" t="s">
        <v>156</v>
      </c>
      <c r="L130" s="1" t="s">
        <v>19</v>
      </c>
      <c r="M130" s="1" t="str">
        <f t="shared" si="1"/>
        <v xml:space="preserve">1958|21355| 19:00 |Quarter-finals|Nya Ullevi|Gothenburg |Sweden|Brazil|1|0|Wales| </v>
      </c>
    </row>
    <row r="131" spans="1:13" x14ac:dyDescent="0.2">
      <c r="A131" s="1">
        <v>1958</v>
      </c>
      <c r="B131" s="2" t="d">
        <v>1958-06-19</v>
      </c>
      <c r="C131" s="1" t="s">
        <v>148</v>
      </c>
      <c r="D131" s="12" t="s">
        <v>74</v>
      </c>
      <c r="E131" s="1" t="s">
        <v>152</v>
      </c>
      <c r="F131" s="1" t="s">
        <v>153</v>
      </c>
      <c r="G131" s="1" t="s">
        <v>62</v>
      </c>
      <c r="H131" s="1" t="s">
        <v>133</v>
      </c>
      <c r="I131" s="1">
        <v>1</v>
      </c>
      <c r="J131" s="1">
        <v>0</v>
      </c>
      <c r="K131" s="1" t="s">
        <v>26</v>
      </c>
      <c r="L131" s="1" t="s">
        <v>19</v>
      </c>
      <c r="M131" s="1" t="str">
        <f t="shared" ref="M131:M194" si="2">_xlfn.TEXTJOIN("|",TRUE,A131,B131,C131,D131,E131,F131,G131,H131,I131,J131,K131,L131)</f>
        <v xml:space="preserve">1958|21355| 19:00 |Quarter-finals|Malmo Stadion|Malmï¿½ |Sweden|Germany FR|1|0|Yugoslavia| </v>
      </c>
    </row>
    <row r="132" spans="1:13" hidden="1" x14ac:dyDescent="0.2">
      <c r="A132" s="1">
        <v>1958</v>
      </c>
      <c r="B132" s="2" t="d">
        <v>1958-06-19</v>
      </c>
      <c r="C132" s="1" t="s">
        <v>148</v>
      </c>
      <c r="D132" s="12" t="s">
        <v>74</v>
      </c>
      <c r="E132" s="1" t="s">
        <v>146</v>
      </c>
      <c r="F132" s="1" t="s">
        <v>147</v>
      </c>
      <c r="G132" s="1" t="s">
        <v>62</v>
      </c>
      <c r="H132" s="1" t="s">
        <v>62</v>
      </c>
      <c r="I132" s="1">
        <v>2</v>
      </c>
      <c r="J132" s="1">
        <v>0</v>
      </c>
      <c r="K132" s="1" t="s">
        <v>151</v>
      </c>
      <c r="L132" s="1" t="s">
        <v>19</v>
      </c>
      <c r="M132" s="1" t="str">
        <f t="shared" si="2"/>
        <v xml:space="preserve">1958|21355| 19:00 |Quarter-finals|Rasunda Stadium|Solna |Sweden|Sweden|2|0|Soviet Union| </v>
      </c>
    </row>
    <row r="133" spans="1:13" hidden="1" x14ac:dyDescent="0.2">
      <c r="A133" s="1">
        <v>1958</v>
      </c>
      <c r="B133" s="2" t="d">
        <v>1958-06-19</v>
      </c>
      <c r="C133" s="1" t="s">
        <v>148</v>
      </c>
      <c r="D133" s="12" t="s">
        <v>74</v>
      </c>
      <c r="E133" s="1" t="s">
        <v>157</v>
      </c>
      <c r="F133" s="1" t="s">
        <v>158</v>
      </c>
      <c r="G133" s="1" t="s">
        <v>62</v>
      </c>
      <c r="H133" s="1" t="s">
        <v>17</v>
      </c>
      <c r="I133" s="1">
        <v>4</v>
      </c>
      <c r="J133" s="1">
        <v>0</v>
      </c>
      <c r="K133" s="1" t="s">
        <v>165</v>
      </c>
      <c r="L133" s="1" t="s">
        <v>19</v>
      </c>
      <c r="M133" s="1" t="str">
        <f t="shared" si="2"/>
        <v xml:space="preserve">1958|21355| 19:00 |Quarter-finals|Idrottsparken|Norrkï¿½Ping |Sweden|France|4|0|Northern Ireland| </v>
      </c>
    </row>
    <row r="134" spans="1:13" hidden="1" x14ac:dyDescent="0.2">
      <c r="A134" s="1">
        <v>1958</v>
      </c>
      <c r="B134" s="2" t="d">
        <v>1958-06-24</v>
      </c>
      <c r="C134" s="1" t="s">
        <v>148</v>
      </c>
      <c r="D134" s="12" t="s">
        <v>42</v>
      </c>
      <c r="E134" s="1" t="s">
        <v>149</v>
      </c>
      <c r="F134" s="1" t="s">
        <v>150</v>
      </c>
      <c r="G134" s="1" t="s">
        <v>62</v>
      </c>
      <c r="H134" s="1" t="s">
        <v>62</v>
      </c>
      <c r="I134" s="1">
        <v>3</v>
      </c>
      <c r="J134" s="1">
        <v>1</v>
      </c>
      <c r="K134" s="1" t="s">
        <v>133</v>
      </c>
      <c r="L134" s="1" t="s">
        <v>19</v>
      </c>
      <c r="M134" s="1" t="str">
        <f t="shared" si="2"/>
        <v xml:space="preserve">1958|21360| 19:00 |Semi-finals|Nya Ullevi|Gothenburg |Sweden|Sweden|3|1|Germany FR| </v>
      </c>
    </row>
    <row r="135" spans="1:13" hidden="1" x14ac:dyDescent="0.2">
      <c r="A135" s="1">
        <v>1958</v>
      </c>
      <c r="B135" s="2" t="d">
        <v>1958-06-24</v>
      </c>
      <c r="C135" s="1" t="s">
        <v>148</v>
      </c>
      <c r="D135" s="12" t="s">
        <v>42</v>
      </c>
      <c r="E135" s="1" t="s">
        <v>146</v>
      </c>
      <c r="F135" s="1" t="s">
        <v>147</v>
      </c>
      <c r="G135" s="1" t="s">
        <v>62</v>
      </c>
      <c r="H135" s="1" t="s">
        <v>27</v>
      </c>
      <c r="I135" s="1">
        <v>5</v>
      </c>
      <c r="J135" s="1">
        <v>2</v>
      </c>
      <c r="K135" s="1" t="s">
        <v>17</v>
      </c>
      <c r="L135" s="1" t="s">
        <v>19</v>
      </c>
      <c r="M135" s="1" t="str">
        <f t="shared" si="2"/>
        <v xml:space="preserve">1958|21360| 19:00 |Semi-finals|Rasunda Stadium|Solna |Sweden|Brazil|5|2|France| </v>
      </c>
    </row>
    <row r="136" spans="1:13" hidden="1" x14ac:dyDescent="0.2">
      <c r="A136" s="1">
        <v>1958</v>
      </c>
      <c r="B136" s="2" t="d">
        <v>1958-06-28</v>
      </c>
      <c r="C136" s="1" t="s">
        <v>79</v>
      </c>
      <c r="D136" s="12" t="s">
        <v>76</v>
      </c>
      <c r="E136" s="1" t="s">
        <v>149</v>
      </c>
      <c r="F136" s="1" t="s">
        <v>150</v>
      </c>
      <c r="G136" s="1" t="s">
        <v>62</v>
      </c>
      <c r="H136" s="1" t="s">
        <v>17</v>
      </c>
      <c r="I136" s="1">
        <v>6</v>
      </c>
      <c r="J136" s="1">
        <v>3</v>
      </c>
      <c r="K136" s="1" t="s">
        <v>133</v>
      </c>
      <c r="L136" s="1" t="s">
        <v>19</v>
      </c>
      <c r="M136" s="1" t="str">
        <f t="shared" si="2"/>
        <v xml:space="preserve">1958|21364| 17:00 |Match for third place|Nya Ullevi|Gothenburg |Sweden|France|6|3|Germany FR| </v>
      </c>
    </row>
    <row r="137" spans="1:13" hidden="1" x14ac:dyDescent="0.2">
      <c r="A137" s="1">
        <v>1958</v>
      </c>
      <c r="B137" s="2" t="d">
        <v>1958-06-29</v>
      </c>
      <c r="C137" s="1" t="s">
        <v>12</v>
      </c>
      <c r="D137" s="12" t="s">
        <v>44</v>
      </c>
      <c r="E137" s="1" t="s">
        <v>146</v>
      </c>
      <c r="F137" s="1" t="s">
        <v>147</v>
      </c>
      <c r="G137" s="1" t="s">
        <v>62</v>
      </c>
      <c r="H137" s="1" t="s">
        <v>27</v>
      </c>
      <c r="I137" s="1">
        <v>5</v>
      </c>
      <c r="J137" s="1">
        <v>2</v>
      </c>
      <c r="K137" s="1" t="s">
        <v>62</v>
      </c>
      <c r="L137" s="1" t="s">
        <v>19</v>
      </c>
      <c r="M137" s="1" t="str">
        <f t="shared" si="2"/>
        <v xml:space="preserve">1958|21365| 15:00 |Final|Rasunda Stadium|Solna |Sweden|Brazil|5|2|Sweden| </v>
      </c>
    </row>
    <row r="138" spans="1:13" hidden="1" x14ac:dyDescent="0.2">
      <c r="A138" s="1">
        <v>1962</v>
      </c>
      <c r="B138" s="2" t="d">
        <v>1962-05-30</v>
      </c>
      <c r="C138" s="1" t="s">
        <v>12</v>
      </c>
      <c r="D138" s="1" t="s">
        <v>13</v>
      </c>
      <c r="E138" s="1" t="s">
        <v>175</v>
      </c>
      <c r="F138" s="1" t="s">
        <v>176</v>
      </c>
      <c r="G138" s="1" t="s">
        <v>35</v>
      </c>
      <c r="H138" s="1" t="s">
        <v>16</v>
      </c>
      <c r="I138" s="1">
        <v>2</v>
      </c>
      <c r="J138" s="1">
        <v>1</v>
      </c>
      <c r="K138" s="1" t="s">
        <v>177</v>
      </c>
      <c r="L138" s="1" t="s">
        <v>19</v>
      </c>
      <c r="M138" s="1" t="str">
        <f t="shared" si="2"/>
        <v xml:space="preserve">1962|22796| 15:00 |Group 1|Carlos Dittborn|Arica |Chile|Uruguay|2|1|Colombia| </v>
      </c>
    </row>
    <row r="139" spans="1:13" hidden="1" x14ac:dyDescent="0.2">
      <c r="A139" s="1">
        <v>1962</v>
      </c>
      <c r="B139" s="2" t="d">
        <v>1962-05-30</v>
      </c>
      <c r="C139" s="1" t="s">
        <v>12</v>
      </c>
      <c r="D139" s="1" t="s">
        <v>29</v>
      </c>
      <c r="E139" s="1" t="s">
        <v>178</v>
      </c>
      <c r="F139" s="1" t="s">
        <v>179</v>
      </c>
      <c r="G139" s="1" t="s">
        <v>35</v>
      </c>
      <c r="H139" s="1" t="s">
        <v>27</v>
      </c>
      <c r="I139" s="1">
        <v>2</v>
      </c>
      <c r="J139" s="1">
        <v>0</v>
      </c>
      <c r="K139" s="1" t="s">
        <v>18</v>
      </c>
      <c r="L139" s="1" t="s">
        <v>19</v>
      </c>
      <c r="M139" s="1" t="str">
        <f t="shared" si="2"/>
        <v xml:space="preserve">1962|22796| 15:00 |Group 3|Estadio Sausalito|Vina Del Mar |Chile|Brazil|2|0|Mexico| </v>
      </c>
    </row>
    <row r="140" spans="1:13" hidden="1" x14ac:dyDescent="0.2">
      <c r="A140" s="1">
        <v>1962</v>
      </c>
      <c r="B140" s="2" t="d">
        <v>1962-05-30</v>
      </c>
      <c r="C140" s="1" t="s">
        <v>12</v>
      </c>
      <c r="D140" s="1" t="s">
        <v>20</v>
      </c>
      <c r="E140" s="1" t="s">
        <v>180</v>
      </c>
      <c r="F140" s="1" t="s">
        <v>181</v>
      </c>
      <c r="G140" s="1" t="s">
        <v>35</v>
      </c>
      <c r="H140" s="1" t="s">
        <v>33</v>
      </c>
      <c r="I140" s="1">
        <v>1</v>
      </c>
      <c r="J140" s="1">
        <v>0</v>
      </c>
      <c r="K140" s="1" t="s">
        <v>182</v>
      </c>
      <c r="L140" s="1" t="s">
        <v>19</v>
      </c>
      <c r="M140" s="1" t="str">
        <f t="shared" si="2"/>
        <v xml:space="preserve">1962|22796| 15:00 |Group 4|Estadio El Teniente-Codelco|Rancagua |Chile|Argentina|1|0|Bulgaria| </v>
      </c>
    </row>
    <row r="141" spans="1:13" hidden="1" x14ac:dyDescent="0.2">
      <c r="A141" s="1">
        <v>1962</v>
      </c>
      <c r="B141" s="2" t="d">
        <v>1962-05-30</v>
      </c>
      <c r="C141" s="1" t="s">
        <v>12</v>
      </c>
      <c r="D141" s="1" t="s">
        <v>25</v>
      </c>
      <c r="E141" s="1" t="s">
        <v>183</v>
      </c>
      <c r="F141" s="1" t="s">
        <v>184</v>
      </c>
      <c r="G141" s="1" t="s">
        <v>35</v>
      </c>
      <c r="H141" s="1" t="s">
        <v>35</v>
      </c>
      <c r="I141" s="1">
        <v>3</v>
      </c>
      <c r="J141" s="1">
        <v>1</v>
      </c>
      <c r="K141" s="1" t="s">
        <v>58</v>
      </c>
      <c r="L141" s="1" t="s">
        <v>19</v>
      </c>
      <c r="M141" s="1" t="str">
        <f t="shared" si="2"/>
        <v xml:space="preserve">1962|22796| 15:00 |Group 2|Nacional|Santiago De Chile |Chile|Chile|3|1|Switzerland| </v>
      </c>
    </row>
    <row r="142" spans="1:13" hidden="1" x14ac:dyDescent="0.2">
      <c r="A142" s="1">
        <v>1962</v>
      </c>
      <c r="B142" s="2" t="d">
        <v>1962-05-31</v>
      </c>
      <c r="C142" s="1" t="s">
        <v>12</v>
      </c>
      <c r="D142" s="1" t="s">
        <v>13</v>
      </c>
      <c r="E142" s="1" t="s">
        <v>175</v>
      </c>
      <c r="F142" s="1" t="s">
        <v>176</v>
      </c>
      <c r="G142" s="1" t="s">
        <v>35</v>
      </c>
      <c r="H142" s="1" t="s">
        <v>151</v>
      </c>
      <c r="I142" s="1">
        <v>2</v>
      </c>
      <c r="J142" s="1">
        <v>0</v>
      </c>
      <c r="K142" s="1" t="s">
        <v>26</v>
      </c>
      <c r="L142" s="1" t="s">
        <v>19</v>
      </c>
      <c r="M142" s="1" t="str">
        <f t="shared" si="2"/>
        <v xml:space="preserve">1962|22797| 15:00 |Group 1|Carlos Dittborn|Arica |Chile|Soviet Union|2|0|Yugoslavia| </v>
      </c>
    </row>
    <row r="143" spans="1:13" hidden="1" x14ac:dyDescent="0.2">
      <c r="A143" s="1">
        <v>1962</v>
      </c>
      <c r="B143" s="2" t="d">
        <v>1962-05-31</v>
      </c>
      <c r="C143" s="1" t="s">
        <v>12</v>
      </c>
      <c r="D143" s="1" t="s">
        <v>29</v>
      </c>
      <c r="E143" s="1" t="s">
        <v>178</v>
      </c>
      <c r="F143" s="1" t="s">
        <v>179</v>
      </c>
      <c r="G143" s="1" t="s">
        <v>35</v>
      </c>
      <c r="H143" s="1" t="s">
        <v>73</v>
      </c>
      <c r="I143" s="1">
        <v>1</v>
      </c>
      <c r="J143" s="1">
        <v>0</v>
      </c>
      <c r="K143" s="1" t="s">
        <v>68</v>
      </c>
      <c r="L143" s="1" t="s">
        <v>19</v>
      </c>
      <c r="M143" s="1" t="str">
        <f t="shared" si="2"/>
        <v xml:space="preserve">1962|22797| 15:00 |Group 3|Estadio Sausalito|Vina Del Mar |Chile|Czechoslovakia|1|0|Spain| </v>
      </c>
    </row>
    <row r="144" spans="1:13" hidden="1" x14ac:dyDescent="0.2">
      <c r="A144" s="1">
        <v>1962</v>
      </c>
      <c r="B144" s="2" t="d">
        <v>1962-05-31</v>
      </c>
      <c r="C144" s="1" t="s">
        <v>12</v>
      </c>
      <c r="D144" s="1" t="s">
        <v>20</v>
      </c>
      <c r="E144" s="1" t="s">
        <v>180</v>
      </c>
      <c r="F144" s="1" t="s">
        <v>181</v>
      </c>
      <c r="G144" s="1" t="s">
        <v>35</v>
      </c>
      <c r="H144" s="1" t="s">
        <v>54</v>
      </c>
      <c r="I144" s="1">
        <v>2</v>
      </c>
      <c r="J144" s="1">
        <v>1</v>
      </c>
      <c r="K144" s="1" t="s">
        <v>110</v>
      </c>
      <c r="L144" s="1" t="s">
        <v>19</v>
      </c>
      <c r="M144" s="1" t="str">
        <f t="shared" si="2"/>
        <v xml:space="preserve">1962|22797| 15:00 |Group 4|Estadio El Teniente-Codelco|Rancagua |Chile|Hungary|2|1|England| </v>
      </c>
    </row>
    <row r="145" spans="1:13" x14ac:dyDescent="0.2">
      <c r="A145" s="1">
        <v>1962</v>
      </c>
      <c r="B145" s="2" t="d">
        <v>1962-05-31</v>
      </c>
      <c r="C145" s="1" t="s">
        <v>12</v>
      </c>
      <c r="D145" s="1" t="s">
        <v>25</v>
      </c>
      <c r="E145" s="1" t="s">
        <v>183</v>
      </c>
      <c r="F145" s="1" t="s">
        <v>184</v>
      </c>
      <c r="G145" s="1" t="s">
        <v>35</v>
      </c>
      <c r="H145" s="1" t="s">
        <v>133</v>
      </c>
      <c r="I145" s="1">
        <v>0</v>
      </c>
      <c r="J145" s="1">
        <v>0</v>
      </c>
      <c r="K145" s="1" t="s">
        <v>49</v>
      </c>
      <c r="L145" s="1" t="s">
        <v>19</v>
      </c>
      <c r="M145" s="1" t="str">
        <f t="shared" si="2"/>
        <v xml:space="preserve">1962|22797| 15:00 |Group 2|Nacional|Santiago De Chile |Chile|Germany FR|0|0|Italy| </v>
      </c>
    </row>
    <row r="146" spans="1:13" hidden="1" x14ac:dyDescent="0.2">
      <c r="A146" s="1">
        <v>1962</v>
      </c>
      <c r="B146" s="2" t="d">
        <v>1962-06-02</v>
      </c>
      <c r="C146" s="1" t="s">
        <v>12</v>
      </c>
      <c r="D146" s="1" t="s">
        <v>13</v>
      </c>
      <c r="E146" s="1" t="s">
        <v>175</v>
      </c>
      <c r="F146" s="1" t="s">
        <v>176</v>
      </c>
      <c r="G146" s="1" t="s">
        <v>35</v>
      </c>
      <c r="H146" s="1" t="s">
        <v>26</v>
      </c>
      <c r="I146" s="1">
        <v>3</v>
      </c>
      <c r="J146" s="1">
        <v>1</v>
      </c>
      <c r="K146" s="1" t="s">
        <v>16</v>
      </c>
      <c r="L146" s="1" t="s">
        <v>19</v>
      </c>
      <c r="M146" s="1" t="str">
        <f t="shared" si="2"/>
        <v xml:space="preserve">1962|22799| 15:00 |Group 1|Carlos Dittborn|Arica |Chile|Yugoslavia|3|1|Uruguay| </v>
      </c>
    </row>
    <row r="147" spans="1:13" hidden="1" x14ac:dyDescent="0.2">
      <c r="A147" s="1">
        <v>1962</v>
      </c>
      <c r="B147" s="2" t="d">
        <v>1962-06-02</v>
      </c>
      <c r="C147" s="1" t="s">
        <v>12</v>
      </c>
      <c r="D147" s="1" t="s">
        <v>29</v>
      </c>
      <c r="E147" s="1" t="s">
        <v>178</v>
      </c>
      <c r="F147" s="1" t="s">
        <v>179</v>
      </c>
      <c r="G147" s="1" t="s">
        <v>35</v>
      </c>
      <c r="H147" s="1" t="s">
        <v>27</v>
      </c>
      <c r="I147" s="1">
        <v>0</v>
      </c>
      <c r="J147" s="1">
        <v>0</v>
      </c>
      <c r="K147" s="1" t="s">
        <v>73</v>
      </c>
      <c r="L147" s="1" t="s">
        <v>19</v>
      </c>
      <c r="M147" s="1" t="str">
        <f t="shared" si="2"/>
        <v xml:space="preserve">1962|22799| 15:00 |Group 3|Estadio Sausalito|Vina Del Mar |Chile|Brazil|0|0|Czechoslovakia| </v>
      </c>
    </row>
    <row r="148" spans="1:13" hidden="1" x14ac:dyDescent="0.2">
      <c r="A148" s="1">
        <v>1962</v>
      </c>
      <c r="B148" s="2" t="d">
        <v>1962-06-02</v>
      </c>
      <c r="C148" s="1" t="s">
        <v>12</v>
      </c>
      <c r="D148" s="1" t="s">
        <v>20</v>
      </c>
      <c r="E148" s="1" t="s">
        <v>180</v>
      </c>
      <c r="F148" s="1" t="s">
        <v>181</v>
      </c>
      <c r="G148" s="1" t="s">
        <v>35</v>
      </c>
      <c r="H148" s="1" t="s">
        <v>110</v>
      </c>
      <c r="I148" s="1">
        <v>3</v>
      </c>
      <c r="J148" s="1">
        <v>1</v>
      </c>
      <c r="K148" s="1" t="s">
        <v>33</v>
      </c>
      <c r="L148" s="1" t="s">
        <v>19</v>
      </c>
      <c r="M148" s="1" t="str">
        <f t="shared" si="2"/>
        <v xml:space="preserve">1962|22799| 15:00 |Group 4|Estadio El Teniente-Codelco|Rancagua |Chile|England|3|1|Argentina| </v>
      </c>
    </row>
    <row r="149" spans="1:13" hidden="1" x14ac:dyDescent="0.2">
      <c r="A149" s="1">
        <v>1962</v>
      </c>
      <c r="B149" s="2" t="d">
        <v>1962-06-02</v>
      </c>
      <c r="C149" s="1" t="s">
        <v>12</v>
      </c>
      <c r="D149" s="1" t="s">
        <v>25</v>
      </c>
      <c r="E149" s="1" t="s">
        <v>183</v>
      </c>
      <c r="F149" s="1" t="s">
        <v>184</v>
      </c>
      <c r="G149" s="1" t="s">
        <v>35</v>
      </c>
      <c r="H149" s="1" t="s">
        <v>35</v>
      </c>
      <c r="I149" s="1">
        <v>2</v>
      </c>
      <c r="J149" s="1">
        <v>0</v>
      </c>
      <c r="K149" s="1" t="s">
        <v>49</v>
      </c>
      <c r="L149" s="1" t="s">
        <v>19</v>
      </c>
      <c r="M149" s="1" t="str">
        <f t="shared" si="2"/>
        <v xml:space="preserve">1962|22799| 15:00 |Group 2|Nacional|Santiago De Chile |Chile|Chile|2|0|Italy| </v>
      </c>
    </row>
    <row r="150" spans="1:13" hidden="1" x14ac:dyDescent="0.2">
      <c r="A150" s="1">
        <v>1962</v>
      </c>
      <c r="B150" s="2" t="d">
        <v>1962-06-03</v>
      </c>
      <c r="C150" s="1" t="s">
        <v>12</v>
      </c>
      <c r="D150" s="1" t="s">
        <v>13</v>
      </c>
      <c r="E150" s="1" t="s">
        <v>175</v>
      </c>
      <c r="F150" s="1" t="s">
        <v>176</v>
      </c>
      <c r="G150" s="1" t="s">
        <v>35</v>
      </c>
      <c r="H150" s="1" t="s">
        <v>151</v>
      </c>
      <c r="I150" s="1">
        <v>4</v>
      </c>
      <c r="J150" s="1">
        <v>4</v>
      </c>
      <c r="K150" s="1" t="s">
        <v>177</v>
      </c>
      <c r="L150" s="1" t="s">
        <v>19</v>
      </c>
      <c r="M150" s="1" t="str">
        <f t="shared" si="2"/>
        <v xml:space="preserve">1962|22800| 15:00 |Group 1|Carlos Dittborn|Arica |Chile|Soviet Union|4|4|Colombia| </v>
      </c>
    </row>
    <row r="151" spans="1:13" hidden="1" x14ac:dyDescent="0.2">
      <c r="A151" s="1">
        <v>1962</v>
      </c>
      <c r="B151" s="2" t="d">
        <v>1962-06-03</v>
      </c>
      <c r="C151" s="1" t="s">
        <v>12</v>
      </c>
      <c r="D151" s="1" t="s">
        <v>29</v>
      </c>
      <c r="E151" s="1" t="s">
        <v>178</v>
      </c>
      <c r="F151" s="1" t="s">
        <v>179</v>
      </c>
      <c r="G151" s="1" t="s">
        <v>35</v>
      </c>
      <c r="H151" s="1" t="s">
        <v>68</v>
      </c>
      <c r="I151" s="1">
        <v>1</v>
      </c>
      <c r="J151" s="1">
        <v>0</v>
      </c>
      <c r="K151" s="1" t="s">
        <v>18</v>
      </c>
      <c r="L151" s="1" t="s">
        <v>19</v>
      </c>
      <c r="M151" s="1" t="str">
        <f t="shared" si="2"/>
        <v xml:space="preserve">1962|22800| 15:00 |Group 3|Estadio Sausalito|Vina Del Mar |Chile|Spain|1|0|Mexico| </v>
      </c>
    </row>
    <row r="152" spans="1:13" hidden="1" x14ac:dyDescent="0.2">
      <c r="A152" s="1">
        <v>1962</v>
      </c>
      <c r="B152" s="2" t="d">
        <v>1962-06-03</v>
      </c>
      <c r="C152" s="1" t="s">
        <v>12</v>
      </c>
      <c r="D152" s="1" t="s">
        <v>20</v>
      </c>
      <c r="E152" s="1" t="s">
        <v>180</v>
      </c>
      <c r="F152" s="1" t="s">
        <v>181</v>
      </c>
      <c r="G152" s="1" t="s">
        <v>35</v>
      </c>
      <c r="H152" s="1" t="s">
        <v>54</v>
      </c>
      <c r="I152" s="1">
        <v>6</v>
      </c>
      <c r="J152" s="1">
        <v>1</v>
      </c>
      <c r="K152" s="1" t="s">
        <v>182</v>
      </c>
      <c r="L152" s="1" t="s">
        <v>19</v>
      </c>
      <c r="M152" s="1" t="str">
        <f t="shared" si="2"/>
        <v xml:space="preserve">1962|22800| 15:00 |Group 4|Estadio El Teniente-Codelco|Rancagua |Chile|Hungary|6|1|Bulgaria| </v>
      </c>
    </row>
    <row r="153" spans="1:13" x14ac:dyDescent="0.2">
      <c r="A153" s="1">
        <v>1962</v>
      </c>
      <c r="B153" s="2" t="d">
        <v>1962-06-03</v>
      </c>
      <c r="C153" s="1" t="s">
        <v>12</v>
      </c>
      <c r="D153" s="1" t="s">
        <v>25</v>
      </c>
      <c r="E153" s="1" t="s">
        <v>183</v>
      </c>
      <c r="F153" s="1" t="s">
        <v>184</v>
      </c>
      <c r="G153" s="1" t="s">
        <v>35</v>
      </c>
      <c r="H153" s="1" t="s">
        <v>133</v>
      </c>
      <c r="I153" s="1">
        <v>2</v>
      </c>
      <c r="J153" s="1">
        <v>1</v>
      </c>
      <c r="K153" s="1" t="s">
        <v>58</v>
      </c>
      <c r="L153" s="1" t="s">
        <v>19</v>
      </c>
      <c r="M153" s="1" t="str">
        <f t="shared" si="2"/>
        <v xml:space="preserve">1962|22800| 15:00 |Group 2|Nacional|Santiago De Chile |Chile|Germany FR|2|1|Switzerland| </v>
      </c>
    </row>
    <row r="154" spans="1:13" hidden="1" x14ac:dyDescent="0.2">
      <c r="A154" s="1">
        <v>1962</v>
      </c>
      <c r="B154" s="2" t="d">
        <v>1962-06-06</v>
      </c>
      <c r="C154" s="1" t="s">
        <v>12</v>
      </c>
      <c r="D154" s="1" t="s">
        <v>13</v>
      </c>
      <c r="E154" s="1" t="s">
        <v>175</v>
      </c>
      <c r="F154" s="1" t="s">
        <v>176</v>
      </c>
      <c r="G154" s="1" t="s">
        <v>35</v>
      </c>
      <c r="H154" s="1" t="s">
        <v>151</v>
      </c>
      <c r="I154" s="1">
        <v>2</v>
      </c>
      <c r="J154" s="1">
        <v>1</v>
      </c>
      <c r="K154" s="1" t="s">
        <v>16</v>
      </c>
      <c r="L154" s="1" t="s">
        <v>19</v>
      </c>
      <c r="M154" s="1" t="str">
        <f t="shared" si="2"/>
        <v xml:space="preserve">1962|22803| 15:00 |Group 1|Carlos Dittborn|Arica |Chile|Soviet Union|2|1|Uruguay| </v>
      </c>
    </row>
    <row r="155" spans="1:13" hidden="1" x14ac:dyDescent="0.2">
      <c r="A155" s="1">
        <v>1962</v>
      </c>
      <c r="B155" s="2" t="d">
        <v>1962-06-06</v>
      </c>
      <c r="C155" s="1" t="s">
        <v>12</v>
      </c>
      <c r="D155" s="1" t="s">
        <v>29</v>
      </c>
      <c r="E155" s="1" t="s">
        <v>178</v>
      </c>
      <c r="F155" s="1" t="s">
        <v>179</v>
      </c>
      <c r="G155" s="1" t="s">
        <v>35</v>
      </c>
      <c r="H155" s="1" t="s">
        <v>27</v>
      </c>
      <c r="I155" s="1">
        <v>2</v>
      </c>
      <c r="J155" s="1">
        <v>1</v>
      </c>
      <c r="K155" s="1" t="s">
        <v>68</v>
      </c>
      <c r="L155" s="1" t="s">
        <v>19</v>
      </c>
      <c r="M155" s="1" t="str">
        <f t="shared" si="2"/>
        <v xml:space="preserve">1962|22803| 15:00 |Group 3|Estadio Sausalito|Vina Del Mar |Chile|Brazil|2|1|Spain| </v>
      </c>
    </row>
    <row r="156" spans="1:13" hidden="1" x14ac:dyDescent="0.2">
      <c r="A156" s="1">
        <v>1962</v>
      </c>
      <c r="B156" s="2" t="d">
        <v>1962-06-06</v>
      </c>
      <c r="C156" s="1" t="s">
        <v>12</v>
      </c>
      <c r="D156" s="1" t="s">
        <v>20</v>
      </c>
      <c r="E156" s="1" t="s">
        <v>180</v>
      </c>
      <c r="F156" s="1" t="s">
        <v>181</v>
      </c>
      <c r="G156" s="1" t="s">
        <v>35</v>
      </c>
      <c r="H156" s="1" t="s">
        <v>54</v>
      </c>
      <c r="I156" s="1">
        <v>0</v>
      </c>
      <c r="J156" s="1">
        <v>0</v>
      </c>
      <c r="K156" s="1" t="s">
        <v>33</v>
      </c>
      <c r="L156" s="1" t="s">
        <v>19</v>
      </c>
      <c r="M156" s="1" t="str">
        <f t="shared" si="2"/>
        <v xml:space="preserve">1962|22803| 15:00 |Group 4|Estadio El Teniente-Codelco|Rancagua |Chile|Hungary|0|0|Argentina| </v>
      </c>
    </row>
    <row r="157" spans="1:13" x14ac:dyDescent="0.2">
      <c r="A157" s="1">
        <v>1962</v>
      </c>
      <c r="B157" s="2" t="d">
        <v>1962-06-06</v>
      </c>
      <c r="C157" s="1" t="s">
        <v>12</v>
      </c>
      <c r="D157" s="1" t="s">
        <v>25</v>
      </c>
      <c r="E157" s="1" t="s">
        <v>183</v>
      </c>
      <c r="F157" s="1" t="s">
        <v>184</v>
      </c>
      <c r="G157" s="1" t="s">
        <v>35</v>
      </c>
      <c r="H157" s="1" t="s">
        <v>133</v>
      </c>
      <c r="I157" s="1">
        <v>2</v>
      </c>
      <c r="J157" s="1">
        <v>0</v>
      </c>
      <c r="K157" s="1" t="s">
        <v>35</v>
      </c>
      <c r="L157" s="1" t="s">
        <v>19</v>
      </c>
      <c r="M157" s="1" t="str">
        <f t="shared" si="2"/>
        <v xml:space="preserve">1962|22803| 15:00 |Group 2|Nacional|Santiago De Chile |Chile|Germany FR|2|0|Chile| </v>
      </c>
    </row>
    <row r="158" spans="1:13" hidden="1" x14ac:dyDescent="0.2">
      <c r="A158" s="1">
        <v>1962</v>
      </c>
      <c r="B158" s="2" t="d">
        <v>1962-06-07</v>
      </c>
      <c r="C158" s="1" t="s">
        <v>12</v>
      </c>
      <c r="D158" s="1" t="s">
        <v>13</v>
      </c>
      <c r="E158" s="1" t="s">
        <v>175</v>
      </c>
      <c r="F158" s="1" t="s">
        <v>176</v>
      </c>
      <c r="G158" s="1" t="s">
        <v>35</v>
      </c>
      <c r="H158" s="1" t="s">
        <v>26</v>
      </c>
      <c r="I158" s="1">
        <v>5</v>
      </c>
      <c r="J158" s="1">
        <v>0</v>
      </c>
      <c r="K158" s="1" t="s">
        <v>177</v>
      </c>
      <c r="L158" s="1" t="s">
        <v>19</v>
      </c>
      <c r="M158" s="1" t="str">
        <f t="shared" si="2"/>
        <v xml:space="preserve">1962|22804| 15:00 |Group 1|Carlos Dittborn|Arica |Chile|Yugoslavia|5|0|Colombia| </v>
      </c>
    </row>
    <row r="159" spans="1:13" hidden="1" x14ac:dyDescent="0.2">
      <c r="A159" s="1">
        <v>1962</v>
      </c>
      <c r="B159" s="2" t="d">
        <v>1962-06-07</v>
      </c>
      <c r="C159" s="1" t="s">
        <v>12</v>
      </c>
      <c r="D159" s="1" t="s">
        <v>29</v>
      </c>
      <c r="E159" s="1" t="s">
        <v>178</v>
      </c>
      <c r="F159" s="1" t="s">
        <v>179</v>
      </c>
      <c r="G159" s="1" t="s">
        <v>35</v>
      </c>
      <c r="H159" s="1" t="s">
        <v>18</v>
      </c>
      <c r="I159" s="1">
        <v>3</v>
      </c>
      <c r="J159" s="1">
        <v>1</v>
      </c>
      <c r="K159" s="1" t="s">
        <v>73</v>
      </c>
      <c r="L159" s="1" t="s">
        <v>19</v>
      </c>
      <c r="M159" s="1" t="str">
        <f t="shared" si="2"/>
        <v xml:space="preserve">1962|22804| 15:00 |Group 3|Estadio Sausalito|Vina Del Mar |Chile|Mexico|3|1|Czechoslovakia| </v>
      </c>
    </row>
    <row r="160" spans="1:13" hidden="1" x14ac:dyDescent="0.2">
      <c r="A160" s="1">
        <v>1962</v>
      </c>
      <c r="B160" s="2" t="d">
        <v>1962-06-07</v>
      </c>
      <c r="C160" s="1" t="s">
        <v>12</v>
      </c>
      <c r="D160" s="1" t="s">
        <v>20</v>
      </c>
      <c r="E160" s="1" t="s">
        <v>180</v>
      </c>
      <c r="F160" s="1" t="s">
        <v>181</v>
      </c>
      <c r="G160" s="1" t="s">
        <v>35</v>
      </c>
      <c r="H160" s="1" t="s">
        <v>110</v>
      </c>
      <c r="I160" s="1">
        <v>0</v>
      </c>
      <c r="J160" s="1">
        <v>0</v>
      </c>
      <c r="K160" s="1" t="s">
        <v>182</v>
      </c>
      <c r="L160" s="1" t="s">
        <v>19</v>
      </c>
      <c r="M160" s="1" t="str">
        <f t="shared" si="2"/>
        <v xml:space="preserve">1962|22804| 15:00 |Group 4|Estadio El Teniente-Codelco|Rancagua |Chile|England|0|0|Bulgaria| </v>
      </c>
    </row>
    <row r="161" spans="1:13" hidden="1" x14ac:dyDescent="0.2">
      <c r="A161" s="1">
        <v>1962</v>
      </c>
      <c r="B161" s="2" t="d">
        <v>1962-06-07</v>
      </c>
      <c r="C161" s="1" t="s">
        <v>12</v>
      </c>
      <c r="D161" s="1" t="s">
        <v>25</v>
      </c>
      <c r="E161" s="1" t="s">
        <v>183</v>
      </c>
      <c r="F161" s="1" t="s">
        <v>184</v>
      </c>
      <c r="G161" s="1" t="s">
        <v>35</v>
      </c>
      <c r="H161" s="1" t="s">
        <v>49</v>
      </c>
      <c r="I161" s="1">
        <v>3</v>
      </c>
      <c r="J161" s="1">
        <v>0</v>
      </c>
      <c r="K161" s="1" t="s">
        <v>58</v>
      </c>
      <c r="L161" s="1" t="s">
        <v>19</v>
      </c>
      <c r="M161" s="1" t="str">
        <f t="shared" si="2"/>
        <v xml:space="preserve">1962|22804| 15:00 |Group 2|Nacional|Santiago De Chile |Chile|Italy|3|0|Switzerland| </v>
      </c>
    </row>
    <row r="162" spans="1:13" hidden="1" x14ac:dyDescent="0.2">
      <c r="A162" s="1">
        <v>1962</v>
      </c>
      <c r="B162" s="2" t="d">
        <v>1962-06-10</v>
      </c>
      <c r="C162" s="1" t="s">
        <v>38</v>
      </c>
      <c r="D162" s="12" t="s">
        <v>74</v>
      </c>
      <c r="E162" s="1" t="s">
        <v>175</v>
      </c>
      <c r="F162" s="1" t="s">
        <v>176</v>
      </c>
      <c r="G162" s="1" t="s">
        <v>35</v>
      </c>
      <c r="H162" s="1" t="s">
        <v>35</v>
      </c>
      <c r="I162" s="1">
        <v>2</v>
      </c>
      <c r="J162" s="1">
        <v>1</v>
      </c>
      <c r="K162" s="1" t="s">
        <v>151</v>
      </c>
      <c r="L162" s="1" t="s">
        <v>19</v>
      </c>
      <c r="M162" s="1" t="str">
        <f t="shared" si="2"/>
        <v xml:space="preserve">1962|22807| 14:30 |Quarter-finals|Carlos Dittborn|Arica |Chile|Chile|2|1|Soviet Union| </v>
      </c>
    </row>
    <row r="163" spans="1:13" hidden="1" x14ac:dyDescent="0.2">
      <c r="A163" s="1">
        <v>1962</v>
      </c>
      <c r="B163" s="2" t="d">
        <v>1962-06-10</v>
      </c>
      <c r="C163" s="1" t="s">
        <v>38</v>
      </c>
      <c r="D163" s="12" t="s">
        <v>74</v>
      </c>
      <c r="E163" s="1" t="s">
        <v>178</v>
      </c>
      <c r="F163" s="1" t="s">
        <v>179</v>
      </c>
      <c r="G163" s="1" t="s">
        <v>35</v>
      </c>
      <c r="H163" s="1" t="s">
        <v>27</v>
      </c>
      <c r="I163" s="1">
        <v>3</v>
      </c>
      <c r="J163" s="1">
        <v>1</v>
      </c>
      <c r="K163" s="1" t="s">
        <v>110</v>
      </c>
      <c r="L163" s="1" t="s">
        <v>19</v>
      </c>
      <c r="M163" s="1" t="str">
        <f t="shared" si="2"/>
        <v xml:space="preserve">1962|22807| 14:30 |Quarter-finals|Estadio Sausalito|Vina Del Mar |Chile|Brazil|3|1|England| </v>
      </c>
    </row>
    <row r="164" spans="1:13" hidden="1" x14ac:dyDescent="0.2">
      <c r="A164" s="1">
        <v>1962</v>
      </c>
      <c r="B164" s="2" t="d">
        <v>1962-06-10</v>
      </c>
      <c r="C164" s="1" t="s">
        <v>38</v>
      </c>
      <c r="D164" s="12" t="s">
        <v>74</v>
      </c>
      <c r="E164" s="1" t="s">
        <v>180</v>
      </c>
      <c r="F164" s="1" t="s">
        <v>181</v>
      </c>
      <c r="G164" s="1" t="s">
        <v>35</v>
      </c>
      <c r="H164" s="1" t="s">
        <v>73</v>
      </c>
      <c r="I164" s="1">
        <v>1</v>
      </c>
      <c r="J164" s="1">
        <v>0</v>
      </c>
      <c r="K164" s="1" t="s">
        <v>54</v>
      </c>
      <c r="L164" s="1" t="s">
        <v>19</v>
      </c>
      <c r="M164" s="1" t="str">
        <f t="shared" si="2"/>
        <v xml:space="preserve">1962|22807| 14:30 |Quarter-finals|Estadio El Teniente-Codelco|Rancagua |Chile|Czechoslovakia|1|0|Hungary| </v>
      </c>
    </row>
    <row r="165" spans="1:13" hidden="1" x14ac:dyDescent="0.2">
      <c r="A165" s="1">
        <v>1962</v>
      </c>
      <c r="B165" s="2" t="d">
        <v>1962-06-10</v>
      </c>
      <c r="C165" s="1" t="s">
        <v>38</v>
      </c>
      <c r="D165" s="12" t="s">
        <v>74</v>
      </c>
      <c r="E165" s="1" t="s">
        <v>183</v>
      </c>
      <c r="F165" s="1" t="s">
        <v>184</v>
      </c>
      <c r="G165" s="1" t="s">
        <v>35</v>
      </c>
      <c r="H165" s="1" t="s">
        <v>26</v>
      </c>
      <c r="I165" s="1">
        <v>1</v>
      </c>
      <c r="J165" s="1">
        <v>0</v>
      </c>
      <c r="K165" s="1" t="s">
        <v>133</v>
      </c>
      <c r="L165" s="1" t="s">
        <v>19</v>
      </c>
      <c r="M165" s="1" t="str">
        <f t="shared" si="2"/>
        <v xml:space="preserve">1962|22807| 14:30 |Quarter-finals|Nacional|Santiago De Chile |Chile|Yugoslavia|1|0|Germany FR| </v>
      </c>
    </row>
    <row r="166" spans="1:13" hidden="1" x14ac:dyDescent="0.2">
      <c r="A166" s="1">
        <v>1962</v>
      </c>
      <c r="B166" s="2" t="d">
        <v>1962-06-13</v>
      </c>
      <c r="C166" s="1" t="s">
        <v>38</v>
      </c>
      <c r="D166" s="12" t="s">
        <v>42</v>
      </c>
      <c r="E166" s="1" t="s">
        <v>178</v>
      </c>
      <c r="F166" s="1" t="s">
        <v>179</v>
      </c>
      <c r="G166" s="1" t="s">
        <v>35</v>
      </c>
      <c r="H166" s="1" t="s">
        <v>73</v>
      </c>
      <c r="I166" s="1">
        <v>3</v>
      </c>
      <c r="J166" s="1">
        <v>1</v>
      </c>
      <c r="K166" s="1" t="s">
        <v>26</v>
      </c>
      <c r="L166" s="1" t="s">
        <v>19</v>
      </c>
      <c r="M166" s="1" t="str">
        <f t="shared" si="2"/>
        <v xml:space="preserve">1962|22810| 14:30 |Semi-finals|Estadio Sausalito|Vina Del Mar |Chile|Czechoslovakia|3|1|Yugoslavia| </v>
      </c>
    </row>
    <row r="167" spans="1:13" hidden="1" x14ac:dyDescent="0.2">
      <c r="A167" s="1">
        <v>1962</v>
      </c>
      <c r="B167" s="2" t="d">
        <v>1962-06-13</v>
      </c>
      <c r="C167" s="1" t="s">
        <v>38</v>
      </c>
      <c r="D167" s="12" t="s">
        <v>42</v>
      </c>
      <c r="E167" s="1" t="s">
        <v>183</v>
      </c>
      <c r="F167" s="1" t="s">
        <v>184</v>
      </c>
      <c r="G167" s="1" t="s">
        <v>35</v>
      </c>
      <c r="H167" s="1" t="s">
        <v>27</v>
      </c>
      <c r="I167" s="1">
        <v>4</v>
      </c>
      <c r="J167" s="1">
        <v>2</v>
      </c>
      <c r="K167" s="1" t="s">
        <v>35</v>
      </c>
      <c r="L167" s="1" t="s">
        <v>19</v>
      </c>
      <c r="M167" s="1" t="str">
        <f t="shared" si="2"/>
        <v xml:space="preserve">1962|22810| 14:30 |Semi-finals|Nacional|Santiago De Chile |Chile|Brazil|4|2|Chile| </v>
      </c>
    </row>
    <row r="168" spans="1:13" hidden="1" x14ac:dyDescent="0.2">
      <c r="A168" s="1">
        <v>1962</v>
      </c>
      <c r="B168" s="2" t="d">
        <v>1962-06-16</v>
      </c>
      <c r="C168" s="1" t="s">
        <v>38</v>
      </c>
      <c r="D168" s="12" t="s">
        <v>76</v>
      </c>
      <c r="E168" s="1" t="s">
        <v>183</v>
      </c>
      <c r="F168" s="1" t="s">
        <v>184</v>
      </c>
      <c r="G168" s="1" t="s">
        <v>35</v>
      </c>
      <c r="H168" s="1" t="s">
        <v>35</v>
      </c>
      <c r="I168" s="1">
        <v>1</v>
      </c>
      <c r="J168" s="1">
        <v>0</v>
      </c>
      <c r="K168" s="1" t="s">
        <v>26</v>
      </c>
      <c r="L168" s="1" t="s">
        <v>19</v>
      </c>
      <c r="M168" s="1" t="str">
        <f t="shared" si="2"/>
        <v xml:space="preserve">1962|22813| 14:30 |Match for third place|Nacional|Santiago De Chile |Chile|Chile|1|0|Yugoslavia| </v>
      </c>
    </row>
    <row r="169" spans="1:13" hidden="1" x14ac:dyDescent="0.2">
      <c r="A169" s="1">
        <v>1962</v>
      </c>
      <c r="B169" s="2" t="d">
        <v>1962-06-17</v>
      </c>
      <c r="C169" s="1" t="s">
        <v>38</v>
      </c>
      <c r="D169" s="12" t="s">
        <v>44</v>
      </c>
      <c r="E169" s="1" t="s">
        <v>183</v>
      </c>
      <c r="F169" s="1" t="s">
        <v>184</v>
      </c>
      <c r="G169" s="1" t="s">
        <v>35</v>
      </c>
      <c r="H169" s="1" t="s">
        <v>27</v>
      </c>
      <c r="I169" s="1">
        <v>3</v>
      </c>
      <c r="J169" s="1">
        <v>1</v>
      </c>
      <c r="K169" s="1" t="s">
        <v>73</v>
      </c>
      <c r="L169" s="1" t="s">
        <v>19</v>
      </c>
      <c r="M169" s="1" t="str">
        <f t="shared" si="2"/>
        <v xml:space="preserve">1962|22814| 14:30 |Final|Nacional|Santiago De Chile |Chile|Brazil|3|1|Czechoslovakia| </v>
      </c>
    </row>
    <row r="170" spans="1:13" hidden="1" x14ac:dyDescent="0.2">
      <c r="A170" s="1">
        <v>1966</v>
      </c>
      <c r="B170" s="2" t="d">
        <v>1966-07-11</v>
      </c>
      <c r="C170" s="1" t="s">
        <v>185</v>
      </c>
      <c r="D170" s="1" t="s">
        <v>13</v>
      </c>
      <c r="E170" s="1" t="s">
        <v>186</v>
      </c>
      <c r="F170" s="1" t="s">
        <v>187</v>
      </c>
      <c r="G170" s="1" t="s">
        <v>110</v>
      </c>
      <c r="H170" s="1" t="s">
        <v>110</v>
      </c>
      <c r="I170" s="1">
        <v>0</v>
      </c>
      <c r="J170" s="1">
        <v>0</v>
      </c>
      <c r="K170" s="1" t="s">
        <v>16</v>
      </c>
      <c r="L170" s="1" t="s">
        <v>19</v>
      </c>
      <c r="M170" s="1" t="str">
        <f t="shared" si="2"/>
        <v xml:space="preserve">1966|24299| 19:30 |Group 1|Wembley Stadium|London |England|England|0|0|Uruguay| </v>
      </c>
    </row>
    <row r="171" spans="1:13" x14ac:dyDescent="0.2">
      <c r="A171" s="1">
        <v>1966</v>
      </c>
      <c r="B171" s="2" t="d">
        <v>1966-07-12</v>
      </c>
      <c r="C171" s="1" t="s">
        <v>185</v>
      </c>
      <c r="D171" s="1" t="s">
        <v>25</v>
      </c>
      <c r="E171" s="1" t="s">
        <v>188</v>
      </c>
      <c r="F171" s="1" t="s">
        <v>189</v>
      </c>
      <c r="G171" s="1" t="s">
        <v>110</v>
      </c>
      <c r="H171" s="1" t="s">
        <v>133</v>
      </c>
      <c r="I171" s="1">
        <v>5</v>
      </c>
      <c r="J171" s="1">
        <v>0</v>
      </c>
      <c r="K171" s="1" t="s">
        <v>58</v>
      </c>
      <c r="L171" s="1" t="s">
        <v>19</v>
      </c>
      <c r="M171" s="1" t="str">
        <f t="shared" si="2"/>
        <v xml:space="preserve">1966|24300| 19:30 |Group 2|Hillsborough|Sheffield |England|Germany FR|5|0|Switzerland| </v>
      </c>
    </row>
    <row r="172" spans="1:13" hidden="1" x14ac:dyDescent="0.2">
      <c r="A172" s="1">
        <v>1966</v>
      </c>
      <c r="B172" s="2" t="d">
        <v>1966-07-12</v>
      </c>
      <c r="C172" s="1" t="s">
        <v>185</v>
      </c>
      <c r="D172" s="1" t="s">
        <v>29</v>
      </c>
      <c r="E172" s="1" t="s">
        <v>190</v>
      </c>
      <c r="F172" s="1" t="s">
        <v>191</v>
      </c>
      <c r="G172" s="1" t="s">
        <v>110</v>
      </c>
      <c r="H172" s="1" t="s">
        <v>27</v>
      </c>
      <c r="I172" s="1">
        <v>2</v>
      </c>
      <c r="J172" s="1">
        <v>0</v>
      </c>
      <c r="K172" s="1" t="s">
        <v>182</v>
      </c>
      <c r="L172" s="1" t="s">
        <v>19</v>
      </c>
      <c r="M172" s="1" t="str">
        <f t="shared" si="2"/>
        <v xml:space="preserve">1966|24300| 19:30 |Group 3|Goodison Park|Liverpool |England|Brazil|2|0|Bulgaria| </v>
      </c>
    </row>
    <row r="173" spans="1:13" hidden="1" x14ac:dyDescent="0.2">
      <c r="A173" s="1">
        <v>1966</v>
      </c>
      <c r="B173" s="2" t="d">
        <v>1966-07-12</v>
      </c>
      <c r="C173" s="1" t="s">
        <v>185</v>
      </c>
      <c r="D173" s="1" t="s">
        <v>20</v>
      </c>
      <c r="E173" s="1" t="s">
        <v>192</v>
      </c>
      <c r="F173" s="1" t="s">
        <v>193</v>
      </c>
      <c r="G173" s="1" t="s">
        <v>110</v>
      </c>
      <c r="H173" s="1" t="s">
        <v>151</v>
      </c>
      <c r="I173" s="1">
        <v>3</v>
      </c>
      <c r="J173" s="1">
        <v>0</v>
      </c>
      <c r="K173" s="1" t="s">
        <v>194</v>
      </c>
      <c r="L173" s="1" t="s">
        <v>19</v>
      </c>
      <c r="M173" s="1" t="str">
        <f t="shared" si="2"/>
        <v xml:space="preserve">1966|24300| 19:30 |Group 4|Ayresome Park|Middlesbrough |England|Soviet Union|3|0|Korea DPR| </v>
      </c>
    </row>
    <row r="174" spans="1:13" hidden="1" x14ac:dyDescent="0.2">
      <c r="A174" s="1">
        <v>1966</v>
      </c>
      <c r="B174" s="2" t="d">
        <v>1966-07-13</v>
      </c>
      <c r="C174" s="1" t="s">
        <v>185</v>
      </c>
      <c r="D174" s="1" t="s">
        <v>13</v>
      </c>
      <c r="E174" s="1" t="s">
        <v>186</v>
      </c>
      <c r="F174" s="1" t="s">
        <v>187</v>
      </c>
      <c r="G174" s="1" t="s">
        <v>110</v>
      </c>
      <c r="H174" s="1" t="s">
        <v>17</v>
      </c>
      <c r="I174" s="1">
        <v>1</v>
      </c>
      <c r="J174" s="1">
        <v>1</v>
      </c>
      <c r="K174" s="1" t="s">
        <v>18</v>
      </c>
      <c r="L174" s="1" t="s">
        <v>19</v>
      </c>
      <c r="M174" s="1" t="str">
        <f t="shared" si="2"/>
        <v xml:space="preserve">1966|24301| 19:30 |Group 1|Wembley Stadium|London |England|France|1|1|Mexico| </v>
      </c>
    </row>
    <row r="175" spans="1:13" hidden="1" x14ac:dyDescent="0.2">
      <c r="A175" s="1">
        <v>1966</v>
      </c>
      <c r="B175" s="2" t="d">
        <v>1966-07-13</v>
      </c>
      <c r="C175" s="1" t="s">
        <v>185</v>
      </c>
      <c r="D175" s="1" t="s">
        <v>29</v>
      </c>
      <c r="E175" s="1" t="s">
        <v>195</v>
      </c>
      <c r="F175" s="1" t="s">
        <v>196</v>
      </c>
      <c r="G175" s="1" t="s">
        <v>110</v>
      </c>
      <c r="H175" s="1" t="s">
        <v>197</v>
      </c>
      <c r="I175" s="1">
        <v>3</v>
      </c>
      <c r="J175" s="1">
        <v>1</v>
      </c>
      <c r="K175" s="1" t="s">
        <v>54</v>
      </c>
      <c r="L175" s="1" t="s">
        <v>19</v>
      </c>
      <c r="M175" s="1" t="str">
        <f t="shared" si="2"/>
        <v xml:space="preserve">1966|24301| 19:30 |Group 3|Old Trafford Stadium|Manchester |England|Portugal|3|1|Hungary| </v>
      </c>
    </row>
    <row r="176" spans="1:13" hidden="1" x14ac:dyDescent="0.2">
      <c r="A176" s="1">
        <v>1966</v>
      </c>
      <c r="B176" s="2" t="d">
        <v>1966-07-13</v>
      </c>
      <c r="C176" s="1" t="s">
        <v>185</v>
      </c>
      <c r="D176" s="1" t="s">
        <v>25</v>
      </c>
      <c r="E176" s="1" t="s">
        <v>198</v>
      </c>
      <c r="F176" s="1" t="s">
        <v>199</v>
      </c>
      <c r="G176" s="1" t="s">
        <v>110</v>
      </c>
      <c r="H176" s="1" t="s">
        <v>33</v>
      </c>
      <c r="I176" s="1">
        <v>2</v>
      </c>
      <c r="J176" s="1">
        <v>1</v>
      </c>
      <c r="K176" s="1" t="s">
        <v>68</v>
      </c>
      <c r="L176" s="1" t="s">
        <v>19</v>
      </c>
      <c r="M176" s="1" t="str">
        <f t="shared" si="2"/>
        <v xml:space="preserve">1966|24301| 19:30 |Group 2|Villa Park|Birmingham |England|Argentina|2|1|Spain| </v>
      </c>
    </row>
    <row r="177" spans="1:13" hidden="1" x14ac:dyDescent="0.2">
      <c r="A177" s="1">
        <v>1966</v>
      </c>
      <c r="B177" s="2" t="d">
        <v>1966-07-13</v>
      </c>
      <c r="C177" s="1" t="s">
        <v>185</v>
      </c>
      <c r="D177" s="1" t="s">
        <v>20</v>
      </c>
      <c r="E177" s="1" t="s">
        <v>200</v>
      </c>
      <c r="F177" s="1" t="s">
        <v>201</v>
      </c>
      <c r="G177" s="1" t="s">
        <v>110</v>
      </c>
      <c r="H177" s="1" t="s">
        <v>49</v>
      </c>
      <c r="I177" s="1">
        <v>2</v>
      </c>
      <c r="J177" s="1">
        <v>0</v>
      </c>
      <c r="K177" s="1" t="s">
        <v>35</v>
      </c>
      <c r="L177" s="1" t="s">
        <v>19</v>
      </c>
      <c r="M177" s="1" t="str">
        <f t="shared" si="2"/>
        <v xml:space="preserve">1966|24301| 19:30 |Group 4|Roker Park Ground|Sunderland |England|Italy|2|0|Chile| </v>
      </c>
    </row>
    <row r="178" spans="1:13" hidden="1" x14ac:dyDescent="0.2">
      <c r="A178" s="1">
        <v>1966</v>
      </c>
      <c r="B178" s="2" t="d">
        <v>1966-07-15</v>
      </c>
      <c r="C178" s="1" t="s">
        <v>185</v>
      </c>
      <c r="D178" s="1" t="s">
        <v>13</v>
      </c>
      <c r="E178" s="1" t="s">
        <v>202</v>
      </c>
      <c r="F178" s="1" t="s">
        <v>187</v>
      </c>
      <c r="G178" s="1" t="s">
        <v>110</v>
      </c>
      <c r="H178" s="1" t="s">
        <v>16</v>
      </c>
      <c r="I178" s="1">
        <v>2</v>
      </c>
      <c r="J178" s="1">
        <v>1</v>
      </c>
      <c r="K178" s="1" t="s">
        <v>17</v>
      </c>
      <c r="L178" s="1" t="s">
        <v>19</v>
      </c>
      <c r="M178" s="1" t="str">
        <f t="shared" si="2"/>
        <v xml:space="preserve">1966|24303| 19:30 |Group 1|White City|London |England|Uruguay|2|1|France| </v>
      </c>
    </row>
    <row r="179" spans="1:13" hidden="1" x14ac:dyDescent="0.2">
      <c r="A179" s="1">
        <v>1966</v>
      </c>
      <c r="B179" s="2" t="d">
        <v>1966-07-15</v>
      </c>
      <c r="C179" s="1" t="s">
        <v>185</v>
      </c>
      <c r="D179" s="1" t="s">
        <v>25</v>
      </c>
      <c r="E179" s="1" t="s">
        <v>188</v>
      </c>
      <c r="F179" s="1" t="s">
        <v>189</v>
      </c>
      <c r="G179" s="1" t="s">
        <v>110</v>
      </c>
      <c r="H179" s="1" t="s">
        <v>68</v>
      </c>
      <c r="I179" s="1">
        <v>2</v>
      </c>
      <c r="J179" s="1">
        <v>1</v>
      </c>
      <c r="K179" s="1" t="s">
        <v>58</v>
      </c>
      <c r="L179" s="1" t="s">
        <v>19</v>
      </c>
      <c r="M179" s="1" t="str">
        <f t="shared" si="2"/>
        <v xml:space="preserve">1966|24303| 19:30 |Group 2|Hillsborough|Sheffield |England|Spain|2|1|Switzerland| </v>
      </c>
    </row>
    <row r="180" spans="1:13" hidden="1" x14ac:dyDescent="0.2">
      <c r="A180" s="1">
        <v>1966</v>
      </c>
      <c r="B180" s="2" t="d">
        <v>1966-07-15</v>
      </c>
      <c r="C180" s="1" t="s">
        <v>185</v>
      </c>
      <c r="D180" s="1" t="s">
        <v>29</v>
      </c>
      <c r="E180" s="1" t="s">
        <v>190</v>
      </c>
      <c r="F180" s="1" t="s">
        <v>191</v>
      </c>
      <c r="G180" s="1" t="s">
        <v>110</v>
      </c>
      <c r="H180" s="1" t="s">
        <v>54</v>
      </c>
      <c r="I180" s="1">
        <v>3</v>
      </c>
      <c r="J180" s="1">
        <v>1</v>
      </c>
      <c r="K180" s="1" t="s">
        <v>27</v>
      </c>
      <c r="L180" s="1" t="s">
        <v>19</v>
      </c>
      <c r="M180" s="1" t="str">
        <f t="shared" si="2"/>
        <v xml:space="preserve">1966|24303| 19:30 |Group 3|Goodison Park|Liverpool |England|Hungary|3|1|Brazil| </v>
      </c>
    </row>
    <row r="181" spans="1:13" hidden="1" x14ac:dyDescent="0.2">
      <c r="A181" s="1">
        <v>1966</v>
      </c>
      <c r="B181" s="2" t="d">
        <v>1966-07-15</v>
      </c>
      <c r="C181" s="1" t="s">
        <v>185</v>
      </c>
      <c r="D181" s="1" t="s">
        <v>20</v>
      </c>
      <c r="E181" s="1" t="s">
        <v>192</v>
      </c>
      <c r="F181" s="1" t="s">
        <v>193</v>
      </c>
      <c r="G181" s="1" t="s">
        <v>110</v>
      </c>
      <c r="H181" s="1" t="s">
        <v>194</v>
      </c>
      <c r="I181" s="1">
        <v>1</v>
      </c>
      <c r="J181" s="1">
        <v>1</v>
      </c>
      <c r="K181" s="1" t="s">
        <v>35</v>
      </c>
      <c r="L181" s="1" t="s">
        <v>19</v>
      </c>
      <c r="M181" s="1" t="str">
        <f t="shared" si="2"/>
        <v xml:space="preserve">1966|24303| 19:30 |Group 4|Ayresome Park|Middlesbrough |England|Korea DPR|1|1|Chile| </v>
      </c>
    </row>
    <row r="182" spans="1:13" hidden="1" x14ac:dyDescent="0.2">
      <c r="A182" s="1">
        <v>1966</v>
      </c>
      <c r="B182" s="2" t="d">
        <v>1966-07-16</v>
      </c>
      <c r="C182" s="1" t="s">
        <v>12</v>
      </c>
      <c r="D182" s="1" t="s">
        <v>29</v>
      </c>
      <c r="E182" s="1" t="s">
        <v>195</v>
      </c>
      <c r="F182" s="1" t="s">
        <v>196</v>
      </c>
      <c r="G182" s="1" t="s">
        <v>110</v>
      </c>
      <c r="H182" s="1" t="s">
        <v>197</v>
      </c>
      <c r="I182" s="1">
        <v>3</v>
      </c>
      <c r="J182" s="1">
        <v>0</v>
      </c>
      <c r="K182" s="1" t="s">
        <v>182</v>
      </c>
      <c r="L182" s="1" t="s">
        <v>19</v>
      </c>
      <c r="M182" s="1" t="str">
        <f t="shared" si="2"/>
        <v xml:space="preserve">1966|24304| 15:00 |Group 3|Old Trafford Stadium|Manchester |England|Portugal|3|0|Bulgaria| </v>
      </c>
    </row>
    <row r="183" spans="1:13" x14ac:dyDescent="0.2">
      <c r="A183" s="1">
        <v>1966</v>
      </c>
      <c r="B183" s="2" t="d">
        <v>1966-07-16</v>
      </c>
      <c r="C183" s="1" t="s">
        <v>12</v>
      </c>
      <c r="D183" s="1" t="s">
        <v>25</v>
      </c>
      <c r="E183" s="1" t="s">
        <v>198</v>
      </c>
      <c r="F183" s="1" t="s">
        <v>199</v>
      </c>
      <c r="G183" s="1" t="s">
        <v>110</v>
      </c>
      <c r="H183" s="1" t="s">
        <v>133</v>
      </c>
      <c r="I183" s="1">
        <v>0</v>
      </c>
      <c r="J183" s="1">
        <v>0</v>
      </c>
      <c r="K183" s="1" t="s">
        <v>33</v>
      </c>
      <c r="L183" s="1" t="s">
        <v>19</v>
      </c>
      <c r="M183" s="1" t="str">
        <f t="shared" si="2"/>
        <v xml:space="preserve">1966|24304| 15:00 |Group 2|Villa Park|Birmingham |England|Germany FR|0|0|Argentina| </v>
      </c>
    </row>
    <row r="184" spans="1:13" hidden="1" x14ac:dyDescent="0.2">
      <c r="A184" s="1">
        <v>1966</v>
      </c>
      <c r="B184" s="2" t="d">
        <v>1966-07-16</v>
      </c>
      <c r="C184" s="1" t="s">
        <v>12</v>
      </c>
      <c r="D184" s="1" t="s">
        <v>20</v>
      </c>
      <c r="E184" s="1" t="s">
        <v>200</v>
      </c>
      <c r="F184" s="1" t="s">
        <v>201</v>
      </c>
      <c r="G184" s="1" t="s">
        <v>110</v>
      </c>
      <c r="H184" s="1" t="s">
        <v>151</v>
      </c>
      <c r="I184" s="1">
        <v>1</v>
      </c>
      <c r="J184" s="1">
        <v>0</v>
      </c>
      <c r="K184" s="1" t="s">
        <v>49</v>
      </c>
      <c r="L184" s="1" t="s">
        <v>19</v>
      </c>
      <c r="M184" s="1" t="str">
        <f t="shared" si="2"/>
        <v xml:space="preserve">1966|24304| 15:00 |Group 4|Roker Park Ground|Sunderland |England|Soviet Union|1|0|Italy| </v>
      </c>
    </row>
    <row r="185" spans="1:13" hidden="1" x14ac:dyDescent="0.2">
      <c r="A185" s="1">
        <v>1966</v>
      </c>
      <c r="B185" s="2" t="d">
        <v>1966-07-16</v>
      </c>
      <c r="C185" s="1" t="s">
        <v>185</v>
      </c>
      <c r="D185" s="1" t="s">
        <v>13</v>
      </c>
      <c r="E185" s="1" t="s">
        <v>186</v>
      </c>
      <c r="F185" s="1" t="s">
        <v>187</v>
      </c>
      <c r="G185" s="1" t="s">
        <v>110</v>
      </c>
      <c r="H185" s="1" t="s">
        <v>110</v>
      </c>
      <c r="I185" s="1">
        <v>2</v>
      </c>
      <c r="J185" s="1">
        <v>0</v>
      </c>
      <c r="K185" s="1" t="s">
        <v>18</v>
      </c>
      <c r="L185" s="1" t="s">
        <v>19</v>
      </c>
      <c r="M185" s="1" t="str">
        <f t="shared" si="2"/>
        <v xml:space="preserve">1966|24304| 19:30 |Group 1|Wembley Stadium|London |England|England|2|0|Mexico| </v>
      </c>
    </row>
    <row r="186" spans="1:13" hidden="1" x14ac:dyDescent="0.2">
      <c r="A186" s="1">
        <v>1966</v>
      </c>
      <c r="B186" s="2" t="d">
        <v>1966-07-19</v>
      </c>
      <c r="C186" s="1" t="s">
        <v>45</v>
      </c>
      <c r="D186" s="1" t="s">
        <v>13</v>
      </c>
      <c r="E186" s="1" t="s">
        <v>186</v>
      </c>
      <c r="F186" s="1" t="s">
        <v>187</v>
      </c>
      <c r="G186" s="1" t="s">
        <v>110</v>
      </c>
      <c r="H186" s="1" t="s">
        <v>16</v>
      </c>
      <c r="I186" s="1">
        <v>0</v>
      </c>
      <c r="J186" s="1">
        <v>0</v>
      </c>
      <c r="K186" s="1" t="s">
        <v>18</v>
      </c>
      <c r="L186" s="1" t="s">
        <v>19</v>
      </c>
      <c r="M186" s="1" t="str">
        <f t="shared" si="2"/>
        <v xml:space="preserve">1966|24307| 16:30 |Group 1|Wembley Stadium|London |England|Uruguay|0|0|Mexico| </v>
      </c>
    </row>
    <row r="187" spans="1:13" hidden="1" x14ac:dyDescent="0.2">
      <c r="A187" s="1">
        <v>1966</v>
      </c>
      <c r="B187" s="2" t="d">
        <v>1966-07-19</v>
      </c>
      <c r="C187" s="1" t="s">
        <v>185</v>
      </c>
      <c r="D187" s="1" t="s">
        <v>25</v>
      </c>
      <c r="E187" s="1" t="s">
        <v>188</v>
      </c>
      <c r="F187" s="1" t="s">
        <v>189</v>
      </c>
      <c r="G187" s="1" t="s">
        <v>110</v>
      </c>
      <c r="H187" s="1" t="s">
        <v>33</v>
      </c>
      <c r="I187" s="1">
        <v>2</v>
      </c>
      <c r="J187" s="1">
        <v>0</v>
      </c>
      <c r="K187" s="1" t="s">
        <v>58</v>
      </c>
      <c r="L187" s="1" t="s">
        <v>19</v>
      </c>
      <c r="M187" s="1" t="str">
        <f t="shared" si="2"/>
        <v xml:space="preserve">1966|24307| 19:30 |Group 2|Hillsborough|Sheffield |England|Argentina|2|0|Switzerland| </v>
      </c>
    </row>
    <row r="188" spans="1:13" hidden="1" x14ac:dyDescent="0.2">
      <c r="A188" s="1">
        <v>1966</v>
      </c>
      <c r="B188" s="2" t="d">
        <v>1966-07-19</v>
      </c>
      <c r="C188" s="1" t="s">
        <v>185</v>
      </c>
      <c r="D188" s="1" t="s">
        <v>29</v>
      </c>
      <c r="E188" s="1" t="s">
        <v>190</v>
      </c>
      <c r="F188" s="1" t="s">
        <v>191</v>
      </c>
      <c r="G188" s="1" t="s">
        <v>110</v>
      </c>
      <c r="H188" s="1" t="s">
        <v>197</v>
      </c>
      <c r="I188" s="1">
        <v>3</v>
      </c>
      <c r="J188" s="1">
        <v>1</v>
      </c>
      <c r="K188" s="1" t="s">
        <v>27</v>
      </c>
      <c r="L188" s="1" t="s">
        <v>19</v>
      </c>
      <c r="M188" s="1" t="str">
        <f t="shared" si="2"/>
        <v xml:space="preserve">1966|24307| 19:30 |Group 3|Goodison Park|Liverpool |England|Portugal|3|1|Brazil| </v>
      </c>
    </row>
    <row r="189" spans="1:13" hidden="1" x14ac:dyDescent="0.2">
      <c r="A189" s="1">
        <v>1966</v>
      </c>
      <c r="B189" s="2" t="d">
        <v>1966-07-19</v>
      </c>
      <c r="C189" s="1" t="s">
        <v>185</v>
      </c>
      <c r="D189" s="1" t="s">
        <v>20</v>
      </c>
      <c r="E189" s="1" t="s">
        <v>192</v>
      </c>
      <c r="F189" s="1" t="s">
        <v>193</v>
      </c>
      <c r="G189" s="1" t="s">
        <v>110</v>
      </c>
      <c r="H189" s="1" t="s">
        <v>194</v>
      </c>
      <c r="I189" s="1">
        <v>1</v>
      </c>
      <c r="J189" s="1">
        <v>0</v>
      </c>
      <c r="K189" s="1" t="s">
        <v>49</v>
      </c>
      <c r="L189" s="1" t="s">
        <v>19</v>
      </c>
      <c r="M189" s="1" t="str">
        <f t="shared" si="2"/>
        <v xml:space="preserve">1966|24307| 19:30 |Group 4|Ayresome Park|Middlesbrough |England|Korea DPR|1|0|Italy| </v>
      </c>
    </row>
    <row r="190" spans="1:13" hidden="1" x14ac:dyDescent="0.2">
      <c r="A190" s="1">
        <v>1966</v>
      </c>
      <c r="B190" s="2" t="d">
        <v>1966-07-20</v>
      </c>
      <c r="C190" s="1" t="s">
        <v>185</v>
      </c>
      <c r="D190" s="1" t="s">
        <v>13</v>
      </c>
      <c r="E190" s="1" t="s">
        <v>186</v>
      </c>
      <c r="F190" s="1" t="s">
        <v>187</v>
      </c>
      <c r="G190" s="1" t="s">
        <v>110</v>
      </c>
      <c r="H190" s="1" t="s">
        <v>110</v>
      </c>
      <c r="I190" s="1">
        <v>2</v>
      </c>
      <c r="J190" s="1">
        <v>0</v>
      </c>
      <c r="K190" s="1" t="s">
        <v>17</v>
      </c>
      <c r="L190" s="1" t="s">
        <v>19</v>
      </c>
      <c r="M190" s="1" t="str">
        <f t="shared" si="2"/>
        <v xml:space="preserve">1966|24308| 19:30 |Group 1|Wembley Stadium|London |England|England|2|0|France| </v>
      </c>
    </row>
    <row r="191" spans="1:13" hidden="1" x14ac:dyDescent="0.2">
      <c r="A191" s="1">
        <v>1966</v>
      </c>
      <c r="B191" s="2" t="d">
        <v>1966-07-20</v>
      </c>
      <c r="C191" s="1" t="s">
        <v>185</v>
      </c>
      <c r="D191" s="1" t="s">
        <v>29</v>
      </c>
      <c r="E191" s="1" t="s">
        <v>195</v>
      </c>
      <c r="F191" s="1" t="s">
        <v>196</v>
      </c>
      <c r="G191" s="1" t="s">
        <v>110</v>
      </c>
      <c r="H191" s="1" t="s">
        <v>54</v>
      </c>
      <c r="I191" s="1">
        <v>3</v>
      </c>
      <c r="J191" s="1">
        <v>1</v>
      </c>
      <c r="K191" s="1" t="s">
        <v>182</v>
      </c>
      <c r="L191" s="1" t="s">
        <v>19</v>
      </c>
      <c r="M191" s="1" t="str">
        <f t="shared" si="2"/>
        <v xml:space="preserve">1966|24308| 19:30 |Group 3|Old Trafford Stadium|Manchester |England|Hungary|3|1|Bulgaria| </v>
      </c>
    </row>
    <row r="192" spans="1:13" x14ac:dyDescent="0.2">
      <c r="A192" s="1">
        <v>1966</v>
      </c>
      <c r="B192" s="2" t="d">
        <v>1966-07-20</v>
      </c>
      <c r="C192" s="1" t="s">
        <v>185</v>
      </c>
      <c r="D192" s="1" t="s">
        <v>25</v>
      </c>
      <c r="E192" s="1" t="s">
        <v>198</v>
      </c>
      <c r="F192" s="1" t="s">
        <v>199</v>
      </c>
      <c r="G192" s="1" t="s">
        <v>110</v>
      </c>
      <c r="H192" s="1" t="s">
        <v>133</v>
      </c>
      <c r="I192" s="1">
        <v>2</v>
      </c>
      <c r="J192" s="1">
        <v>1</v>
      </c>
      <c r="K192" s="1" t="s">
        <v>68</v>
      </c>
      <c r="L192" s="1" t="s">
        <v>19</v>
      </c>
      <c r="M192" s="1" t="str">
        <f t="shared" si="2"/>
        <v xml:space="preserve">1966|24308| 19:30 |Group 2|Villa Park|Birmingham |England|Germany FR|2|1|Spain| </v>
      </c>
    </row>
    <row r="193" spans="1:13" hidden="1" x14ac:dyDescent="0.2">
      <c r="A193" s="1">
        <v>1966</v>
      </c>
      <c r="B193" s="2" t="d">
        <v>1966-07-20</v>
      </c>
      <c r="C193" s="1" t="s">
        <v>185</v>
      </c>
      <c r="D193" s="1" t="s">
        <v>20</v>
      </c>
      <c r="E193" s="1" t="s">
        <v>200</v>
      </c>
      <c r="F193" s="1" t="s">
        <v>201</v>
      </c>
      <c r="G193" s="1" t="s">
        <v>110</v>
      </c>
      <c r="H193" s="1" t="s">
        <v>151</v>
      </c>
      <c r="I193" s="1">
        <v>2</v>
      </c>
      <c r="J193" s="1">
        <v>1</v>
      </c>
      <c r="K193" s="1" t="s">
        <v>35</v>
      </c>
      <c r="L193" s="1" t="s">
        <v>19</v>
      </c>
      <c r="M193" s="1" t="str">
        <f t="shared" si="2"/>
        <v xml:space="preserve">1966|24308| 19:30 |Group 4|Roker Park Ground|Sunderland |England|Soviet Union|2|1|Chile| </v>
      </c>
    </row>
    <row r="194" spans="1:13" hidden="1" x14ac:dyDescent="0.2">
      <c r="A194" s="1">
        <v>1966</v>
      </c>
      <c r="B194" s="2" t="d">
        <v>1966-07-23</v>
      </c>
      <c r="C194" s="1" t="s">
        <v>12</v>
      </c>
      <c r="D194" s="12" t="s">
        <v>74</v>
      </c>
      <c r="E194" s="1" t="s">
        <v>186</v>
      </c>
      <c r="F194" s="1" t="s">
        <v>187</v>
      </c>
      <c r="G194" s="1" t="s">
        <v>110</v>
      </c>
      <c r="H194" s="1" t="s">
        <v>110</v>
      </c>
      <c r="I194" s="1">
        <v>1</v>
      </c>
      <c r="J194" s="1">
        <v>0</v>
      </c>
      <c r="K194" s="1" t="s">
        <v>33</v>
      </c>
      <c r="L194" s="1" t="s">
        <v>19</v>
      </c>
      <c r="M194" s="1" t="str">
        <f t="shared" si="2"/>
        <v xml:space="preserve">1966|24311| 15:00 |Quarter-finals|Wembley Stadium|London |England|England|1|0|Argentina| </v>
      </c>
    </row>
    <row r="195" spans="1:13" x14ac:dyDescent="0.2">
      <c r="A195" s="1">
        <v>1966</v>
      </c>
      <c r="B195" s="2" t="d">
        <v>1966-07-23</v>
      </c>
      <c r="C195" s="1" t="s">
        <v>12</v>
      </c>
      <c r="D195" s="12" t="s">
        <v>74</v>
      </c>
      <c r="E195" s="1" t="s">
        <v>188</v>
      </c>
      <c r="F195" s="1" t="s">
        <v>189</v>
      </c>
      <c r="G195" s="1" t="s">
        <v>110</v>
      </c>
      <c r="H195" s="1" t="s">
        <v>133</v>
      </c>
      <c r="I195" s="1">
        <v>4</v>
      </c>
      <c r="J195" s="1">
        <v>0</v>
      </c>
      <c r="K195" s="1" t="s">
        <v>16</v>
      </c>
      <c r="L195" s="1" t="s">
        <v>19</v>
      </c>
      <c r="M195" s="1" t="str">
        <f t="shared" ref="M195:M258" si="3">_xlfn.TEXTJOIN("|",TRUE,A195,B195,C195,D195,E195,F195,G195,H195,I195,J195,K195,L195)</f>
        <v xml:space="preserve">1966|24311| 15:00 |Quarter-finals|Hillsborough|Sheffield |England|Germany FR|4|0|Uruguay| </v>
      </c>
    </row>
    <row r="196" spans="1:13" hidden="1" x14ac:dyDescent="0.2">
      <c r="A196" s="1">
        <v>1966</v>
      </c>
      <c r="B196" s="2" t="d">
        <v>1966-07-23</v>
      </c>
      <c r="C196" s="1" t="s">
        <v>12</v>
      </c>
      <c r="D196" s="12" t="s">
        <v>74</v>
      </c>
      <c r="E196" s="1" t="s">
        <v>200</v>
      </c>
      <c r="F196" s="1" t="s">
        <v>201</v>
      </c>
      <c r="G196" s="1" t="s">
        <v>110</v>
      </c>
      <c r="H196" s="1" t="s">
        <v>151</v>
      </c>
      <c r="I196" s="1">
        <v>2</v>
      </c>
      <c r="J196" s="1">
        <v>1</v>
      </c>
      <c r="K196" s="1" t="s">
        <v>54</v>
      </c>
      <c r="L196" s="1" t="s">
        <v>19</v>
      </c>
      <c r="M196" s="1" t="str">
        <f t="shared" si="3"/>
        <v xml:space="preserve">1966|24311| 15:00 |Quarter-finals|Roker Park Ground|Sunderland |England|Soviet Union|2|1|Hungary| </v>
      </c>
    </row>
    <row r="197" spans="1:13" hidden="1" x14ac:dyDescent="0.2">
      <c r="A197" s="1">
        <v>1966</v>
      </c>
      <c r="B197" s="2" t="d">
        <v>1966-07-23</v>
      </c>
      <c r="C197" s="1" t="s">
        <v>12</v>
      </c>
      <c r="D197" s="12" t="s">
        <v>74</v>
      </c>
      <c r="E197" s="1" t="s">
        <v>190</v>
      </c>
      <c r="F197" s="1" t="s">
        <v>191</v>
      </c>
      <c r="G197" s="1" t="s">
        <v>110</v>
      </c>
      <c r="H197" s="1" t="s">
        <v>197</v>
      </c>
      <c r="I197" s="1">
        <v>5</v>
      </c>
      <c r="J197" s="1">
        <v>3</v>
      </c>
      <c r="K197" s="1" t="s">
        <v>194</v>
      </c>
      <c r="L197" s="1" t="s">
        <v>19</v>
      </c>
      <c r="M197" s="1" t="str">
        <f t="shared" si="3"/>
        <v xml:space="preserve">1966|24311| 15:00 |Quarter-finals|Goodison Park|Liverpool |England|Portugal|5|3|Korea DPR| </v>
      </c>
    </row>
    <row r="198" spans="1:13" x14ac:dyDescent="0.2">
      <c r="A198" s="1">
        <v>1966</v>
      </c>
      <c r="B198" s="2" t="d">
        <v>1966-07-25</v>
      </c>
      <c r="C198" s="1" t="s">
        <v>185</v>
      </c>
      <c r="D198" s="12" t="s">
        <v>42</v>
      </c>
      <c r="E198" s="1" t="s">
        <v>190</v>
      </c>
      <c r="F198" s="1" t="s">
        <v>191</v>
      </c>
      <c r="G198" s="1" t="s">
        <v>110</v>
      </c>
      <c r="H198" s="1" t="s">
        <v>133</v>
      </c>
      <c r="I198" s="1">
        <v>2</v>
      </c>
      <c r="J198" s="1">
        <v>1</v>
      </c>
      <c r="K198" s="1" t="s">
        <v>151</v>
      </c>
      <c r="L198" s="1" t="s">
        <v>19</v>
      </c>
      <c r="M198" s="1" t="str">
        <f t="shared" si="3"/>
        <v xml:space="preserve">1966|24313| 19:30 |Semi-finals|Goodison Park|Liverpool |England|Germany FR|2|1|Soviet Union| </v>
      </c>
    </row>
    <row r="199" spans="1:13" hidden="1" x14ac:dyDescent="0.2">
      <c r="A199" s="1">
        <v>1966</v>
      </c>
      <c r="B199" s="2" t="d">
        <v>1966-07-26</v>
      </c>
      <c r="C199" s="1" t="s">
        <v>185</v>
      </c>
      <c r="D199" s="12" t="s">
        <v>42</v>
      </c>
      <c r="E199" s="1" t="s">
        <v>186</v>
      </c>
      <c r="F199" s="1" t="s">
        <v>187</v>
      </c>
      <c r="G199" s="1" t="s">
        <v>110</v>
      </c>
      <c r="H199" s="1" t="s">
        <v>110</v>
      </c>
      <c r="I199" s="1">
        <v>2</v>
      </c>
      <c r="J199" s="1">
        <v>1</v>
      </c>
      <c r="K199" s="1" t="s">
        <v>197</v>
      </c>
      <c r="L199" s="1" t="s">
        <v>19</v>
      </c>
      <c r="M199" s="1" t="str">
        <f t="shared" si="3"/>
        <v xml:space="preserve">1966|24314| 19:30 |Semi-finals|Wembley Stadium|London |England|England|2|1|Portugal| </v>
      </c>
    </row>
    <row r="200" spans="1:13" hidden="1" x14ac:dyDescent="0.2">
      <c r="A200" s="1">
        <v>1966</v>
      </c>
      <c r="B200" s="2" t="d">
        <v>1966-07-28</v>
      </c>
      <c r="C200" s="1" t="s">
        <v>185</v>
      </c>
      <c r="D200" s="12" t="s">
        <v>76</v>
      </c>
      <c r="E200" s="1" t="s">
        <v>186</v>
      </c>
      <c r="F200" s="1" t="s">
        <v>187</v>
      </c>
      <c r="G200" s="1" t="s">
        <v>110</v>
      </c>
      <c r="H200" s="1" t="s">
        <v>197</v>
      </c>
      <c r="I200" s="1">
        <v>2</v>
      </c>
      <c r="J200" s="1">
        <v>1</v>
      </c>
      <c r="K200" s="1" t="s">
        <v>151</v>
      </c>
      <c r="L200" s="1" t="s">
        <v>19</v>
      </c>
      <c r="M200" s="1" t="str">
        <f t="shared" si="3"/>
        <v xml:space="preserve">1966|24316| 19:30 |Match for third place|Wembley Stadium|London |England|Portugal|2|1|Soviet Union| </v>
      </c>
    </row>
    <row r="201" spans="1:13" hidden="1" x14ac:dyDescent="0.2">
      <c r="A201" s="1">
        <v>1966</v>
      </c>
      <c r="B201" s="2" t="d">
        <v>1966-07-30</v>
      </c>
      <c r="C201" s="1" t="s">
        <v>12</v>
      </c>
      <c r="D201" s="12" t="s">
        <v>44</v>
      </c>
      <c r="E201" s="1" t="s">
        <v>186</v>
      </c>
      <c r="F201" s="1" t="s">
        <v>187</v>
      </c>
      <c r="G201" s="1" t="s">
        <v>110</v>
      </c>
      <c r="H201" s="1" t="s">
        <v>110</v>
      </c>
      <c r="I201" s="1">
        <v>4</v>
      </c>
      <c r="J201" s="1">
        <v>2</v>
      </c>
      <c r="K201" s="1" t="s">
        <v>133</v>
      </c>
      <c r="L201" s="1" t="s">
        <v>203</v>
      </c>
      <c r="M201" s="1" t="str">
        <f t="shared" si="3"/>
        <v xml:space="preserve">1966|24318| 15:00 |Final|Wembley Stadium|London |England|England|4|2|Germany FR|England win after extra time </v>
      </c>
    </row>
    <row r="202" spans="1:13" hidden="1" x14ac:dyDescent="0.2">
      <c r="A202" s="1">
        <v>1970</v>
      </c>
      <c r="B202" s="2" t="d">
        <v>1970-05-31</v>
      </c>
      <c r="C202" s="1" t="s">
        <v>204</v>
      </c>
      <c r="D202" s="1" t="s">
        <v>13</v>
      </c>
      <c r="E202" s="1" t="s">
        <v>205</v>
      </c>
      <c r="F202" s="1" t="s">
        <v>206</v>
      </c>
      <c r="G202" s="1" t="s">
        <v>18</v>
      </c>
      <c r="H202" s="1" t="s">
        <v>18</v>
      </c>
      <c r="I202" s="1">
        <v>0</v>
      </c>
      <c r="J202" s="1">
        <v>0</v>
      </c>
      <c r="K202" s="1" t="s">
        <v>151</v>
      </c>
      <c r="L202" s="1" t="s">
        <v>19</v>
      </c>
      <c r="M202" s="1" t="str">
        <f t="shared" si="3"/>
        <v xml:space="preserve">1970|25719| 12:00 |Group 1|Estadio Azteca|Mexico City |Mexico|Mexico|0|0|Soviet Union| </v>
      </c>
    </row>
    <row r="203" spans="1:13" hidden="1" x14ac:dyDescent="0.2">
      <c r="A203" s="1">
        <v>1970</v>
      </c>
      <c r="B203" s="2" t="d">
        <v>1970-06-02</v>
      </c>
      <c r="C203" s="1" t="s">
        <v>32</v>
      </c>
      <c r="D203" s="1" t="s">
        <v>25</v>
      </c>
      <c r="E203" s="1" t="s">
        <v>207</v>
      </c>
      <c r="F203" s="1" t="s">
        <v>208</v>
      </c>
      <c r="G203" s="1" t="s">
        <v>18</v>
      </c>
      <c r="H203" s="1" t="s">
        <v>16</v>
      </c>
      <c r="I203" s="1">
        <v>2</v>
      </c>
      <c r="J203" s="1">
        <v>0</v>
      </c>
      <c r="K203" s="1" t="s">
        <v>209</v>
      </c>
      <c r="L203" s="1" t="s">
        <v>19</v>
      </c>
      <c r="M203" s="1" t="str">
        <f t="shared" si="3"/>
        <v xml:space="preserve">1970|25721| 16:00 |Group 2|Cuauhtemoc|Puebla |Mexico|Uruguay|2|0|Israel| </v>
      </c>
    </row>
    <row r="204" spans="1:13" hidden="1" x14ac:dyDescent="0.2">
      <c r="A204" s="1">
        <v>1970</v>
      </c>
      <c r="B204" s="2" t="d">
        <v>1970-06-02</v>
      </c>
      <c r="C204" s="1" t="s">
        <v>32</v>
      </c>
      <c r="D204" s="1" t="s">
        <v>20</v>
      </c>
      <c r="E204" s="1" t="s">
        <v>210</v>
      </c>
      <c r="F204" s="1" t="s">
        <v>211</v>
      </c>
      <c r="G204" s="1" t="s">
        <v>18</v>
      </c>
      <c r="H204" s="1" t="s">
        <v>31</v>
      </c>
      <c r="I204" s="1">
        <v>3</v>
      </c>
      <c r="J204" s="1">
        <v>2</v>
      </c>
      <c r="K204" s="1" t="s">
        <v>182</v>
      </c>
      <c r="L204" s="1" t="s">
        <v>19</v>
      </c>
      <c r="M204" s="1" t="str">
        <f t="shared" si="3"/>
        <v xml:space="preserve">1970|25721| 16:00 |Group 4|Nou Camp - Estadio Leï¿½n|Leon |Mexico|Peru|3|2|Bulgaria| </v>
      </c>
    </row>
    <row r="205" spans="1:13" hidden="1" x14ac:dyDescent="0.2">
      <c r="A205" s="1">
        <v>1970</v>
      </c>
      <c r="B205" s="2" t="d">
        <v>1970-06-02</v>
      </c>
      <c r="C205" s="1" t="s">
        <v>32</v>
      </c>
      <c r="D205" s="1" t="s">
        <v>29</v>
      </c>
      <c r="E205" s="1" t="s">
        <v>212</v>
      </c>
      <c r="F205" s="1" t="s">
        <v>213</v>
      </c>
      <c r="G205" s="1" t="s">
        <v>18</v>
      </c>
      <c r="H205" s="1" t="s">
        <v>110</v>
      </c>
      <c r="I205" s="1">
        <v>1</v>
      </c>
      <c r="J205" s="1">
        <v>0</v>
      </c>
      <c r="K205" s="1" t="s">
        <v>30</v>
      </c>
      <c r="L205" s="1" t="s">
        <v>19</v>
      </c>
      <c r="M205" s="1" t="str">
        <f t="shared" si="3"/>
        <v xml:space="preserve">1970|25721| 16:00 |Group 3|Jalisco|Guadalajara |Mexico|England|1|0|Romania| </v>
      </c>
    </row>
    <row r="206" spans="1:13" hidden="1" x14ac:dyDescent="0.2">
      <c r="A206" s="1">
        <v>1970</v>
      </c>
      <c r="B206" s="2" t="d">
        <v>1970-06-03</v>
      </c>
      <c r="C206" s="1" t="s">
        <v>32</v>
      </c>
      <c r="D206" s="1" t="s">
        <v>25</v>
      </c>
      <c r="E206" s="1" t="s">
        <v>214</v>
      </c>
      <c r="F206" s="1" t="s">
        <v>215</v>
      </c>
      <c r="G206" s="1" t="s">
        <v>18</v>
      </c>
      <c r="H206" s="1" t="s">
        <v>49</v>
      </c>
      <c r="I206" s="1">
        <v>1</v>
      </c>
      <c r="J206" s="1">
        <v>0</v>
      </c>
      <c r="K206" s="1" t="s">
        <v>62</v>
      </c>
      <c r="L206" s="1" t="s">
        <v>19</v>
      </c>
      <c r="M206" s="1" t="str">
        <f t="shared" si="3"/>
        <v xml:space="preserve">1970|25722| 16:00 |Group 2|Luis Dosal|Toluca |Mexico|Italy|1|0|Sweden| </v>
      </c>
    </row>
    <row r="207" spans="1:13" x14ac:dyDescent="0.2">
      <c r="A207" s="1">
        <v>1970</v>
      </c>
      <c r="B207" s="2" t="d">
        <v>1970-06-03</v>
      </c>
      <c r="C207" s="1" t="s">
        <v>32</v>
      </c>
      <c r="D207" s="1" t="s">
        <v>20</v>
      </c>
      <c r="E207" s="1" t="s">
        <v>210</v>
      </c>
      <c r="F207" s="1" t="s">
        <v>211</v>
      </c>
      <c r="G207" s="1" t="s">
        <v>18</v>
      </c>
      <c r="H207" s="1" t="s">
        <v>133</v>
      </c>
      <c r="I207" s="1">
        <v>2</v>
      </c>
      <c r="J207" s="1">
        <v>1</v>
      </c>
      <c r="K207" s="1" t="s">
        <v>216</v>
      </c>
      <c r="L207" s="1" t="s">
        <v>19</v>
      </c>
      <c r="M207" s="1" t="str">
        <f t="shared" si="3"/>
        <v xml:space="preserve">1970|25722| 16:00 |Group 4|Nou Camp - Estadio Leï¿½n|Leon |Mexico|Germany FR|2|1|Morocco| </v>
      </c>
    </row>
    <row r="208" spans="1:13" hidden="1" x14ac:dyDescent="0.2">
      <c r="A208" s="1">
        <v>1970</v>
      </c>
      <c r="B208" s="2" t="d">
        <v>1970-06-03</v>
      </c>
      <c r="C208" s="1" t="s">
        <v>32</v>
      </c>
      <c r="D208" s="1" t="s">
        <v>29</v>
      </c>
      <c r="E208" s="1" t="s">
        <v>212</v>
      </c>
      <c r="F208" s="1" t="s">
        <v>213</v>
      </c>
      <c r="G208" s="1" t="s">
        <v>18</v>
      </c>
      <c r="H208" s="1" t="s">
        <v>27</v>
      </c>
      <c r="I208" s="1">
        <v>4</v>
      </c>
      <c r="J208" s="1">
        <v>1</v>
      </c>
      <c r="K208" s="1" t="s">
        <v>73</v>
      </c>
      <c r="L208" s="1" t="s">
        <v>19</v>
      </c>
      <c r="M208" s="1" t="str">
        <f t="shared" si="3"/>
        <v xml:space="preserve">1970|25722| 16:00 |Group 3|Jalisco|Guadalajara |Mexico|Brazil|4|1|Czechoslovakia| </v>
      </c>
    </row>
    <row r="209" spans="1:13" hidden="1" x14ac:dyDescent="0.2">
      <c r="A209" s="1">
        <v>1970</v>
      </c>
      <c r="B209" s="2" t="d">
        <v>1970-06-03</v>
      </c>
      <c r="C209" s="1" t="s">
        <v>32</v>
      </c>
      <c r="D209" s="1" t="s">
        <v>13</v>
      </c>
      <c r="E209" s="1" t="s">
        <v>205</v>
      </c>
      <c r="F209" s="1" t="s">
        <v>206</v>
      </c>
      <c r="G209" s="1" t="s">
        <v>18</v>
      </c>
      <c r="H209" s="1" t="s">
        <v>23</v>
      </c>
      <c r="I209" s="1">
        <v>3</v>
      </c>
      <c r="J209" s="1">
        <v>0</v>
      </c>
      <c r="K209" s="1" t="s">
        <v>217</v>
      </c>
      <c r="L209" s="1" t="s">
        <v>19</v>
      </c>
      <c r="M209" s="1" t="str">
        <f t="shared" si="3"/>
        <v xml:space="preserve">1970|25722| 16:00 |Group 1|Estadio Azteca|Mexico City |Mexico|Belgium|3|0|El Salvador| </v>
      </c>
    </row>
    <row r="210" spans="1:13" hidden="1" x14ac:dyDescent="0.2">
      <c r="A210" s="1">
        <v>1970</v>
      </c>
      <c r="B210" s="2" t="d">
        <v>1970-06-06</v>
      </c>
      <c r="C210" s="1" t="s">
        <v>32</v>
      </c>
      <c r="D210" s="1" t="s">
        <v>25</v>
      </c>
      <c r="E210" s="1" t="s">
        <v>207</v>
      </c>
      <c r="F210" s="1" t="s">
        <v>208</v>
      </c>
      <c r="G210" s="1" t="s">
        <v>18</v>
      </c>
      <c r="H210" s="1" t="s">
        <v>16</v>
      </c>
      <c r="I210" s="1">
        <v>0</v>
      </c>
      <c r="J210" s="1">
        <v>0</v>
      </c>
      <c r="K210" s="1" t="s">
        <v>49</v>
      </c>
      <c r="L210" s="1" t="s">
        <v>19</v>
      </c>
      <c r="M210" s="1" t="str">
        <f t="shared" si="3"/>
        <v xml:space="preserve">1970|25725| 16:00 |Group 2|Cuauhtemoc|Puebla |Mexico|Uruguay|0|0|Italy| </v>
      </c>
    </row>
    <row r="211" spans="1:13" hidden="1" x14ac:dyDescent="0.2">
      <c r="A211" s="1">
        <v>1970</v>
      </c>
      <c r="B211" s="2" t="d">
        <v>1970-06-06</v>
      </c>
      <c r="C211" s="1" t="s">
        <v>32</v>
      </c>
      <c r="D211" s="1" t="s">
        <v>20</v>
      </c>
      <c r="E211" s="1" t="s">
        <v>210</v>
      </c>
      <c r="F211" s="1" t="s">
        <v>211</v>
      </c>
      <c r="G211" s="1" t="s">
        <v>18</v>
      </c>
      <c r="H211" s="1" t="s">
        <v>31</v>
      </c>
      <c r="I211" s="1">
        <v>3</v>
      </c>
      <c r="J211" s="1">
        <v>0</v>
      </c>
      <c r="K211" s="1" t="s">
        <v>216</v>
      </c>
      <c r="L211" s="1" t="s">
        <v>19</v>
      </c>
      <c r="M211" s="1" t="str">
        <f t="shared" si="3"/>
        <v xml:space="preserve">1970|25725| 16:00 |Group 4|Nou Camp - Estadio Leï¿½n|Leon |Mexico|Peru|3|0|Morocco| </v>
      </c>
    </row>
    <row r="212" spans="1:13" hidden="1" x14ac:dyDescent="0.2">
      <c r="A212" s="1">
        <v>1970</v>
      </c>
      <c r="B212" s="2" t="d">
        <v>1970-06-06</v>
      </c>
      <c r="C212" s="1" t="s">
        <v>32</v>
      </c>
      <c r="D212" s="1" t="s">
        <v>29</v>
      </c>
      <c r="E212" s="1" t="s">
        <v>212</v>
      </c>
      <c r="F212" s="1" t="s">
        <v>213</v>
      </c>
      <c r="G212" s="1" t="s">
        <v>18</v>
      </c>
      <c r="H212" s="1" t="s">
        <v>30</v>
      </c>
      <c r="I212" s="1">
        <v>2</v>
      </c>
      <c r="J212" s="1">
        <v>1</v>
      </c>
      <c r="K212" s="1" t="s">
        <v>73</v>
      </c>
      <c r="L212" s="1" t="s">
        <v>19</v>
      </c>
      <c r="M212" s="1" t="str">
        <f t="shared" si="3"/>
        <v xml:space="preserve">1970|25725| 16:00 |Group 3|Jalisco|Guadalajara |Mexico|Romania|2|1|Czechoslovakia| </v>
      </c>
    </row>
    <row r="213" spans="1:13" hidden="1" x14ac:dyDescent="0.2">
      <c r="A213" s="1">
        <v>1970</v>
      </c>
      <c r="B213" s="2" t="d">
        <v>1970-06-06</v>
      </c>
      <c r="C213" s="1" t="s">
        <v>32</v>
      </c>
      <c r="D213" s="1" t="s">
        <v>13</v>
      </c>
      <c r="E213" s="1" t="s">
        <v>205</v>
      </c>
      <c r="F213" s="1" t="s">
        <v>206</v>
      </c>
      <c r="G213" s="1" t="s">
        <v>18</v>
      </c>
      <c r="H213" s="1" t="s">
        <v>151</v>
      </c>
      <c r="I213" s="1">
        <v>4</v>
      </c>
      <c r="J213" s="1">
        <v>1</v>
      </c>
      <c r="K213" s="1" t="s">
        <v>23</v>
      </c>
      <c r="L213" s="1" t="s">
        <v>19</v>
      </c>
      <c r="M213" s="1" t="str">
        <f t="shared" si="3"/>
        <v xml:space="preserve">1970|25725| 16:00 |Group 1|Estadio Azteca|Mexico City |Mexico|Soviet Union|4|1|Belgium| </v>
      </c>
    </row>
    <row r="214" spans="1:13" hidden="1" x14ac:dyDescent="0.2">
      <c r="A214" s="1">
        <v>1970</v>
      </c>
      <c r="B214" s="2" t="d">
        <v>1970-06-07</v>
      </c>
      <c r="C214" s="1" t="s">
        <v>204</v>
      </c>
      <c r="D214" s="1" t="s">
        <v>25</v>
      </c>
      <c r="E214" s="1" t="s">
        <v>214</v>
      </c>
      <c r="F214" s="1" t="s">
        <v>215</v>
      </c>
      <c r="G214" s="1" t="s">
        <v>18</v>
      </c>
      <c r="H214" s="1" t="s">
        <v>62</v>
      </c>
      <c r="I214" s="1">
        <v>1</v>
      </c>
      <c r="J214" s="1">
        <v>1</v>
      </c>
      <c r="K214" s="1" t="s">
        <v>209</v>
      </c>
      <c r="L214" s="1" t="s">
        <v>19</v>
      </c>
      <c r="M214" s="1" t="str">
        <f t="shared" si="3"/>
        <v xml:space="preserve">1970|25726| 12:00 |Group 2|Luis Dosal|Toluca |Mexico|Sweden|1|1|Israel| </v>
      </c>
    </row>
    <row r="215" spans="1:13" x14ac:dyDescent="0.2">
      <c r="A215" s="1">
        <v>1970</v>
      </c>
      <c r="B215" s="2" t="d">
        <v>1970-06-07</v>
      </c>
      <c r="C215" s="1" t="s">
        <v>204</v>
      </c>
      <c r="D215" s="1" t="s">
        <v>20</v>
      </c>
      <c r="E215" s="1" t="s">
        <v>210</v>
      </c>
      <c r="F215" s="1" t="s">
        <v>211</v>
      </c>
      <c r="G215" s="1" t="s">
        <v>18</v>
      </c>
      <c r="H215" s="1" t="s">
        <v>133</v>
      </c>
      <c r="I215" s="1">
        <v>5</v>
      </c>
      <c r="J215" s="1">
        <v>2</v>
      </c>
      <c r="K215" s="1" t="s">
        <v>182</v>
      </c>
      <c r="L215" s="1" t="s">
        <v>19</v>
      </c>
      <c r="M215" s="1" t="str">
        <f t="shared" si="3"/>
        <v xml:space="preserve">1970|25726| 12:00 |Group 4|Nou Camp - Estadio Leï¿½n|Leon |Mexico|Germany FR|5|2|Bulgaria| </v>
      </c>
    </row>
    <row r="216" spans="1:13" hidden="1" x14ac:dyDescent="0.2">
      <c r="A216" s="1">
        <v>1970</v>
      </c>
      <c r="B216" s="2" t="d">
        <v>1970-06-07</v>
      </c>
      <c r="C216" s="1" t="s">
        <v>204</v>
      </c>
      <c r="D216" s="1" t="s">
        <v>29</v>
      </c>
      <c r="E216" s="1" t="s">
        <v>212</v>
      </c>
      <c r="F216" s="1" t="s">
        <v>213</v>
      </c>
      <c r="G216" s="1" t="s">
        <v>18</v>
      </c>
      <c r="H216" s="1" t="s">
        <v>27</v>
      </c>
      <c r="I216" s="1">
        <v>1</v>
      </c>
      <c r="J216" s="1">
        <v>0</v>
      </c>
      <c r="K216" s="1" t="s">
        <v>110</v>
      </c>
      <c r="L216" s="1" t="s">
        <v>19</v>
      </c>
      <c r="M216" s="1" t="str">
        <f t="shared" si="3"/>
        <v xml:space="preserve">1970|25726| 12:00 |Group 3|Jalisco|Guadalajara |Mexico|Brazil|1|0|England| </v>
      </c>
    </row>
    <row r="217" spans="1:13" hidden="1" x14ac:dyDescent="0.2">
      <c r="A217" s="1">
        <v>1970</v>
      </c>
      <c r="B217" s="2" t="d">
        <v>1970-06-07</v>
      </c>
      <c r="C217" s="1" t="s">
        <v>204</v>
      </c>
      <c r="D217" s="1" t="s">
        <v>13</v>
      </c>
      <c r="E217" s="1" t="s">
        <v>205</v>
      </c>
      <c r="F217" s="1" t="s">
        <v>206</v>
      </c>
      <c r="G217" s="1" t="s">
        <v>18</v>
      </c>
      <c r="H217" s="1" t="s">
        <v>18</v>
      </c>
      <c r="I217" s="1">
        <v>4</v>
      </c>
      <c r="J217" s="1">
        <v>0</v>
      </c>
      <c r="K217" s="1" t="s">
        <v>217</v>
      </c>
      <c r="L217" s="1" t="s">
        <v>19</v>
      </c>
      <c r="M217" s="1" t="str">
        <f t="shared" si="3"/>
        <v xml:space="preserve">1970|25726| 12:00 |Group 1|Estadio Azteca|Mexico City |Mexico|Mexico|4|0|El Salvador| </v>
      </c>
    </row>
    <row r="218" spans="1:13" hidden="1" x14ac:dyDescent="0.2">
      <c r="A218" s="1">
        <v>1970</v>
      </c>
      <c r="B218" s="2" t="d">
        <v>1970-06-10</v>
      </c>
      <c r="C218" s="1" t="s">
        <v>32</v>
      </c>
      <c r="D218" s="1" t="s">
        <v>25</v>
      </c>
      <c r="E218" s="1" t="s">
        <v>207</v>
      </c>
      <c r="F218" s="1" t="s">
        <v>208</v>
      </c>
      <c r="G218" s="1" t="s">
        <v>18</v>
      </c>
      <c r="H218" s="1" t="s">
        <v>62</v>
      </c>
      <c r="I218" s="1">
        <v>1</v>
      </c>
      <c r="J218" s="1">
        <v>0</v>
      </c>
      <c r="K218" s="1" t="s">
        <v>16</v>
      </c>
      <c r="L218" s="1" t="s">
        <v>19</v>
      </c>
      <c r="M218" s="1" t="str">
        <f t="shared" si="3"/>
        <v xml:space="preserve">1970|25729| 16:00 |Group 2|Cuauhtemoc|Puebla |Mexico|Sweden|1|0|Uruguay| </v>
      </c>
    </row>
    <row r="219" spans="1:13" x14ac:dyDescent="0.2">
      <c r="A219" s="1">
        <v>1970</v>
      </c>
      <c r="B219" s="2" t="d">
        <v>1970-06-10</v>
      </c>
      <c r="C219" s="1" t="s">
        <v>32</v>
      </c>
      <c r="D219" s="1" t="s">
        <v>20</v>
      </c>
      <c r="E219" s="1" t="s">
        <v>210</v>
      </c>
      <c r="F219" s="1" t="s">
        <v>211</v>
      </c>
      <c r="G219" s="1" t="s">
        <v>18</v>
      </c>
      <c r="H219" s="1" t="s">
        <v>133</v>
      </c>
      <c r="I219" s="1">
        <v>3</v>
      </c>
      <c r="J219" s="1">
        <v>1</v>
      </c>
      <c r="K219" s="1" t="s">
        <v>31</v>
      </c>
      <c r="L219" s="1" t="s">
        <v>19</v>
      </c>
      <c r="M219" s="1" t="str">
        <f t="shared" si="3"/>
        <v xml:space="preserve">1970|25729| 16:00 |Group 4|Nou Camp - Estadio Leï¿½n|Leon |Mexico|Germany FR|3|1|Peru| </v>
      </c>
    </row>
    <row r="220" spans="1:13" hidden="1" x14ac:dyDescent="0.2">
      <c r="A220" s="1">
        <v>1970</v>
      </c>
      <c r="B220" s="2" t="d">
        <v>1970-06-10</v>
      </c>
      <c r="C220" s="1" t="s">
        <v>32</v>
      </c>
      <c r="D220" s="1" t="s">
        <v>29</v>
      </c>
      <c r="E220" s="1" t="s">
        <v>212</v>
      </c>
      <c r="F220" s="1" t="s">
        <v>213</v>
      </c>
      <c r="G220" s="1" t="s">
        <v>18</v>
      </c>
      <c r="H220" s="1" t="s">
        <v>27</v>
      </c>
      <c r="I220" s="1">
        <v>3</v>
      </c>
      <c r="J220" s="1">
        <v>2</v>
      </c>
      <c r="K220" s="1" t="s">
        <v>30</v>
      </c>
      <c r="L220" s="1" t="s">
        <v>19</v>
      </c>
      <c r="M220" s="1" t="str">
        <f t="shared" si="3"/>
        <v xml:space="preserve">1970|25729| 16:00 |Group 3|Jalisco|Guadalajara |Mexico|Brazil|3|2|Romania| </v>
      </c>
    </row>
    <row r="221" spans="1:13" hidden="1" x14ac:dyDescent="0.2">
      <c r="A221" s="1">
        <v>1970</v>
      </c>
      <c r="B221" s="2" t="d">
        <v>1970-06-10</v>
      </c>
      <c r="C221" s="1" t="s">
        <v>32</v>
      </c>
      <c r="D221" s="1" t="s">
        <v>13</v>
      </c>
      <c r="E221" s="1" t="s">
        <v>205</v>
      </c>
      <c r="F221" s="1" t="s">
        <v>206</v>
      </c>
      <c r="G221" s="1" t="s">
        <v>18</v>
      </c>
      <c r="H221" s="1" t="s">
        <v>151</v>
      </c>
      <c r="I221" s="1">
        <v>2</v>
      </c>
      <c r="J221" s="1">
        <v>0</v>
      </c>
      <c r="K221" s="1" t="s">
        <v>217</v>
      </c>
      <c r="L221" s="1" t="s">
        <v>19</v>
      </c>
      <c r="M221" s="1" t="str">
        <f t="shared" si="3"/>
        <v xml:space="preserve">1970|25729| 16:00 |Group 1|Estadio Azteca|Mexico City |Mexico|Soviet Union|2|0|El Salvador| </v>
      </c>
    </row>
    <row r="222" spans="1:13" hidden="1" x14ac:dyDescent="0.2">
      <c r="A222" s="1">
        <v>1970</v>
      </c>
      <c r="B222" s="2" t="d">
        <v>1970-06-11</v>
      </c>
      <c r="C222" s="1" t="s">
        <v>32</v>
      </c>
      <c r="D222" s="1" t="s">
        <v>25</v>
      </c>
      <c r="E222" s="1" t="s">
        <v>214</v>
      </c>
      <c r="F222" s="1" t="s">
        <v>215</v>
      </c>
      <c r="G222" s="1" t="s">
        <v>18</v>
      </c>
      <c r="H222" s="1" t="s">
        <v>49</v>
      </c>
      <c r="I222" s="1">
        <v>0</v>
      </c>
      <c r="J222" s="1">
        <v>0</v>
      </c>
      <c r="K222" s="1" t="s">
        <v>209</v>
      </c>
      <c r="L222" s="1" t="s">
        <v>19</v>
      </c>
      <c r="M222" s="1" t="str">
        <f t="shared" si="3"/>
        <v xml:space="preserve">1970|25730| 16:00 |Group 2|Luis Dosal|Toluca |Mexico|Italy|0|0|Israel| </v>
      </c>
    </row>
    <row r="223" spans="1:13" hidden="1" x14ac:dyDescent="0.2">
      <c r="A223" s="1">
        <v>1970</v>
      </c>
      <c r="B223" s="2" t="d">
        <v>1970-06-11</v>
      </c>
      <c r="C223" s="1" t="s">
        <v>32</v>
      </c>
      <c r="D223" s="1" t="s">
        <v>20</v>
      </c>
      <c r="E223" s="1" t="s">
        <v>210</v>
      </c>
      <c r="F223" s="1" t="s">
        <v>211</v>
      </c>
      <c r="G223" s="1" t="s">
        <v>18</v>
      </c>
      <c r="H223" s="1" t="s">
        <v>182</v>
      </c>
      <c r="I223" s="1">
        <v>1</v>
      </c>
      <c r="J223" s="1">
        <v>1</v>
      </c>
      <c r="K223" s="1" t="s">
        <v>216</v>
      </c>
      <c r="L223" s="1" t="s">
        <v>19</v>
      </c>
      <c r="M223" s="1" t="str">
        <f t="shared" si="3"/>
        <v xml:space="preserve">1970|25730| 16:00 |Group 4|Nou Camp - Estadio Leï¿½n|Leon |Mexico|Bulgaria|1|1|Morocco| </v>
      </c>
    </row>
    <row r="224" spans="1:13" hidden="1" x14ac:dyDescent="0.2">
      <c r="A224" s="1">
        <v>1970</v>
      </c>
      <c r="B224" s="2" t="d">
        <v>1970-06-11</v>
      </c>
      <c r="C224" s="1" t="s">
        <v>32</v>
      </c>
      <c r="D224" s="1" t="s">
        <v>29</v>
      </c>
      <c r="E224" s="1" t="s">
        <v>212</v>
      </c>
      <c r="F224" s="1" t="s">
        <v>213</v>
      </c>
      <c r="G224" s="1" t="s">
        <v>18</v>
      </c>
      <c r="H224" s="1" t="s">
        <v>110</v>
      </c>
      <c r="I224" s="1">
        <v>1</v>
      </c>
      <c r="J224" s="1">
        <v>0</v>
      </c>
      <c r="K224" s="1" t="s">
        <v>73</v>
      </c>
      <c r="L224" s="1" t="s">
        <v>19</v>
      </c>
      <c r="M224" s="1" t="str">
        <f t="shared" si="3"/>
        <v xml:space="preserve">1970|25730| 16:00 |Group 3|Jalisco|Guadalajara |Mexico|England|1|0|Czechoslovakia| </v>
      </c>
    </row>
    <row r="225" spans="1:13" hidden="1" x14ac:dyDescent="0.2">
      <c r="A225" s="1">
        <v>1970</v>
      </c>
      <c r="B225" s="2" t="d">
        <v>1970-06-11</v>
      </c>
      <c r="C225" s="1" t="s">
        <v>32</v>
      </c>
      <c r="D225" s="1" t="s">
        <v>13</v>
      </c>
      <c r="E225" s="1" t="s">
        <v>205</v>
      </c>
      <c r="F225" s="1" t="s">
        <v>206</v>
      </c>
      <c r="G225" s="1" t="s">
        <v>18</v>
      </c>
      <c r="H225" s="1" t="s">
        <v>18</v>
      </c>
      <c r="I225" s="1">
        <v>1</v>
      </c>
      <c r="J225" s="1">
        <v>0</v>
      </c>
      <c r="K225" s="1" t="s">
        <v>23</v>
      </c>
      <c r="L225" s="1" t="s">
        <v>19</v>
      </c>
      <c r="M225" s="1" t="str">
        <f t="shared" si="3"/>
        <v xml:space="preserve">1970|25730| 16:00 |Group 1|Estadio Azteca|Mexico City |Mexico|Mexico|1|0|Belgium| </v>
      </c>
    </row>
    <row r="226" spans="1:13" hidden="1" x14ac:dyDescent="0.2">
      <c r="A226" s="1">
        <v>1970</v>
      </c>
      <c r="B226" s="2" t="d">
        <v>1970-06-14</v>
      </c>
      <c r="C226" s="1" t="s">
        <v>204</v>
      </c>
      <c r="D226" s="12" t="s">
        <v>74</v>
      </c>
      <c r="E226" s="1" t="s">
        <v>214</v>
      </c>
      <c r="F226" s="1" t="s">
        <v>215</v>
      </c>
      <c r="G226" s="1" t="s">
        <v>18</v>
      </c>
      <c r="H226" s="1" t="s">
        <v>49</v>
      </c>
      <c r="I226" s="1">
        <v>4</v>
      </c>
      <c r="J226" s="1">
        <v>1</v>
      </c>
      <c r="K226" s="1" t="s">
        <v>18</v>
      </c>
      <c r="L226" s="1" t="s">
        <v>19</v>
      </c>
      <c r="M226" s="1" t="str">
        <f t="shared" si="3"/>
        <v xml:space="preserve">1970|25733| 12:00 |Quarter-finals|Luis Dosal|Toluca |Mexico|Italy|4|1|Mexico| </v>
      </c>
    </row>
    <row r="227" spans="1:13" x14ac:dyDescent="0.2">
      <c r="A227" s="1">
        <v>1970</v>
      </c>
      <c r="B227" s="2" t="d">
        <v>1970-06-14</v>
      </c>
      <c r="C227" s="1" t="s">
        <v>204</v>
      </c>
      <c r="D227" s="12" t="s">
        <v>74</v>
      </c>
      <c r="E227" s="1" t="s">
        <v>210</v>
      </c>
      <c r="F227" s="1" t="s">
        <v>211</v>
      </c>
      <c r="G227" s="1" t="s">
        <v>18</v>
      </c>
      <c r="H227" s="1" t="s">
        <v>133</v>
      </c>
      <c r="I227" s="1">
        <v>3</v>
      </c>
      <c r="J227" s="1">
        <v>2</v>
      </c>
      <c r="K227" s="1" t="s">
        <v>110</v>
      </c>
      <c r="L227" s="1" t="s">
        <v>218</v>
      </c>
      <c r="M227" s="1" t="str">
        <f t="shared" si="3"/>
        <v xml:space="preserve">1970|25733| 12:00 |Quarter-finals|Nou Camp - Estadio Leï¿½n|Leon |Mexico|Germany FR|3|2|England|Germany FR win after extra time </v>
      </c>
    </row>
    <row r="228" spans="1:13" hidden="1" x14ac:dyDescent="0.2">
      <c r="A228" s="1">
        <v>1970</v>
      </c>
      <c r="B228" s="2" t="d">
        <v>1970-06-14</v>
      </c>
      <c r="C228" s="1" t="s">
        <v>204</v>
      </c>
      <c r="D228" s="12" t="s">
        <v>74</v>
      </c>
      <c r="E228" s="1" t="s">
        <v>212</v>
      </c>
      <c r="F228" s="1" t="s">
        <v>213</v>
      </c>
      <c r="G228" s="1" t="s">
        <v>18</v>
      </c>
      <c r="H228" s="1" t="s">
        <v>27</v>
      </c>
      <c r="I228" s="1">
        <v>4</v>
      </c>
      <c r="J228" s="1">
        <v>2</v>
      </c>
      <c r="K228" s="1" t="s">
        <v>31</v>
      </c>
      <c r="L228" s="1" t="s">
        <v>19</v>
      </c>
      <c r="M228" s="1" t="str">
        <f t="shared" si="3"/>
        <v xml:space="preserve">1970|25733| 12:00 |Quarter-finals|Jalisco|Guadalajara |Mexico|Brazil|4|2|Peru| </v>
      </c>
    </row>
    <row r="229" spans="1:13" hidden="1" x14ac:dyDescent="0.2">
      <c r="A229" s="1">
        <v>1970</v>
      </c>
      <c r="B229" s="2" t="d">
        <v>1970-06-14</v>
      </c>
      <c r="C229" s="1" t="s">
        <v>204</v>
      </c>
      <c r="D229" s="12" t="s">
        <v>74</v>
      </c>
      <c r="E229" s="1" t="s">
        <v>205</v>
      </c>
      <c r="F229" s="1" t="s">
        <v>206</v>
      </c>
      <c r="G229" s="1" t="s">
        <v>18</v>
      </c>
      <c r="H229" s="1" t="s">
        <v>16</v>
      </c>
      <c r="I229" s="1">
        <v>1</v>
      </c>
      <c r="J229" s="1">
        <v>0</v>
      </c>
      <c r="K229" s="1" t="s">
        <v>151</v>
      </c>
      <c r="L229" s="1" t="s">
        <v>219</v>
      </c>
      <c r="M229" s="1" t="str">
        <f t="shared" si="3"/>
        <v xml:space="preserve">1970|25733| 12:00 |Quarter-finals|Estadio Azteca|Mexico City |Mexico|Uruguay|1|0|Soviet Union|Uruguay win after extra time </v>
      </c>
    </row>
    <row r="230" spans="1:13" hidden="1" x14ac:dyDescent="0.2">
      <c r="A230" s="1">
        <v>1970</v>
      </c>
      <c r="B230" s="2" t="d">
        <v>1970-06-17</v>
      </c>
      <c r="C230" s="1" t="s">
        <v>32</v>
      </c>
      <c r="D230" s="12" t="s">
        <v>42</v>
      </c>
      <c r="E230" s="1" t="s">
        <v>212</v>
      </c>
      <c r="F230" s="1" t="s">
        <v>213</v>
      </c>
      <c r="G230" s="1" t="s">
        <v>18</v>
      </c>
      <c r="H230" s="1" t="s">
        <v>27</v>
      </c>
      <c r="I230" s="1">
        <v>3</v>
      </c>
      <c r="J230" s="1">
        <v>1</v>
      </c>
      <c r="K230" s="1" t="s">
        <v>16</v>
      </c>
      <c r="L230" s="1" t="s">
        <v>19</v>
      </c>
      <c r="M230" s="1" t="str">
        <f t="shared" si="3"/>
        <v xml:space="preserve">1970|25736| 16:00 |Semi-finals|Jalisco|Guadalajara |Mexico|Brazil|3|1|Uruguay| </v>
      </c>
    </row>
    <row r="231" spans="1:13" hidden="1" x14ac:dyDescent="0.2">
      <c r="A231" s="1">
        <v>1970</v>
      </c>
      <c r="B231" s="2" t="d">
        <v>1970-06-17</v>
      </c>
      <c r="C231" s="1" t="s">
        <v>32</v>
      </c>
      <c r="D231" s="12" t="s">
        <v>42</v>
      </c>
      <c r="E231" s="1" t="s">
        <v>205</v>
      </c>
      <c r="F231" s="1" t="s">
        <v>206</v>
      </c>
      <c r="G231" s="1" t="s">
        <v>18</v>
      </c>
      <c r="H231" s="1" t="s">
        <v>49</v>
      </c>
      <c r="I231" s="1">
        <v>4</v>
      </c>
      <c r="J231" s="1">
        <v>3</v>
      </c>
      <c r="K231" s="1" t="s">
        <v>133</v>
      </c>
      <c r="L231" s="1" t="s">
        <v>78</v>
      </c>
      <c r="M231" s="1" t="str">
        <f t="shared" si="3"/>
        <v xml:space="preserve">1970|25736| 16:00 |Semi-finals|Estadio Azteca|Mexico City |Mexico|Italy|4|3|Germany FR|Italy win after extra time </v>
      </c>
    </row>
    <row r="232" spans="1:13" x14ac:dyDescent="0.2">
      <c r="A232" s="1">
        <v>1970</v>
      </c>
      <c r="B232" s="2" t="d">
        <v>1970-06-20</v>
      </c>
      <c r="C232" s="1" t="s">
        <v>32</v>
      </c>
      <c r="D232" s="12" t="s">
        <v>76</v>
      </c>
      <c r="E232" s="1" t="s">
        <v>205</v>
      </c>
      <c r="F232" s="1" t="s">
        <v>206</v>
      </c>
      <c r="G232" s="1" t="s">
        <v>18</v>
      </c>
      <c r="H232" s="1" t="s">
        <v>133</v>
      </c>
      <c r="I232" s="1">
        <v>1</v>
      </c>
      <c r="J232" s="1">
        <v>0</v>
      </c>
      <c r="K232" s="1" t="s">
        <v>16</v>
      </c>
      <c r="L232" s="1" t="s">
        <v>19</v>
      </c>
      <c r="M232" s="1" t="str">
        <f t="shared" si="3"/>
        <v xml:space="preserve">1970|25739| 16:00 |Match for third place|Estadio Azteca|Mexico City |Mexico|Germany FR|1|0|Uruguay| </v>
      </c>
    </row>
    <row r="233" spans="1:13" hidden="1" x14ac:dyDescent="0.2">
      <c r="A233" s="1">
        <v>1970</v>
      </c>
      <c r="B233" s="2" t="d">
        <v>1970-06-21</v>
      </c>
      <c r="C233" s="1" t="s">
        <v>204</v>
      </c>
      <c r="D233" s="12" t="s">
        <v>44</v>
      </c>
      <c r="E233" s="1" t="s">
        <v>205</v>
      </c>
      <c r="F233" s="1" t="s">
        <v>206</v>
      </c>
      <c r="G233" s="1" t="s">
        <v>18</v>
      </c>
      <c r="H233" s="1" t="s">
        <v>27</v>
      </c>
      <c r="I233" s="1">
        <v>4</v>
      </c>
      <c r="J233" s="1">
        <v>1</v>
      </c>
      <c r="K233" s="1" t="s">
        <v>49</v>
      </c>
      <c r="L233" s="1" t="s">
        <v>19</v>
      </c>
      <c r="M233" s="1" t="str">
        <f t="shared" si="3"/>
        <v xml:space="preserve">1970|25740| 12:00 |Final|Estadio Azteca|Mexico City |Mexico|Brazil|4|1|Italy| </v>
      </c>
    </row>
    <row r="234" spans="1:13" hidden="1" x14ac:dyDescent="0.2">
      <c r="A234" s="1">
        <v>1974</v>
      </c>
      <c r="B234" s="2" t="d">
        <v>1974-06-13</v>
      </c>
      <c r="C234" s="1" t="s">
        <v>79</v>
      </c>
      <c r="D234" s="1" t="s">
        <v>25</v>
      </c>
      <c r="E234" s="1" t="s">
        <v>220</v>
      </c>
      <c r="F234" s="1" t="s">
        <v>221</v>
      </c>
      <c r="G234" s="1" t="s">
        <v>65</v>
      </c>
      <c r="H234" s="1" t="s">
        <v>27</v>
      </c>
      <c r="I234" s="1">
        <v>0</v>
      </c>
      <c r="J234" s="1">
        <v>0</v>
      </c>
      <c r="K234" s="1" t="s">
        <v>26</v>
      </c>
      <c r="L234" s="1" t="s">
        <v>19</v>
      </c>
      <c r="M234" s="1" t="str">
        <f t="shared" si="3"/>
        <v xml:space="preserve">1974|27193| 17:00 |Group 2|Waldstadion|Frankfurt/Main |Germany|Brazil|0|0|Yugoslavia| </v>
      </c>
    </row>
    <row r="235" spans="1:13" x14ac:dyDescent="0.2">
      <c r="A235" s="1">
        <v>1974</v>
      </c>
      <c r="B235" s="2" t="d">
        <v>1974-06-14</v>
      </c>
      <c r="C235" s="1" t="s">
        <v>32</v>
      </c>
      <c r="D235" s="1" t="s">
        <v>13</v>
      </c>
      <c r="E235" s="1" t="s">
        <v>222</v>
      </c>
      <c r="F235" s="1" t="s">
        <v>223</v>
      </c>
      <c r="G235" s="1" t="s">
        <v>65</v>
      </c>
      <c r="H235" s="1" t="s">
        <v>133</v>
      </c>
      <c r="I235" s="1">
        <v>1</v>
      </c>
      <c r="J235" s="1">
        <v>0</v>
      </c>
      <c r="K235" s="1" t="s">
        <v>35</v>
      </c>
      <c r="L235" s="1" t="s">
        <v>19</v>
      </c>
      <c r="M235" s="1" t="str">
        <f t="shared" si="3"/>
        <v xml:space="preserve">1974|27194| 16:00 |Group 1|Olympiastadion|Berlin West |Germany|Germany FR|1|0|Chile| </v>
      </c>
    </row>
    <row r="236" spans="1:13" x14ac:dyDescent="0.2">
      <c r="A236" s="1">
        <v>1974</v>
      </c>
      <c r="B236" s="2" t="d">
        <v>1974-06-14</v>
      </c>
      <c r="C236" s="1" t="s">
        <v>185</v>
      </c>
      <c r="D236" s="1" t="s">
        <v>13</v>
      </c>
      <c r="E236" s="1" t="s">
        <v>224</v>
      </c>
      <c r="F236" s="1" t="s">
        <v>225</v>
      </c>
      <c r="G236" s="1" t="s">
        <v>65</v>
      </c>
      <c r="H236" s="1" t="s">
        <v>226</v>
      </c>
      <c r="I236" s="1">
        <v>2</v>
      </c>
      <c r="J236" s="1">
        <v>0</v>
      </c>
      <c r="K236" s="1" t="s">
        <v>227</v>
      </c>
      <c r="L236" s="1" t="s">
        <v>19</v>
      </c>
      <c r="M236" s="1" t="str">
        <f t="shared" si="3"/>
        <v xml:space="preserve">1974|27194| 19:30 |Group 1|Volksparkstadion|Hamburg |Germany|German DR|2|0|Australia| </v>
      </c>
    </row>
    <row r="237" spans="1:13" hidden="1" x14ac:dyDescent="0.2">
      <c r="A237" s="1">
        <v>1974</v>
      </c>
      <c r="B237" s="2" t="d">
        <v>1974-06-14</v>
      </c>
      <c r="C237" s="1" t="s">
        <v>185</v>
      </c>
      <c r="D237" s="1" t="s">
        <v>25</v>
      </c>
      <c r="E237" s="1" t="s">
        <v>228</v>
      </c>
      <c r="F237" s="1" t="s">
        <v>229</v>
      </c>
      <c r="G237" s="1" t="s">
        <v>65</v>
      </c>
      <c r="H237" s="1" t="s">
        <v>230</v>
      </c>
      <c r="I237" s="1">
        <v>0</v>
      </c>
      <c r="J237" s="1">
        <v>2</v>
      </c>
      <c r="K237" s="1" t="s">
        <v>128</v>
      </c>
      <c r="L237" s="1" t="s">
        <v>19</v>
      </c>
      <c r="M237" s="1" t="str">
        <f t="shared" si="3"/>
        <v xml:space="preserve">1974|27194| 19:30 |Group 2|Westfalenstadion|Dortmund |Germany|Zaire|0|2|Scotland| </v>
      </c>
    </row>
    <row r="238" spans="1:13" hidden="1" x14ac:dyDescent="0.2">
      <c r="A238" s="1">
        <v>1974</v>
      </c>
      <c r="B238" s="2" t="d">
        <v>1974-06-15</v>
      </c>
      <c r="C238" s="1" t="s">
        <v>32</v>
      </c>
      <c r="D238" s="1" t="s">
        <v>29</v>
      </c>
      <c r="E238" s="1" t="s">
        <v>231</v>
      </c>
      <c r="F238" s="1" t="s">
        <v>232</v>
      </c>
      <c r="G238" s="1" t="s">
        <v>65</v>
      </c>
      <c r="H238" s="1" t="s">
        <v>16</v>
      </c>
      <c r="I238" s="1">
        <v>0</v>
      </c>
      <c r="J238" s="1">
        <v>2</v>
      </c>
      <c r="K238" s="1" t="s">
        <v>59</v>
      </c>
      <c r="L238" s="1" t="s">
        <v>19</v>
      </c>
      <c r="M238" s="1" t="str">
        <f t="shared" si="3"/>
        <v xml:space="preserve">1974|27195| 16:00 |Group 3|Niedersachsenstadion|Hanover |Germany|Uruguay|0|2|Netherlands| </v>
      </c>
    </row>
    <row r="239" spans="1:13" hidden="1" x14ac:dyDescent="0.2">
      <c r="A239" s="1">
        <v>1974</v>
      </c>
      <c r="B239" s="2" t="d">
        <v>1974-06-15</v>
      </c>
      <c r="C239" s="1" t="s">
        <v>32</v>
      </c>
      <c r="D239" s="1" t="s">
        <v>29</v>
      </c>
      <c r="E239" s="1" t="s">
        <v>233</v>
      </c>
      <c r="F239" s="1" t="s">
        <v>234</v>
      </c>
      <c r="G239" s="1" t="s">
        <v>65</v>
      </c>
      <c r="H239" s="1" t="s">
        <v>62</v>
      </c>
      <c r="I239" s="1">
        <v>0</v>
      </c>
      <c r="J239" s="1">
        <v>0</v>
      </c>
      <c r="K239" s="1" t="s">
        <v>182</v>
      </c>
      <c r="L239" s="1" t="s">
        <v>19</v>
      </c>
      <c r="M239" s="1" t="str">
        <f t="shared" si="3"/>
        <v xml:space="preserve">1974|27195| 16:00 |Group 3|Rheinstadion|Dï¿½Sseldorf |Germany|Sweden|0|0|Bulgaria| </v>
      </c>
    </row>
    <row r="240" spans="1:13" hidden="1" x14ac:dyDescent="0.2">
      <c r="A240" s="1">
        <v>1974</v>
      </c>
      <c r="B240" s="2" t="d">
        <v>1974-06-15</v>
      </c>
      <c r="C240" s="1" t="s">
        <v>75</v>
      </c>
      <c r="D240" s="1" t="s">
        <v>20</v>
      </c>
      <c r="E240" s="1" t="s">
        <v>222</v>
      </c>
      <c r="F240" s="1" t="s">
        <v>235</v>
      </c>
      <c r="G240" s="1" t="s">
        <v>65</v>
      </c>
      <c r="H240" s="1" t="s">
        <v>49</v>
      </c>
      <c r="I240" s="1">
        <v>3</v>
      </c>
      <c r="J240" s="1">
        <v>1</v>
      </c>
      <c r="K240" s="1" t="s">
        <v>236</v>
      </c>
      <c r="L240" s="1" t="s">
        <v>19</v>
      </c>
      <c r="M240" s="1" t="str">
        <f t="shared" si="3"/>
        <v xml:space="preserve">1974|27195| 18:00 |Group 4|Olympiastadion|Munich |Germany|Italy|3|1|Haiti| </v>
      </c>
    </row>
    <row r="241" spans="1:13" hidden="1" x14ac:dyDescent="0.2">
      <c r="A241" s="1">
        <v>1974</v>
      </c>
      <c r="B241" s="2" t="d">
        <v>1974-06-15</v>
      </c>
      <c r="C241" s="1" t="s">
        <v>75</v>
      </c>
      <c r="D241" s="1" t="s">
        <v>20</v>
      </c>
      <c r="E241" s="1" t="s">
        <v>237</v>
      </c>
      <c r="F241" s="1" t="s">
        <v>238</v>
      </c>
      <c r="G241" s="1" t="s">
        <v>65</v>
      </c>
      <c r="H241" s="1" t="s">
        <v>96</v>
      </c>
      <c r="I241" s="1">
        <v>3</v>
      </c>
      <c r="J241" s="1">
        <v>2</v>
      </c>
      <c r="K241" s="1" t="s">
        <v>33</v>
      </c>
      <c r="L241" s="1" t="s">
        <v>19</v>
      </c>
      <c r="M241" s="1" t="str">
        <f t="shared" si="3"/>
        <v xml:space="preserve">1974|27195| 18:00 |Group 4|Neckarstadion|Stuttgart |Germany|Poland|3|2|Argentina| </v>
      </c>
    </row>
    <row r="242" spans="1:13" hidden="1" x14ac:dyDescent="0.2">
      <c r="A242" s="1">
        <v>1974</v>
      </c>
      <c r="B242" s="2" t="d">
        <v>1974-06-18</v>
      </c>
      <c r="C242" s="1" t="s">
        <v>32</v>
      </c>
      <c r="D242" s="1" t="s">
        <v>13</v>
      </c>
      <c r="E242" s="1" t="s">
        <v>224</v>
      </c>
      <c r="F242" s="1" t="s">
        <v>225</v>
      </c>
      <c r="G242" s="1" t="s">
        <v>65</v>
      </c>
      <c r="H242" s="1" t="s">
        <v>227</v>
      </c>
      <c r="I242" s="1">
        <v>0</v>
      </c>
      <c r="J242" s="1">
        <v>3</v>
      </c>
      <c r="K242" s="1" t="s">
        <v>133</v>
      </c>
      <c r="L242" s="1" t="s">
        <v>19</v>
      </c>
      <c r="M242" s="1" t="str">
        <f t="shared" si="3"/>
        <v xml:space="preserve">1974|27198| 16:00 |Group 1|Volksparkstadion|Hamburg |Germany|Australia|0|3|Germany FR| </v>
      </c>
    </row>
    <row r="243" spans="1:13" hidden="1" x14ac:dyDescent="0.2">
      <c r="A243" s="1">
        <v>1974</v>
      </c>
      <c r="B243" s="2" t="d">
        <v>1974-06-18</v>
      </c>
      <c r="C243" s="1" t="s">
        <v>185</v>
      </c>
      <c r="D243" s="1" t="s">
        <v>25</v>
      </c>
      <c r="E243" s="1" t="s">
        <v>220</v>
      </c>
      <c r="F243" s="1" t="s">
        <v>221</v>
      </c>
      <c r="G243" s="1" t="s">
        <v>65</v>
      </c>
      <c r="H243" s="1" t="s">
        <v>128</v>
      </c>
      <c r="I243" s="1">
        <v>0</v>
      </c>
      <c r="J243" s="1">
        <v>0</v>
      </c>
      <c r="K243" s="1" t="s">
        <v>27</v>
      </c>
      <c r="L243" s="1" t="s">
        <v>19</v>
      </c>
      <c r="M243" s="1" t="str">
        <f t="shared" si="3"/>
        <v xml:space="preserve">1974|27198| 19:30 |Group 2|Waldstadion|Frankfurt/Main |Germany|Scotland|0|0|Brazil| </v>
      </c>
    </row>
    <row r="244" spans="1:13" hidden="1" x14ac:dyDescent="0.2">
      <c r="A244" s="1">
        <v>1974</v>
      </c>
      <c r="B244" s="2" t="d">
        <v>1974-06-18</v>
      </c>
      <c r="C244" s="1" t="s">
        <v>185</v>
      </c>
      <c r="D244" s="1" t="s">
        <v>13</v>
      </c>
      <c r="E244" s="1" t="s">
        <v>222</v>
      </c>
      <c r="F244" s="1" t="s">
        <v>223</v>
      </c>
      <c r="G244" s="1" t="s">
        <v>65</v>
      </c>
      <c r="H244" s="1" t="s">
        <v>35</v>
      </c>
      <c r="I244" s="1">
        <v>1</v>
      </c>
      <c r="J244" s="1">
        <v>1</v>
      </c>
      <c r="K244" s="1" t="s">
        <v>226</v>
      </c>
      <c r="L244" s="1" t="s">
        <v>19</v>
      </c>
      <c r="M244" s="1" t="str">
        <f t="shared" si="3"/>
        <v xml:space="preserve">1974|27198| 19:30 |Group 1|Olympiastadion|Berlin West |Germany|Chile|1|1|German DR| </v>
      </c>
    </row>
    <row r="245" spans="1:13" hidden="1" x14ac:dyDescent="0.2">
      <c r="A245" s="1">
        <v>1974</v>
      </c>
      <c r="B245" s="2" t="d">
        <v>1974-06-18</v>
      </c>
      <c r="C245" s="1" t="s">
        <v>185</v>
      </c>
      <c r="D245" s="1" t="s">
        <v>25</v>
      </c>
      <c r="E245" s="1" t="s">
        <v>239</v>
      </c>
      <c r="F245" s="1" t="s">
        <v>240</v>
      </c>
      <c r="G245" s="1" t="s">
        <v>65</v>
      </c>
      <c r="H245" s="1" t="s">
        <v>26</v>
      </c>
      <c r="I245" s="1">
        <v>9</v>
      </c>
      <c r="J245" s="1">
        <v>0</v>
      </c>
      <c r="K245" s="1" t="s">
        <v>230</v>
      </c>
      <c r="L245" s="1" t="s">
        <v>19</v>
      </c>
      <c r="M245" s="1" t="str">
        <f t="shared" si="3"/>
        <v xml:space="preserve">1974|27198| 19:30 |Group 2|Parkstadion|Gelsenkirchen |Germany|Yugoslavia|9|0|Zaire| </v>
      </c>
    </row>
    <row r="246" spans="1:13" hidden="1" x14ac:dyDescent="0.2">
      <c r="A246" s="1">
        <v>1974</v>
      </c>
      <c r="B246" s="2" t="d">
        <v>1974-06-19</v>
      </c>
      <c r="C246" s="1" t="s">
        <v>185</v>
      </c>
      <c r="D246" s="1" t="s">
        <v>29</v>
      </c>
      <c r="E246" s="1" t="s">
        <v>228</v>
      </c>
      <c r="F246" s="1" t="s">
        <v>229</v>
      </c>
      <c r="G246" s="1" t="s">
        <v>65</v>
      </c>
      <c r="H246" s="1" t="s">
        <v>59</v>
      </c>
      <c r="I246" s="1">
        <v>0</v>
      </c>
      <c r="J246" s="1">
        <v>0</v>
      </c>
      <c r="K246" s="1" t="s">
        <v>62</v>
      </c>
      <c r="L246" s="1" t="s">
        <v>19</v>
      </c>
      <c r="M246" s="1" t="str">
        <f t="shared" si="3"/>
        <v xml:space="preserve">1974|27199| 19:30 |Group 3|Westfalenstadion|Dortmund |Germany|Netherlands|0|0|Sweden| </v>
      </c>
    </row>
    <row r="247" spans="1:13" hidden="1" x14ac:dyDescent="0.2">
      <c r="A247" s="1">
        <v>1974</v>
      </c>
      <c r="B247" s="2" t="d">
        <v>1974-06-19</v>
      </c>
      <c r="C247" s="1" t="s">
        <v>185</v>
      </c>
      <c r="D247" s="1" t="s">
        <v>29</v>
      </c>
      <c r="E247" s="1" t="s">
        <v>231</v>
      </c>
      <c r="F247" s="1" t="s">
        <v>232</v>
      </c>
      <c r="G247" s="1" t="s">
        <v>65</v>
      </c>
      <c r="H247" s="1" t="s">
        <v>182</v>
      </c>
      <c r="I247" s="1">
        <v>1</v>
      </c>
      <c r="J247" s="1">
        <v>1</v>
      </c>
      <c r="K247" s="1" t="s">
        <v>16</v>
      </c>
      <c r="L247" s="1" t="s">
        <v>19</v>
      </c>
      <c r="M247" s="1" t="str">
        <f t="shared" si="3"/>
        <v xml:space="preserve">1974|27199| 19:30 |Group 3|Niedersachsenstadion|Hanover |Germany|Bulgaria|1|1|Uruguay| </v>
      </c>
    </row>
    <row r="248" spans="1:13" hidden="1" x14ac:dyDescent="0.2">
      <c r="A248" s="1">
        <v>1974</v>
      </c>
      <c r="B248" s="2" t="d">
        <v>1974-06-19</v>
      </c>
      <c r="C248" s="1" t="s">
        <v>185</v>
      </c>
      <c r="D248" s="1" t="s">
        <v>20</v>
      </c>
      <c r="E248" s="1" t="s">
        <v>222</v>
      </c>
      <c r="F248" s="1" t="s">
        <v>235</v>
      </c>
      <c r="G248" s="1" t="s">
        <v>65</v>
      </c>
      <c r="H248" s="1" t="s">
        <v>236</v>
      </c>
      <c r="I248" s="1">
        <v>0</v>
      </c>
      <c r="J248" s="1">
        <v>7</v>
      </c>
      <c r="K248" s="1" t="s">
        <v>96</v>
      </c>
      <c r="L248" s="1" t="s">
        <v>19</v>
      </c>
      <c r="M248" s="1" t="str">
        <f t="shared" si="3"/>
        <v xml:space="preserve">1974|27199| 19:30 |Group 4|Olympiastadion|Munich |Germany|Haiti|0|7|Poland| </v>
      </c>
    </row>
    <row r="249" spans="1:13" hidden="1" x14ac:dyDescent="0.2">
      <c r="A249" s="1">
        <v>1974</v>
      </c>
      <c r="B249" s="2" t="d">
        <v>1974-06-19</v>
      </c>
      <c r="C249" s="1" t="s">
        <v>185</v>
      </c>
      <c r="D249" s="1" t="s">
        <v>20</v>
      </c>
      <c r="E249" s="1" t="s">
        <v>237</v>
      </c>
      <c r="F249" s="1" t="s">
        <v>238</v>
      </c>
      <c r="G249" s="1" t="s">
        <v>65</v>
      </c>
      <c r="H249" s="1" t="s">
        <v>33</v>
      </c>
      <c r="I249" s="1">
        <v>1</v>
      </c>
      <c r="J249" s="1">
        <v>1</v>
      </c>
      <c r="K249" s="1" t="s">
        <v>49</v>
      </c>
      <c r="L249" s="1" t="s">
        <v>19</v>
      </c>
      <c r="M249" s="1" t="str">
        <f t="shared" si="3"/>
        <v xml:space="preserve">1974|27199| 19:30 |Group 4|Neckarstadion|Stuttgart |Germany|Argentina|1|1|Italy| </v>
      </c>
    </row>
    <row r="250" spans="1:13" hidden="1" x14ac:dyDescent="0.2">
      <c r="A250" s="1">
        <v>1974</v>
      </c>
      <c r="B250" s="2" t="d">
        <v>1974-06-22</v>
      </c>
      <c r="C250" s="1" t="s">
        <v>32</v>
      </c>
      <c r="D250" s="1" t="s">
        <v>25</v>
      </c>
      <c r="E250" s="1" t="s">
        <v>220</v>
      </c>
      <c r="F250" s="1" t="s">
        <v>221</v>
      </c>
      <c r="G250" s="1" t="s">
        <v>65</v>
      </c>
      <c r="H250" s="1" t="s">
        <v>128</v>
      </c>
      <c r="I250" s="1">
        <v>1</v>
      </c>
      <c r="J250" s="1">
        <v>1</v>
      </c>
      <c r="K250" s="1" t="s">
        <v>26</v>
      </c>
      <c r="L250" s="1" t="s">
        <v>19</v>
      </c>
      <c r="M250" s="1" t="str">
        <f t="shared" si="3"/>
        <v xml:space="preserve">1974|27202| 16:00 |Group 2|Waldstadion|Frankfurt/Main |Germany|Scotland|1|1|Yugoslavia| </v>
      </c>
    </row>
    <row r="251" spans="1:13" hidden="1" x14ac:dyDescent="0.2">
      <c r="A251" s="1">
        <v>1974</v>
      </c>
      <c r="B251" s="2" t="d">
        <v>1974-06-22</v>
      </c>
      <c r="C251" s="1" t="s">
        <v>32</v>
      </c>
      <c r="D251" s="1" t="s">
        <v>13</v>
      </c>
      <c r="E251" s="1" t="s">
        <v>222</v>
      </c>
      <c r="F251" s="1" t="s">
        <v>223</v>
      </c>
      <c r="G251" s="1" t="s">
        <v>65</v>
      </c>
      <c r="H251" s="1" t="s">
        <v>227</v>
      </c>
      <c r="I251" s="1">
        <v>0</v>
      </c>
      <c r="J251" s="1">
        <v>0</v>
      </c>
      <c r="K251" s="1" t="s">
        <v>35</v>
      </c>
      <c r="L251" s="1" t="s">
        <v>19</v>
      </c>
      <c r="M251" s="1" t="str">
        <f t="shared" si="3"/>
        <v xml:space="preserve">1974|27202| 16:00 |Group 1|Olympiastadion|Berlin West |Germany|Australia|0|0|Chile| </v>
      </c>
    </row>
    <row r="252" spans="1:13" hidden="1" x14ac:dyDescent="0.2">
      <c r="A252" s="1">
        <v>1974</v>
      </c>
      <c r="B252" s="2" t="d">
        <v>1974-06-22</v>
      </c>
      <c r="C252" s="1" t="s">
        <v>32</v>
      </c>
      <c r="D252" s="1" t="s">
        <v>25</v>
      </c>
      <c r="E252" s="1" t="s">
        <v>239</v>
      </c>
      <c r="F252" s="1" t="s">
        <v>240</v>
      </c>
      <c r="G252" s="1" t="s">
        <v>65</v>
      </c>
      <c r="H252" s="1" t="s">
        <v>230</v>
      </c>
      <c r="I252" s="1">
        <v>0</v>
      </c>
      <c r="J252" s="1">
        <v>3</v>
      </c>
      <c r="K252" s="1" t="s">
        <v>27</v>
      </c>
      <c r="L252" s="1" t="s">
        <v>19</v>
      </c>
      <c r="M252" s="1" t="str">
        <f t="shared" si="3"/>
        <v xml:space="preserve">1974|27202| 16:00 |Group 2|Parkstadion|Gelsenkirchen |Germany|Zaire|0|3|Brazil| </v>
      </c>
    </row>
    <row r="253" spans="1:13" x14ac:dyDescent="0.2">
      <c r="A253" s="1">
        <v>1974</v>
      </c>
      <c r="B253" s="2" t="d">
        <v>1974-06-22</v>
      </c>
      <c r="C253" s="1" t="s">
        <v>185</v>
      </c>
      <c r="D253" s="1" t="s">
        <v>13</v>
      </c>
      <c r="E253" s="1" t="s">
        <v>224</v>
      </c>
      <c r="F253" s="1" t="s">
        <v>225</v>
      </c>
      <c r="G253" s="1" t="s">
        <v>65</v>
      </c>
      <c r="H253" s="1" t="s">
        <v>226</v>
      </c>
      <c r="I253" s="1">
        <v>1</v>
      </c>
      <c r="J253" s="1">
        <v>0</v>
      </c>
      <c r="K253" s="1" t="s">
        <v>133</v>
      </c>
      <c r="L253" s="1" t="s">
        <v>19</v>
      </c>
      <c r="M253" s="1" t="str">
        <f t="shared" si="3"/>
        <v xml:space="preserve">1974|27202| 19:30 |Group 1|Volksparkstadion|Hamburg |Germany|German DR|1|0|Germany FR| </v>
      </c>
    </row>
    <row r="254" spans="1:13" hidden="1" x14ac:dyDescent="0.2">
      <c r="A254" s="1">
        <v>1974</v>
      </c>
      <c r="B254" s="2" t="d">
        <v>1974-06-23</v>
      </c>
      <c r="C254" s="1" t="s">
        <v>32</v>
      </c>
      <c r="D254" s="1" t="s">
        <v>29</v>
      </c>
      <c r="E254" s="1" t="s">
        <v>228</v>
      </c>
      <c r="F254" s="1" t="s">
        <v>229</v>
      </c>
      <c r="G254" s="1" t="s">
        <v>65</v>
      </c>
      <c r="H254" s="1" t="s">
        <v>182</v>
      </c>
      <c r="I254" s="1">
        <v>1</v>
      </c>
      <c r="J254" s="1">
        <v>4</v>
      </c>
      <c r="K254" s="1" t="s">
        <v>59</v>
      </c>
      <c r="L254" s="1" t="s">
        <v>19</v>
      </c>
      <c r="M254" s="1" t="str">
        <f t="shared" si="3"/>
        <v xml:space="preserve">1974|27203| 16:00 |Group 3|Westfalenstadion|Dortmund |Germany|Bulgaria|1|4|Netherlands| </v>
      </c>
    </row>
    <row r="255" spans="1:13" hidden="1" x14ac:dyDescent="0.2">
      <c r="A255" s="1">
        <v>1974</v>
      </c>
      <c r="B255" s="2" t="d">
        <v>1974-06-23</v>
      </c>
      <c r="C255" s="1" t="s">
        <v>32</v>
      </c>
      <c r="D255" s="1" t="s">
        <v>20</v>
      </c>
      <c r="E255" s="1" t="s">
        <v>222</v>
      </c>
      <c r="F255" s="1" t="s">
        <v>235</v>
      </c>
      <c r="G255" s="1" t="s">
        <v>65</v>
      </c>
      <c r="H255" s="1" t="s">
        <v>33</v>
      </c>
      <c r="I255" s="1">
        <v>4</v>
      </c>
      <c r="J255" s="1">
        <v>1</v>
      </c>
      <c r="K255" s="1" t="s">
        <v>236</v>
      </c>
      <c r="L255" s="1" t="s">
        <v>19</v>
      </c>
      <c r="M255" s="1" t="str">
        <f t="shared" si="3"/>
        <v xml:space="preserve">1974|27203| 16:00 |Group 4|Olympiastadion|Munich |Germany|Argentina|4|1|Haiti| </v>
      </c>
    </row>
    <row r="256" spans="1:13" hidden="1" x14ac:dyDescent="0.2">
      <c r="A256" s="1">
        <v>1974</v>
      </c>
      <c r="B256" s="2" t="d">
        <v>1974-06-23</v>
      </c>
      <c r="C256" s="1" t="s">
        <v>32</v>
      </c>
      <c r="D256" s="1" t="s">
        <v>29</v>
      </c>
      <c r="E256" s="1" t="s">
        <v>233</v>
      </c>
      <c r="F256" s="1" t="s">
        <v>234</v>
      </c>
      <c r="G256" s="1" t="s">
        <v>65</v>
      </c>
      <c r="H256" s="1" t="s">
        <v>62</v>
      </c>
      <c r="I256" s="1">
        <v>3</v>
      </c>
      <c r="J256" s="1">
        <v>0</v>
      </c>
      <c r="K256" s="1" t="s">
        <v>16</v>
      </c>
      <c r="L256" s="1" t="s">
        <v>19</v>
      </c>
      <c r="M256" s="1" t="str">
        <f t="shared" si="3"/>
        <v xml:space="preserve">1974|27203| 16:00 |Group 3|Rheinstadion|Dï¿½Sseldorf |Germany|Sweden|3|0|Uruguay| </v>
      </c>
    </row>
    <row r="257" spans="1:13" hidden="1" x14ac:dyDescent="0.2">
      <c r="A257" s="1">
        <v>1974</v>
      </c>
      <c r="B257" s="2" t="d">
        <v>1974-06-23</v>
      </c>
      <c r="C257" s="1" t="s">
        <v>32</v>
      </c>
      <c r="D257" s="1" t="s">
        <v>20</v>
      </c>
      <c r="E257" s="1" t="s">
        <v>237</v>
      </c>
      <c r="F257" s="1" t="s">
        <v>238</v>
      </c>
      <c r="G257" s="1" t="s">
        <v>65</v>
      </c>
      <c r="H257" s="1" t="s">
        <v>96</v>
      </c>
      <c r="I257" s="1">
        <v>2</v>
      </c>
      <c r="J257" s="1">
        <v>1</v>
      </c>
      <c r="K257" s="1" t="s">
        <v>49</v>
      </c>
      <c r="L257" s="1" t="s">
        <v>19</v>
      </c>
      <c r="M257" s="1" t="str">
        <f t="shared" si="3"/>
        <v xml:space="preserve">1974|27203| 16:00 |Group 4|Neckarstadion|Stuttgart |Germany|Poland|2|1|Italy| </v>
      </c>
    </row>
    <row r="258" spans="1:13" hidden="1" x14ac:dyDescent="0.2">
      <c r="A258" s="1">
        <v>1974</v>
      </c>
      <c r="B258" s="2" t="d">
        <v>1974-06-26</v>
      </c>
      <c r="C258" s="1" t="s">
        <v>32</v>
      </c>
      <c r="D258" s="12" t="s">
        <v>241</v>
      </c>
      <c r="E258" s="1" t="s">
        <v>233</v>
      </c>
      <c r="F258" s="1" t="s">
        <v>234</v>
      </c>
      <c r="G258" s="1" t="s">
        <v>65</v>
      </c>
      <c r="H258" s="1" t="s">
        <v>26</v>
      </c>
      <c r="I258" s="1">
        <v>0</v>
      </c>
      <c r="J258" s="1">
        <v>2</v>
      </c>
      <c r="K258" s="1" t="s">
        <v>133</v>
      </c>
      <c r="L258" s="1" t="s">
        <v>19</v>
      </c>
      <c r="M258" s="1" t="str">
        <f t="shared" si="3"/>
        <v xml:space="preserve">1974|27206| 16:00 |Group B|Rheinstadion|Dï¿½Sseldorf |Germany|Yugoslavia|0|2|Germany FR| </v>
      </c>
    </row>
    <row r="259" spans="1:13" hidden="1" x14ac:dyDescent="0.2">
      <c r="A259" s="1">
        <v>1974</v>
      </c>
      <c r="B259" s="2" t="d">
        <v>1974-06-26</v>
      </c>
      <c r="C259" s="1" t="s">
        <v>185</v>
      </c>
      <c r="D259" s="12" t="s">
        <v>242</v>
      </c>
      <c r="E259" s="1" t="s">
        <v>231</v>
      </c>
      <c r="F259" s="1" t="s">
        <v>232</v>
      </c>
      <c r="G259" s="1" t="s">
        <v>65</v>
      </c>
      <c r="H259" s="1" t="s">
        <v>27</v>
      </c>
      <c r="I259" s="1">
        <v>1</v>
      </c>
      <c r="J259" s="1">
        <v>0</v>
      </c>
      <c r="K259" s="1" t="s">
        <v>226</v>
      </c>
      <c r="L259" s="1" t="s">
        <v>19</v>
      </c>
      <c r="M259" s="1" t="str">
        <f t="shared" ref="M259:M322" si="4">_xlfn.TEXTJOIN("|",TRUE,A259,B259,C259,D259,E259,F259,G259,H259,I259,J259,K259,L259)</f>
        <v xml:space="preserve">1974|27206| 19:30 |Group A|Niedersachsenstadion|Hanover |Germany|Brazil|1|0|German DR| </v>
      </c>
    </row>
    <row r="260" spans="1:13" hidden="1" x14ac:dyDescent="0.2">
      <c r="A260" s="1">
        <v>1974</v>
      </c>
      <c r="B260" s="2" t="d">
        <v>1974-06-26</v>
      </c>
      <c r="C260" s="1" t="s">
        <v>185</v>
      </c>
      <c r="D260" s="12" t="s">
        <v>242</v>
      </c>
      <c r="E260" s="1" t="s">
        <v>239</v>
      </c>
      <c r="F260" s="1" t="s">
        <v>240</v>
      </c>
      <c r="G260" s="1" t="s">
        <v>65</v>
      </c>
      <c r="H260" s="1" t="s">
        <v>59</v>
      </c>
      <c r="I260" s="1">
        <v>4</v>
      </c>
      <c r="J260" s="1">
        <v>0</v>
      </c>
      <c r="K260" s="1" t="s">
        <v>33</v>
      </c>
      <c r="L260" s="1" t="s">
        <v>19</v>
      </c>
      <c r="M260" s="1" t="str">
        <f t="shared" si="4"/>
        <v xml:space="preserve">1974|27206| 19:30 |Group A|Parkstadion|Gelsenkirchen |Germany|Netherlands|4|0|Argentina| </v>
      </c>
    </row>
    <row r="261" spans="1:13" hidden="1" x14ac:dyDescent="0.2">
      <c r="A261" s="1">
        <v>1974</v>
      </c>
      <c r="B261" s="2" t="d">
        <v>1974-06-26</v>
      </c>
      <c r="C261" s="1" t="s">
        <v>185</v>
      </c>
      <c r="D261" s="12" t="s">
        <v>241</v>
      </c>
      <c r="E261" s="1" t="s">
        <v>237</v>
      </c>
      <c r="F261" s="1" t="s">
        <v>238</v>
      </c>
      <c r="G261" s="1" t="s">
        <v>65</v>
      </c>
      <c r="H261" s="1" t="s">
        <v>62</v>
      </c>
      <c r="I261" s="1">
        <v>0</v>
      </c>
      <c r="J261" s="1">
        <v>1</v>
      </c>
      <c r="K261" s="1" t="s">
        <v>96</v>
      </c>
      <c r="L261" s="1" t="s">
        <v>19</v>
      </c>
      <c r="M261" s="1" t="str">
        <f t="shared" si="4"/>
        <v xml:space="preserve">1974|27206| 19:30 |Group B|Neckarstadion|Stuttgart |Germany|Sweden|0|1|Poland| </v>
      </c>
    </row>
    <row r="262" spans="1:13" hidden="1" x14ac:dyDescent="0.2">
      <c r="A262" s="1">
        <v>1974</v>
      </c>
      <c r="B262" s="2" t="d">
        <v>1974-06-30</v>
      </c>
      <c r="C262" s="1" t="s">
        <v>32</v>
      </c>
      <c r="D262" s="12" t="s">
        <v>242</v>
      </c>
      <c r="E262" s="1" t="s">
        <v>231</v>
      </c>
      <c r="F262" s="1" t="s">
        <v>232</v>
      </c>
      <c r="G262" s="1" t="s">
        <v>65</v>
      </c>
      <c r="H262" s="1" t="s">
        <v>33</v>
      </c>
      <c r="I262" s="1">
        <v>1</v>
      </c>
      <c r="J262" s="1">
        <v>2</v>
      </c>
      <c r="K262" s="1" t="s">
        <v>27</v>
      </c>
      <c r="L262" s="1" t="s">
        <v>19</v>
      </c>
      <c r="M262" s="1" t="str">
        <f t="shared" si="4"/>
        <v xml:space="preserve">1974|27210| 16:00 |Group A|Niedersachsenstadion|Hanover |Germany|Argentina|1|2|Brazil| </v>
      </c>
    </row>
    <row r="263" spans="1:13" hidden="1" x14ac:dyDescent="0.2">
      <c r="A263" s="1">
        <v>1974</v>
      </c>
      <c r="B263" s="2" t="d">
        <v>1974-06-30</v>
      </c>
      <c r="C263" s="1" t="s">
        <v>32</v>
      </c>
      <c r="D263" s="12" t="s">
        <v>241</v>
      </c>
      <c r="E263" s="1" t="s">
        <v>220</v>
      </c>
      <c r="F263" s="1" t="s">
        <v>221</v>
      </c>
      <c r="G263" s="1" t="s">
        <v>65</v>
      </c>
      <c r="H263" s="1" t="s">
        <v>96</v>
      </c>
      <c r="I263" s="1">
        <v>2</v>
      </c>
      <c r="J263" s="1">
        <v>1</v>
      </c>
      <c r="K263" s="1" t="s">
        <v>26</v>
      </c>
      <c r="L263" s="1" t="s">
        <v>19</v>
      </c>
      <c r="M263" s="1" t="str">
        <f t="shared" si="4"/>
        <v xml:space="preserve">1974|27210| 16:00 |Group B|Waldstadion|Frankfurt/Main |Germany|Poland|2|1|Yugoslavia| </v>
      </c>
    </row>
    <row r="264" spans="1:13" x14ac:dyDescent="0.2">
      <c r="A264" s="1">
        <v>1974</v>
      </c>
      <c r="B264" s="2" t="d">
        <v>1974-06-30</v>
      </c>
      <c r="C264" s="1" t="s">
        <v>32</v>
      </c>
      <c r="D264" s="12" t="s">
        <v>242</v>
      </c>
      <c r="E264" s="1" t="s">
        <v>239</v>
      </c>
      <c r="F264" s="1" t="s">
        <v>240</v>
      </c>
      <c r="G264" s="1" t="s">
        <v>65</v>
      </c>
      <c r="H264" s="1" t="s">
        <v>226</v>
      </c>
      <c r="I264" s="1">
        <v>0</v>
      </c>
      <c r="J264" s="1">
        <v>2</v>
      </c>
      <c r="K264" s="1" t="s">
        <v>59</v>
      </c>
      <c r="L264" s="1" t="s">
        <v>19</v>
      </c>
      <c r="M264" s="1" t="str">
        <f t="shared" si="4"/>
        <v xml:space="preserve">1974|27210| 16:00 |Group A|Parkstadion|Gelsenkirchen |Germany|German DR|0|2|Netherlands| </v>
      </c>
    </row>
    <row r="265" spans="1:13" x14ac:dyDescent="0.2">
      <c r="A265" s="1">
        <v>1974</v>
      </c>
      <c r="B265" s="2" t="d">
        <v>1974-06-30</v>
      </c>
      <c r="C265" s="1" t="s">
        <v>185</v>
      </c>
      <c r="D265" s="12" t="s">
        <v>241</v>
      </c>
      <c r="E265" s="1" t="s">
        <v>233</v>
      </c>
      <c r="F265" s="1" t="s">
        <v>234</v>
      </c>
      <c r="G265" s="1" t="s">
        <v>65</v>
      </c>
      <c r="H265" s="1" t="s">
        <v>133</v>
      </c>
      <c r="I265" s="1">
        <v>4</v>
      </c>
      <c r="J265" s="1">
        <v>2</v>
      </c>
      <c r="K265" s="1" t="s">
        <v>62</v>
      </c>
      <c r="L265" s="1" t="s">
        <v>19</v>
      </c>
      <c r="M265" s="1" t="str">
        <f t="shared" si="4"/>
        <v xml:space="preserve">1974|27210| 19:30 |Group B|Rheinstadion|Dï¿½Sseldorf |Germany|Germany FR|4|2|Sweden| </v>
      </c>
    </row>
    <row r="266" spans="1:13" hidden="1" x14ac:dyDescent="0.2">
      <c r="A266" s="1">
        <v>1974</v>
      </c>
      <c r="B266" s="2" t="d">
        <v>1974-07-03</v>
      </c>
      <c r="C266" s="1" t="s">
        <v>79</v>
      </c>
      <c r="D266" s="12" t="s">
        <v>241</v>
      </c>
      <c r="E266" s="1" t="s">
        <v>220</v>
      </c>
      <c r="F266" s="1" t="s">
        <v>221</v>
      </c>
      <c r="G266" s="1" t="s">
        <v>65</v>
      </c>
      <c r="H266" s="1" t="s">
        <v>96</v>
      </c>
      <c r="I266" s="1">
        <v>0</v>
      </c>
      <c r="J266" s="1">
        <v>1</v>
      </c>
      <c r="K266" s="1" t="s">
        <v>133</v>
      </c>
      <c r="L266" s="1" t="s">
        <v>19</v>
      </c>
      <c r="M266" s="1" t="str">
        <f t="shared" si="4"/>
        <v xml:space="preserve">1974|27213| 17:00 |Group B|Waldstadion|Frankfurt/Main |Germany|Poland|0|1|Germany FR| </v>
      </c>
    </row>
    <row r="267" spans="1:13" hidden="1" x14ac:dyDescent="0.2">
      <c r="A267" s="1">
        <v>1974</v>
      </c>
      <c r="B267" s="2" t="d">
        <v>1974-07-03</v>
      </c>
      <c r="C267" s="1" t="s">
        <v>185</v>
      </c>
      <c r="D267" s="12" t="s">
        <v>242</v>
      </c>
      <c r="E267" s="1" t="s">
        <v>228</v>
      </c>
      <c r="F267" s="1" t="s">
        <v>229</v>
      </c>
      <c r="G267" s="1" t="s">
        <v>65</v>
      </c>
      <c r="H267" s="1" t="s">
        <v>59</v>
      </c>
      <c r="I267" s="1">
        <v>2</v>
      </c>
      <c r="J267" s="1">
        <v>0</v>
      </c>
      <c r="K267" s="1" t="s">
        <v>27</v>
      </c>
      <c r="L267" s="1" t="s">
        <v>19</v>
      </c>
      <c r="M267" s="1" t="str">
        <f t="shared" si="4"/>
        <v xml:space="preserve">1974|27213| 19:30 |Group A|Westfalenstadion|Dortmund |Germany|Netherlands|2|0|Brazil| </v>
      </c>
    </row>
    <row r="268" spans="1:13" hidden="1" x14ac:dyDescent="0.2">
      <c r="A268" s="1">
        <v>1974</v>
      </c>
      <c r="B268" s="2" t="d">
        <v>1974-07-03</v>
      </c>
      <c r="C268" s="1" t="s">
        <v>185</v>
      </c>
      <c r="D268" s="12" t="s">
        <v>242</v>
      </c>
      <c r="E268" s="1" t="s">
        <v>239</v>
      </c>
      <c r="F268" s="1" t="s">
        <v>240</v>
      </c>
      <c r="G268" s="1" t="s">
        <v>65</v>
      </c>
      <c r="H268" s="1" t="s">
        <v>33</v>
      </c>
      <c r="I268" s="1">
        <v>1</v>
      </c>
      <c r="J268" s="1">
        <v>1</v>
      </c>
      <c r="K268" s="1" t="s">
        <v>226</v>
      </c>
      <c r="L268" s="1" t="s">
        <v>19</v>
      </c>
      <c r="M268" s="1" t="str">
        <f t="shared" si="4"/>
        <v xml:space="preserve">1974|27213| 19:30 |Group A|Parkstadion|Gelsenkirchen |Germany|Argentina|1|1|German DR| </v>
      </c>
    </row>
    <row r="269" spans="1:13" hidden="1" x14ac:dyDescent="0.2">
      <c r="A269" s="1">
        <v>1974</v>
      </c>
      <c r="B269" s="2" t="d">
        <v>1974-07-03</v>
      </c>
      <c r="C269" s="1" t="s">
        <v>185</v>
      </c>
      <c r="D269" s="12" t="s">
        <v>241</v>
      </c>
      <c r="E269" s="1" t="s">
        <v>233</v>
      </c>
      <c r="F269" s="1" t="s">
        <v>234</v>
      </c>
      <c r="G269" s="1" t="s">
        <v>65</v>
      </c>
      <c r="H269" s="1" t="s">
        <v>62</v>
      </c>
      <c r="I269" s="1">
        <v>2</v>
      </c>
      <c r="J269" s="1">
        <v>1</v>
      </c>
      <c r="K269" s="1" t="s">
        <v>26</v>
      </c>
      <c r="L269" s="1" t="s">
        <v>19</v>
      </c>
      <c r="M269" s="1" t="str">
        <f t="shared" si="4"/>
        <v xml:space="preserve">1974|27213| 19:30 |Group B|Rheinstadion|Dï¿½Sseldorf |Germany|Sweden|2|1|Yugoslavia| </v>
      </c>
    </row>
    <row r="270" spans="1:13" hidden="1" x14ac:dyDescent="0.2">
      <c r="A270" s="1">
        <v>1974</v>
      </c>
      <c r="B270" s="2" t="d">
        <v>1974-07-06</v>
      </c>
      <c r="C270" s="1" t="s">
        <v>32</v>
      </c>
      <c r="D270" s="12" t="s">
        <v>76</v>
      </c>
      <c r="E270" s="1" t="s">
        <v>222</v>
      </c>
      <c r="F270" s="1" t="s">
        <v>235</v>
      </c>
      <c r="G270" s="1" t="s">
        <v>65</v>
      </c>
      <c r="H270" s="1" t="s">
        <v>27</v>
      </c>
      <c r="I270" s="1">
        <v>0</v>
      </c>
      <c r="J270" s="1">
        <v>1</v>
      </c>
      <c r="K270" s="1" t="s">
        <v>96</v>
      </c>
      <c r="L270" s="1" t="s">
        <v>19</v>
      </c>
      <c r="M270" s="1" t="str">
        <f t="shared" si="4"/>
        <v xml:space="preserve">1974|27216| 16:00 |Match for third place|Olympiastadion|Munich |Germany|Brazil|0|1|Poland| </v>
      </c>
    </row>
    <row r="271" spans="1:13" hidden="1" x14ac:dyDescent="0.2">
      <c r="A271" s="1">
        <v>1974</v>
      </c>
      <c r="B271" s="2" t="d">
        <v>1974-07-07</v>
      </c>
      <c r="C271" s="1" t="s">
        <v>32</v>
      </c>
      <c r="D271" s="12" t="s">
        <v>44</v>
      </c>
      <c r="E271" s="1" t="s">
        <v>222</v>
      </c>
      <c r="F271" s="1" t="s">
        <v>235</v>
      </c>
      <c r="G271" s="1" t="s">
        <v>65</v>
      </c>
      <c r="H271" s="1" t="s">
        <v>59</v>
      </c>
      <c r="I271" s="1">
        <v>1</v>
      </c>
      <c r="J271" s="1">
        <v>2</v>
      </c>
      <c r="K271" s="1" t="s">
        <v>133</v>
      </c>
      <c r="L271" s="1" t="s">
        <v>19</v>
      </c>
      <c r="M271" s="1" t="str">
        <f t="shared" si="4"/>
        <v xml:space="preserve">1974|27217| 16:00 |Final|Olympiastadion|Munich |Germany|Netherlands|1|2|Germany FR| </v>
      </c>
    </row>
    <row r="272" spans="1:13" x14ac:dyDescent="0.2">
      <c r="A272" s="1">
        <v>1978</v>
      </c>
      <c r="B272" s="2" t="d">
        <v>1978-06-01</v>
      </c>
      <c r="C272" s="1" t="s">
        <v>12</v>
      </c>
      <c r="D272" s="1" t="s">
        <v>25</v>
      </c>
      <c r="E272" s="1" t="s">
        <v>243</v>
      </c>
      <c r="F272" s="1" t="s">
        <v>244</v>
      </c>
      <c r="G272" s="1" t="s">
        <v>33</v>
      </c>
      <c r="H272" s="1" t="s">
        <v>133</v>
      </c>
      <c r="I272" s="1">
        <v>0</v>
      </c>
      <c r="J272" s="1">
        <v>0</v>
      </c>
      <c r="K272" s="1" t="s">
        <v>96</v>
      </c>
      <c r="L272" s="1" t="s">
        <v>19</v>
      </c>
      <c r="M272" s="1" t="str">
        <f t="shared" si="4"/>
        <v xml:space="preserve">1978|28642| 15:00 |Group 2|El Monumental - Estadio Monumental Antonio Vespuci|Buenos Aires |Argentina|Germany FR|0|0|Poland| </v>
      </c>
    </row>
    <row r="273" spans="1:13" hidden="1" x14ac:dyDescent="0.2">
      <c r="A273" s="1">
        <v>1978</v>
      </c>
      <c r="B273" s="2" t="d">
        <v>1978-06-02</v>
      </c>
      <c r="C273" s="1" t="s">
        <v>245</v>
      </c>
      <c r="D273" s="1" t="s">
        <v>13</v>
      </c>
      <c r="E273" s="1" t="s">
        <v>246</v>
      </c>
      <c r="F273" s="1" t="s">
        <v>247</v>
      </c>
      <c r="G273" s="1" t="s">
        <v>33</v>
      </c>
      <c r="H273" s="1" t="s">
        <v>49</v>
      </c>
      <c r="I273" s="1">
        <v>2</v>
      </c>
      <c r="J273" s="1">
        <v>1</v>
      </c>
      <c r="K273" s="1" t="s">
        <v>17</v>
      </c>
      <c r="L273" s="1" t="s">
        <v>19</v>
      </c>
      <c r="M273" s="1" t="str">
        <f t="shared" si="4"/>
        <v xml:space="preserve">1978|28643| 13:45 |Group 1|Estadio Josï¿½ Marï¿½a Minella|Mar Del Plata |Argentina|Italy|2|1|France| </v>
      </c>
    </row>
    <row r="274" spans="1:13" hidden="1" x14ac:dyDescent="0.2">
      <c r="A274" s="1">
        <v>1978</v>
      </c>
      <c r="B274" s="2" t="d">
        <v>1978-06-02</v>
      </c>
      <c r="C274" s="1" t="s">
        <v>248</v>
      </c>
      <c r="D274" s="1" t="s">
        <v>25</v>
      </c>
      <c r="E274" s="1" t="s">
        <v>249</v>
      </c>
      <c r="F274" s="1" t="s">
        <v>250</v>
      </c>
      <c r="G274" s="1" t="s">
        <v>33</v>
      </c>
      <c r="H274" s="1" t="s">
        <v>251</v>
      </c>
      <c r="I274" s="1">
        <v>3</v>
      </c>
      <c r="J274" s="1">
        <v>1</v>
      </c>
      <c r="K274" s="1" t="s">
        <v>18</v>
      </c>
      <c r="L274" s="1" t="s">
        <v>19</v>
      </c>
      <c r="M274" s="1" t="str">
        <f t="shared" si="4"/>
        <v xml:space="preserve">1978|28643| 16:45 |Group 2|Arroyito - Estadio Dr. Lisandro de la Torre|Rosario |Argentina|Tunisia|3|1|Mexico| </v>
      </c>
    </row>
    <row r="275" spans="1:13" hidden="1" x14ac:dyDescent="0.2">
      <c r="A275" s="1">
        <v>1978</v>
      </c>
      <c r="B275" s="2" t="d">
        <v>1978-06-02</v>
      </c>
      <c r="C275" s="1" t="s">
        <v>252</v>
      </c>
      <c r="D275" s="1" t="s">
        <v>13</v>
      </c>
      <c r="E275" s="1" t="s">
        <v>243</v>
      </c>
      <c r="F275" s="1" t="s">
        <v>244</v>
      </c>
      <c r="G275" s="1" t="s">
        <v>33</v>
      </c>
      <c r="H275" s="1" t="s">
        <v>33</v>
      </c>
      <c r="I275" s="1">
        <v>2</v>
      </c>
      <c r="J275" s="1">
        <v>1</v>
      </c>
      <c r="K275" s="1" t="s">
        <v>54</v>
      </c>
      <c r="L275" s="1" t="s">
        <v>19</v>
      </c>
      <c r="M275" s="1" t="str">
        <f t="shared" si="4"/>
        <v xml:space="preserve">1978|28643| 19:15 |Group 1|El Monumental - Estadio Monumental Antonio Vespuci|Buenos Aires |Argentina|Argentina|2|1|Hungary| </v>
      </c>
    </row>
    <row r="276" spans="1:13" hidden="1" x14ac:dyDescent="0.2">
      <c r="A276" s="1">
        <v>1978</v>
      </c>
      <c r="B276" s="2" t="d">
        <v>1978-06-03</v>
      </c>
      <c r="C276" s="1" t="s">
        <v>245</v>
      </c>
      <c r="D276" s="1" t="s">
        <v>29</v>
      </c>
      <c r="E276" s="1" t="s">
        <v>246</v>
      </c>
      <c r="F276" s="1" t="s">
        <v>247</v>
      </c>
      <c r="G276" s="1" t="s">
        <v>33</v>
      </c>
      <c r="H276" s="1" t="s">
        <v>62</v>
      </c>
      <c r="I276" s="1">
        <v>1</v>
      </c>
      <c r="J276" s="1">
        <v>1</v>
      </c>
      <c r="K276" s="1" t="s">
        <v>27</v>
      </c>
      <c r="L276" s="1" t="s">
        <v>19</v>
      </c>
      <c r="M276" s="1" t="str">
        <f t="shared" si="4"/>
        <v xml:space="preserve">1978|28644| 13:45 |Group 3|Estadio Josï¿½ Marï¿½a Minella|Mar Del Plata |Argentina|Sweden|1|1|Brazil| </v>
      </c>
    </row>
    <row r="277" spans="1:13" hidden="1" x14ac:dyDescent="0.2">
      <c r="A277" s="1">
        <v>1978</v>
      </c>
      <c r="B277" s="2" t="d">
        <v>1978-06-03</v>
      </c>
      <c r="C277" s="1" t="s">
        <v>245</v>
      </c>
      <c r="D277" s="1" t="s">
        <v>29</v>
      </c>
      <c r="E277" s="1" t="s">
        <v>253</v>
      </c>
      <c r="F277" s="1" t="s">
        <v>244</v>
      </c>
      <c r="G277" s="1" t="s">
        <v>33</v>
      </c>
      <c r="H277" s="1" t="s">
        <v>50</v>
      </c>
      <c r="I277" s="1">
        <v>2</v>
      </c>
      <c r="J277" s="1">
        <v>1</v>
      </c>
      <c r="K277" s="1" t="s">
        <v>68</v>
      </c>
      <c r="L277" s="1" t="s">
        <v>19</v>
      </c>
      <c r="M277" s="1" t="str">
        <f t="shared" si="4"/>
        <v xml:space="preserve">1978|28644| 13:45 |Group 3|Jose Amalfitani|Buenos Aires |Argentina|Austria|2|1|Spain| </v>
      </c>
    </row>
    <row r="278" spans="1:13" hidden="1" x14ac:dyDescent="0.2">
      <c r="A278" s="1">
        <v>1978</v>
      </c>
      <c r="B278" s="2" t="d">
        <v>1978-06-03</v>
      </c>
      <c r="C278" s="1" t="s">
        <v>248</v>
      </c>
      <c r="D278" s="1" t="s">
        <v>20</v>
      </c>
      <c r="E278" s="1" t="s">
        <v>254</v>
      </c>
      <c r="F278" s="1" t="s">
        <v>255</v>
      </c>
      <c r="G278" s="1" t="s">
        <v>33</v>
      </c>
      <c r="H278" s="1" t="s">
        <v>31</v>
      </c>
      <c r="I278" s="1">
        <v>3</v>
      </c>
      <c r="J278" s="1">
        <v>1</v>
      </c>
      <c r="K278" s="1" t="s">
        <v>128</v>
      </c>
      <c r="L278" s="1" t="s">
        <v>19</v>
      </c>
      <c r="M278" s="1" t="str">
        <f t="shared" si="4"/>
        <v xml:space="preserve">1978|28644| 16:45 |Group 4|Estadio Olï¿½mpico Chateau Carreras|Cordoba |Argentina|Peru|3|1|Scotland| </v>
      </c>
    </row>
    <row r="279" spans="1:13" hidden="1" x14ac:dyDescent="0.2">
      <c r="A279" s="1">
        <v>1978</v>
      </c>
      <c r="B279" s="2" t="d">
        <v>1978-06-03</v>
      </c>
      <c r="C279" s="1" t="s">
        <v>248</v>
      </c>
      <c r="D279" s="1" t="s">
        <v>20</v>
      </c>
      <c r="E279" s="1" t="s">
        <v>256</v>
      </c>
      <c r="F279" s="1" t="s">
        <v>257</v>
      </c>
      <c r="G279" s="1" t="s">
        <v>33</v>
      </c>
      <c r="H279" s="1" t="s">
        <v>59</v>
      </c>
      <c r="I279" s="1">
        <v>3</v>
      </c>
      <c r="J279" s="1">
        <v>0</v>
      </c>
      <c r="K279" s="1" t="s">
        <v>258</v>
      </c>
      <c r="L279" s="1" t="s">
        <v>19</v>
      </c>
      <c r="M279" s="1" t="str">
        <f t="shared" si="4"/>
        <v xml:space="preserve">1978|28644| 16:45 |Group 4|San Martin|Mendoza |Argentina|Netherlands|3|0|IR Iran| </v>
      </c>
    </row>
    <row r="280" spans="1:13" hidden="1" x14ac:dyDescent="0.2">
      <c r="A280" s="1">
        <v>1978</v>
      </c>
      <c r="B280" s="2" t="d">
        <v>1978-06-06</v>
      </c>
      <c r="C280" s="1" t="s">
        <v>245</v>
      </c>
      <c r="D280" s="1" t="s">
        <v>13</v>
      </c>
      <c r="E280" s="1" t="s">
        <v>246</v>
      </c>
      <c r="F280" s="1" t="s">
        <v>247</v>
      </c>
      <c r="G280" s="1" t="s">
        <v>33</v>
      </c>
      <c r="H280" s="1" t="s">
        <v>49</v>
      </c>
      <c r="I280" s="1">
        <v>3</v>
      </c>
      <c r="J280" s="1">
        <v>1</v>
      </c>
      <c r="K280" s="1" t="s">
        <v>54</v>
      </c>
      <c r="L280" s="1" t="s">
        <v>19</v>
      </c>
      <c r="M280" s="1" t="str">
        <f t="shared" si="4"/>
        <v xml:space="preserve">1978|28647| 13:45 |Group 1|Estadio Josï¿½ Marï¿½a Minella|Mar Del Plata |Argentina|Italy|3|1|Hungary| </v>
      </c>
    </row>
    <row r="281" spans="1:13" hidden="1" x14ac:dyDescent="0.2">
      <c r="A281" s="1">
        <v>1978</v>
      </c>
      <c r="B281" s="2" t="d">
        <v>1978-06-06</v>
      </c>
      <c r="C281" s="1" t="s">
        <v>248</v>
      </c>
      <c r="D281" s="1" t="s">
        <v>25</v>
      </c>
      <c r="E281" s="1" t="s">
        <v>249</v>
      </c>
      <c r="F281" s="1" t="s">
        <v>250</v>
      </c>
      <c r="G281" s="1" t="s">
        <v>33</v>
      </c>
      <c r="H281" s="1" t="s">
        <v>96</v>
      </c>
      <c r="I281" s="1">
        <v>1</v>
      </c>
      <c r="J281" s="1">
        <v>0</v>
      </c>
      <c r="K281" s="1" t="s">
        <v>251</v>
      </c>
      <c r="L281" s="1" t="s">
        <v>19</v>
      </c>
      <c r="M281" s="1" t="str">
        <f t="shared" si="4"/>
        <v xml:space="preserve">1978|28647| 16:45 |Group 2|Arroyito - Estadio Dr. Lisandro de la Torre|Rosario |Argentina|Poland|1|0|Tunisia| </v>
      </c>
    </row>
    <row r="282" spans="1:13" x14ac:dyDescent="0.2">
      <c r="A282" s="1">
        <v>1978</v>
      </c>
      <c r="B282" s="2" t="d">
        <v>1978-06-06</v>
      </c>
      <c r="C282" s="1" t="s">
        <v>248</v>
      </c>
      <c r="D282" s="1" t="s">
        <v>25</v>
      </c>
      <c r="E282" s="1" t="s">
        <v>254</v>
      </c>
      <c r="F282" s="1" t="s">
        <v>255</v>
      </c>
      <c r="G282" s="1" t="s">
        <v>33</v>
      </c>
      <c r="H282" s="1" t="s">
        <v>133</v>
      </c>
      <c r="I282" s="1">
        <v>6</v>
      </c>
      <c r="J282" s="1">
        <v>0</v>
      </c>
      <c r="K282" s="1" t="s">
        <v>18</v>
      </c>
      <c r="L282" s="1" t="s">
        <v>19</v>
      </c>
      <c r="M282" s="1" t="str">
        <f t="shared" si="4"/>
        <v xml:space="preserve">1978|28647| 16:45 |Group 2|Estadio Olï¿½mpico Chateau Carreras|Cordoba |Argentina|Germany FR|6|0|Mexico| </v>
      </c>
    </row>
    <row r="283" spans="1:13" hidden="1" x14ac:dyDescent="0.2">
      <c r="A283" s="1">
        <v>1978</v>
      </c>
      <c r="B283" s="2" t="d">
        <v>1978-06-06</v>
      </c>
      <c r="C283" s="1" t="s">
        <v>252</v>
      </c>
      <c r="D283" s="1" t="s">
        <v>13</v>
      </c>
      <c r="E283" s="1" t="s">
        <v>243</v>
      </c>
      <c r="F283" s="1" t="s">
        <v>244</v>
      </c>
      <c r="G283" s="1" t="s">
        <v>33</v>
      </c>
      <c r="H283" s="1" t="s">
        <v>33</v>
      </c>
      <c r="I283" s="1">
        <v>2</v>
      </c>
      <c r="J283" s="1">
        <v>1</v>
      </c>
      <c r="K283" s="1" t="s">
        <v>17</v>
      </c>
      <c r="L283" s="1" t="s">
        <v>19</v>
      </c>
      <c r="M283" s="1" t="str">
        <f t="shared" si="4"/>
        <v xml:space="preserve">1978|28647| 19:15 |Group 1|El Monumental - Estadio Monumental Antonio Vespuci|Buenos Aires |Argentina|Argentina|2|1|France| </v>
      </c>
    </row>
    <row r="284" spans="1:13" hidden="1" x14ac:dyDescent="0.2">
      <c r="A284" s="1">
        <v>1978</v>
      </c>
      <c r="B284" s="2" t="d">
        <v>1978-06-07</v>
      </c>
      <c r="C284" s="1" t="s">
        <v>245</v>
      </c>
      <c r="D284" s="1" t="s">
        <v>29</v>
      </c>
      <c r="E284" s="1" t="s">
        <v>246</v>
      </c>
      <c r="F284" s="1" t="s">
        <v>247</v>
      </c>
      <c r="G284" s="1" t="s">
        <v>33</v>
      </c>
      <c r="H284" s="1" t="s">
        <v>27</v>
      </c>
      <c r="I284" s="1">
        <v>0</v>
      </c>
      <c r="J284" s="1">
        <v>0</v>
      </c>
      <c r="K284" s="1" t="s">
        <v>68</v>
      </c>
      <c r="L284" s="1" t="s">
        <v>19</v>
      </c>
      <c r="M284" s="1" t="str">
        <f t="shared" si="4"/>
        <v xml:space="preserve">1978|28648| 13:45 |Group 3|Estadio Josï¿½ Marï¿½a Minella|Mar Del Plata |Argentina|Brazil|0|0|Spain| </v>
      </c>
    </row>
    <row r="285" spans="1:13" hidden="1" x14ac:dyDescent="0.2">
      <c r="A285" s="1">
        <v>1978</v>
      </c>
      <c r="B285" s="2" t="d">
        <v>1978-06-07</v>
      </c>
      <c r="C285" s="1" t="s">
        <v>245</v>
      </c>
      <c r="D285" s="1" t="s">
        <v>29</v>
      </c>
      <c r="E285" s="1" t="s">
        <v>253</v>
      </c>
      <c r="F285" s="1" t="s">
        <v>244</v>
      </c>
      <c r="G285" s="1" t="s">
        <v>33</v>
      </c>
      <c r="H285" s="1" t="s">
        <v>50</v>
      </c>
      <c r="I285" s="1">
        <v>1</v>
      </c>
      <c r="J285" s="1">
        <v>0</v>
      </c>
      <c r="K285" s="1" t="s">
        <v>62</v>
      </c>
      <c r="L285" s="1" t="s">
        <v>19</v>
      </c>
      <c r="M285" s="1" t="str">
        <f t="shared" si="4"/>
        <v xml:space="preserve">1978|28648| 13:45 |Group 3|Jose Amalfitani|Buenos Aires |Argentina|Austria|1|0|Sweden| </v>
      </c>
    </row>
    <row r="286" spans="1:13" hidden="1" x14ac:dyDescent="0.2">
      <c r="A286" s="1">
        <v>1978</v>
      </c>
      <c r="B286" s="2" t="d">
        <v>1978-06-07</v>
      </c>
      <c r="C286" s="1" t="s">
        <v>248</v>
      </c>
      <c r="D286" s="1" t="s">
        <v>20</v>
      </c>
      <c r="E286" s="1" t="s">
        <v>254</v>
      </c>
      <c r="F286" s="1" t="s">
        <v>255</v>
      </c>
      <c r="G286" s="1" t="s">
        <v>33</v>
      </c>
      <c r="H286" s="1" t="s">
        <v>128</v>
      </c>
      <c r="I286" s="1">
        <v>1</v>
      </c>
      <c r="J286" s="1">
        <v>1</v>
      </c>
      <c r="K286" s="1" t="s">
        <v>258</v>
      </c>
      <c r="L286" s="1" t="s">
        <v>19</v>
      </c>
      <c r="M286" s="1" t="str">
        <f t="shared" si="4"/>
        <v xml:space="preserve">1978|28648| 16:45 |Group 4|Estadio Olï¿½mpico Chateau Carreras|Cordoba |Argentina|Scotland|1|1|IR Iran| </v>
      </c>
    </row>
    <row r="287" spans="1:13" hidden="1" x14ac:dyDescent="0.2">
      <c r="A287" s="1">
        <v>1978</v>
      </c>
      <c r="B287" s="2" t="d">
        <v>1978-06-07</v>
      </c>
      <c r="C287" s="1" t="s">
        <v>248</v>
      </c>
      <c r="D287" s="1" t="s">
        <v>20</v>
      </c>
      <c r="E287" s="1" t="s">
        <v>256</v>
      </c>
      <c r="F287" s="1" t="s">
        <v>257</v>
      </c>
      <c r="G287" s="1" t="s">
        <v>33</v>
      </c>
      <c r="H287" s="1" t="s">
        <v>59</v>
      </c>
      <c r="I287" s="1">
        <v>0</v>
      </c>
      <c r="J287" s="1">
        <v>0</v>
      </c>
      <c r="K287" s="1" t="s">
        <v>31</v>
      </c>
      <c r="L287" s="1" t="s">
        <v>19</v>
      </c>
      <c r="M287" s="1" t="str">
        <f t="shared" si="4"/>
        <v xml:space="preserve">1978|28648| 16:45 |Group 4|San Martin|Mendoza |Argentina|Netherlands|0|0|Peru| </v>
      </c>
    </row>
    <row r="288" spans="1:13" hidden="1" x14ac:dyDescent="0.2">
      <c r="A288" s="1">
        <v>1978</v>
      </c>
      <c r="B288" s="2" t="d">
        <v>1978-06-10</v>
      </c>
      <c r="C288" s="1" t="s">
        <v>259</v>
      </c>
      <c r="D288" s="1" t="s">
        <v>13</v>
      </c>
      <c r="E288" s="1" t="s">
        <v>246</v>
      </c>
      <c r="F288" s="1" t="s">
        <v>247</v>
      </c>
      <c r="G288" s="1" t="s">
        <v>33</v>
      </c>
      <c r="H288" s="1" t="s">
        <v>17</v>
      </c>
      <c r="I288" s="1">
        <v>3</v>
      </c>
      <c r="J288" s="1">
        <v>1</v>
      </c>
      <c r="K288" s="1" t="s">
        <v>54</v>
      </c>
      <c r="L288" s="1" t="s">
        <v>19</v>
      </c>
      <c r="M288" s="1" t="str">
        <f t="shared" si="4"/>
        <v xml:space="preserve">1978|28651| 15:10 |Group 1|Estadio Josï¿½ Marï¿½a Minella|Mar Del Plata |Argentina|France|3|1|Hungary| </v>
      </c>
    </row>
    <row r="289" spans="1:13" hidden="1" x14ac:dyDescent="0.2">
      <c r="A289" s="1">
        <v>1978</v>
      </c>
      <c r="B289" s="2" t="d">
        <v>1978-06-10</v>
      </c>
      <c r="C289" s="1" t="s">
        <v>248</v>
      </c>
      <c r="D289" s="1" t="s">
        <v>25</v>
      </c>
      <c r="E289" s="1" t="s">
        <v>249</v>
      </c>
      <c r="F289" s="1" t="s">
        <v>250</v>
      </c>
      <c r="G289" s="1" t="s">
        <v>33</v>
      </c>
      <c r="H289" s="1" t="s">
        <v>96</v>
      </c>
      <c r="I289" s="1">
        <v>3</v>
      </c>
      <c r="J289" s="1">
        <v>1</v>
      </c>
      <c r="K289" s="1" t="s">
        <v>18</v>
      </c>
      <c r="L289" s="1" t="s">
        <v>19</v>
      </c>
      <c r="M289" s="1" t="str">
        <f t="shared" si="4"/>
        <v xml:space="preserve">1978|28651| 16:45 |Group 2|Arroyito - Estadio Dr. Lisandro de la Torre|Rosario |Argentina|Poland|3|1|Mexico| </v>
      </c>
    </row>
    <row r="290" spans="1:13" x14ac:dyDescent="0.2">
      <c r="A290" s="1">
        <v>1978</v>
      </c>
      <c r="B290" s="2" t="d">
        <v>1978-06-10</v>
      </c>
      <c r="C290" s="1" t="s">
        <v>248</v>
      </c>
      <c r="D290" s="1" t="s">
        <v>25</v>
      </c>
      <c r="E290" s="1" t="s">
        <v>254</v>
      </c>
      <c r="F290" s="1" t="s">
        <v>255</v>
      </c>
      <c r="G290" s="1" t="s">
        <v>33</v>
      </c>
      <c r="H290" s="1" t="s">
        <v>133</v>
      </c>
      <c r="I290" s="1">
        <v>0</v>
      </c>
      <c r="J290" s="1">
        <v>0</v>
      </c>
      <c r="K290" s="1" t="s">
        <v>251</v>
      </c>
      <c r="L290" s="1" t="s">
        <v>19</v>
      </c>
      <c r="M290" s="1" t="str">
        <f t="shared" si="4"/>
        <v xml:space="preserve">1978|28651| 16:45 |Group 2|Estadio Olï¿½mpico Chateau Carreras|Cordoba |Argentina|Germany FR|0|0|Tunisia| </v>
      </c>
    </row>
    <row r="291" spans="1:13" hidden="1" x14ac:dyDescent="0.2">
      <c r="A291" s="1">
        <v>1978</v>
      </c>
      <c r="B291" s="2" t="d">
        <v>1978-06-10</v>
      </c>
      <c r="C291" s="1" t="s">
        <v>252</v>
      </c>
      <c r="D291" s="1" t="s">
        <v>13</v>
      </c>
      <c r="E291" s="1" t="s">
        <v>243</v>
      </c>
      <c r="F291" s="1" t="s">
        <v>244</v>
      </c>
      <c r="G291" s="1" t="s">
        <v>33</v>
      </c>
      <c r="H291" s="1" t="s">
        <v>49</v>
      </c>
      <c r="I291" s="1">
        <v>1</v>
      </c>
      <c r="J291" s="1">
        <v>0</v>
      </c>
      <c r="K291" s="1" t="s">
        <v>33</v>
      </c>
      <c r="L291" s="1" t="s">
        <v>19</v>
      </c>
      <c r="M291" s="1" t="str">
        <f t="shared" si="4"/>
        <v xml:space="preserve">1978|28651| 19:15 |Group 1|El Monumental - Estadio Monumental Antonio Vespuci|Buenos Aires |Argentina|Italy|1|0|Argentina| </v>
      </c>
    </row>
    <row r="292" spans="1:13" hidden="1" x14ac:dyDescent="0.2">
      <c r="A292" s="1">
        <v>1978</v>
      </c>
      <c r="B292" s="2" t="d">
        <v>1978-06-11</v>
      </c>
      <c r="C292" s="1" t="s">
        <v>245</v>
      </c>
      <c r="D292" s="1" t="s">
        <v>29</v>
      </c>
      <c r="E292" s="1" t="s">
        <v>246</v>
      </c>
      <c r="F292" s="1" t="s">
        <v>247</v>
      </c>
      <c r="G292" s="1" t="s">
        <v>33</v>
      </c>
      <c r="H292" s="1" t="s">
        <v>27</v>
      </c>
      <c r="I292" s="1">
        <v>1</v>
      </c>
      <c r="J292" s="1">
        <v>0</v>
      </c>
      <c r="K292" s="1" t="s">
        <v>50</v>
      </c>
      <c r="L292" s="1" t="s">
        <v>19</v>
      </c>
      <c r="M292" s="1" t="str">
        <f t="shared" si="4"/>
        <v xml:space="preserve">1978|28652| 13:45 |Group 3|Estadio Josï¿½ Marï¿½a Minella|Mar Del Plata |Argentina|Brazil|1|0|Austria| </v>
      </c>
    </row>
    <row r="293" spans="1:13" hidden="1" x14ac:dyDescent="0.2">
      <c r="A293" s="1">
        <v>1978</v>
      </c>
      <c r="B293" s="2" t="d">
        <v>1978-06-11</v>
      </c>
      <c r="C293" s="1" t="s">
        <v>245</v>
      </c>
      <c r="D293" s="1" t="s">
        <v>29</v>
      </c>
      <c r="E293" s="1" t="s">
        <v>253</v>
      </c>
      <c r="F293" s="1" t="s">
        <v>244</v>
      </c>
      <c r="G293" s="1" t="s">
        <v>33</v>
      </c>
      <c r="H293" s="1" t="s">
        <v>68</v>
      </c>
      <c r="I293" s="1">
        <v>1</v>
      </c>
      <c r="J293" s="1">
        <v>0</v>
      </c>
      <c r="K293" s="1" t="s">
        <v>62</v>
      </c>
      <c r="L293" s="1" t="s">
        <v>19</v>
      </c>
      <c r="M293" s="1" t="str">
        <f t="shared" si="4"/>
        <v xml:space="preserve">1978|28652| 13:45 |Group 3|Jose Amalfitani|Buenos Aires |Argentina|Spain|1|0|Sweden| </v>
      </c>
    </row>
    <row r="294" spans="1:13" hidden="1" x14ac:dyDescent="0.2">
      <c r="A294" s="1">
        <v>1978</v>
      </c>
      <c r="B294" s="2" t="d">
        <v>1978-06-11</v>
      </c>
      <c r="C294" s="1" t="s">
        <v>248</v>
      </c>
      <c r="D294" s="12" t="s">
        <v>20</v>
      </c>
      <c r="E294" s="1" t="s">
        <v>254</v>
      </c>
      <c r="F294" s="1" t="s">
        <v>255</v>
      </c>
      <c r="G294" s="1" t="s">
        <v>33</v>
      </c>
      <c r="H294" s="1" t="s">
        <v>31</v>
      </c>
      <c r="I294" s="1">
        <v>4</v>
      </c>
      <c r="J294" s="1">
        <v>1</v>
      </c>
      <c r="K294" s="1" t="s">
        <v>260</v>
      </c>
      <c r="L294" s="1" t="s">
        <v>19</v>
      </c>
      <c r="M294" s="1" t="str">
        <f t="shared" si="4"/>
        <v xml:space="preserve">1978|28652| 16:45 |Group 4|Estadio Olï¿½mpico Chateau Carreras|Cordoba |Argentina|Peru|4|1|Iran| </v>
      </c>
    </row>
    <row r="295" spans="1:13" hidden="1" x14ac:dyDescent="0.2">
      <c r="A295" s="1">
        <v>1978</v>
      </c>
      <c r="B295" s="2" t="d">
        <v>1978-06-11</v>
      </c>
      <c r="C295" s="1" t="s">
        <v>248</v>
      </c>
      <c r="D295" s="12" t="s">
        <v>20</v>
      </c>
      <c r="E295" s="1" t="s">
        <v>256</v>
      </c>
      <c r="F295" s="1" t="s">
        <v>257</v>
      </c>
      <c r="G295" s="1" t="s">
        <v>33</v>
      </c>
      <c r="H295" s="1" t="s">
        <v>128</v>
      </c>
      <c r="I295" s="1">
        <v>3</v>
      </c>
      <c r="J295" s="1">
        <v>2</v>
      </c>
      <c r="K295" s="1" t="s">
        <v>59</v>
      </c>
      <c r="L295" s="1" t="s">
        <v>19</v>
      </c>
      <c r="M295" s="1" t="str">
        <f t="shared" si="4"/>
        <v xml:space="preserve">1978|28652| 16:45 |Group 4|San Martin|Mendoza |Argentina|Scotland|3|2|Netherlands| </v>
      </c>
    </row>
    <row r="296" spans="1:13" x14ac:dyDescent="0.2">
      <c r="A296" s="1">
        <v>1978</v>
      </c>
      <c r="B296" s="2" t="d">
        <v>1978-06-14</v>
      </c>
      <c r="C296" s="1" t="s">
        <v>245</v>
      </c>
      <c r="D296" s="12" t="s">
        <v>242</v>
      </c>
      <c r="E296" s="1" t="s">
        <v>243</v>
      </c>
      <c r="F296" s="1" t="s">
        <v>244</v>
      </c>
      <c r="G296" s="1" t="s">
        <v>33</v>
      </c>
      <c r="H296" s="1" t="s">
        <v>133</v>
      </c>
      <c r="I296" s="1">
        <v>0</v>
      </c>
      <c r="J296" s="1">
        <v>0</v>
      </c>
      <c r="K296" s="1" t="s">
        <v>49</v>
      </c>
      <c r="L296" s="1" t="s">
        <v>19</v>
      </c>
      <c r="M296" s="1" t="str">
        <f t="shared" si="4"/>
        <v xml:space="preserve">1978|28655| 13:45 |Group A|El Monumental - Estadio Monumental Antonio Vespuci|Buenos Aires |Argentina|Germany FR|0|0|Italy| </v>
      </c>
    </row>
    <row r="297" spans="1:13" hidden="1" x14ac:dyDescent="0.2">
      <c r="A297" s="1">
        <v>1978</v>
      </c>
      <c r="B297" s="2" t="d">
        <v>1978-06-14</v>
      </c>
      <c r="C297" s="1" t="s">
        <v>245</v>
      </c>
      <c r="D297" s="12" t="s">
        <v>242</v>
      </c>
      <c r="E297" s="1" t="s">
        <v>254</v>
      </c>
      <c r="F297" s="1" t="s">
        <v>255</v>
      </c>
      <c r="G297" s="1" t="s">
        <v>33</v>
      </c>
      <c r="H297" s="1" t="s">
        <v>59</v>
      </c>
      <c r="I297" s="1">
        <v>5</v>
      </c>
      <c r="J297" s="1">
        <v>1</v>
      </c>
      <c r="K297" s="1" t="s">
        <v>50</v>
      </c>
      <c r="L297" s="1" t="s">
        <v>19</v>
      </c>
      <c r="M297" s="1" t="str">
        <f t="shared" si="4"/>
        <v xml:space="preserve">1978|28655| 13:45 |Group A|Estadio Olï¿½mpico Chateau Carreras|Cordoba |Argentina|Netherlands|5|1|Austria| </v>
      </c>
    </row>
    <row r="298" spans="1:13" hidden="1" x14ac:dyDescent="0.2">
      <c r="A298" s="1">
        <v>1978</v>
      </c>
      <c r="B298" s="2" t="d">
        <v>1978-06-14</v>
      </c>
      <c r="C298" s="1" t="s">
        <v>248</v>
      </c>
      <c r="D298" s="12" t="s">
        <v>241</v>
      </c>
      <c r="E298" s="1" t="s">
        <v>256</v>
      </c>
      <c r="F298" s="1" t="s">
        <v>257</v>
      </c>
      <c r="G298" s="1" t="s">
        <v>33</v>
      </c>
      <c r="H298" s="1" t="s">
        <v>27</v>
      </c>
      <c r="I298" s="1">
        <v>3</v>
      </c>
      <c r="J298" s="1">
        <v>0</v>
      </c>
      <c r="K298" s="1" t="s">
        <v>31</v>
      </c>
      <c r="L298" s="1" t="s">
        <v>19</v>
      </c>
      <c r="M298" s="1" t="str">
        <f t="shared" si="4"/>
        <v xml:space="preserve">1978|28655| 16:45 |Group B|San Martin|Mendoza |Argentina|Brazil|3|0|Peru| </v>
      </c>
    </row>
    <row r="299" spans="1:13" hidden="1" x14ac:dyDescent="0.2">
      <c r="A299" s="1">
        <v>1978</v>
      </c>
      <c r="B299" s="2" t="d">
        <v>1978-06-14</v>
      </c>
      <c r="C299" s="1" t="s">
        <v>252</v>
      </c>
      <c r="D299" s="12" t="s">
        <v>241</v>
      </c>
      <c r="E299" s="1" t="s">
        <v>249</v>
      </c>
      <c r="F299" s="1" t="s">
        <v>250</v>
      </c>
      <c r="G299" s="1" t="s">
        <v>33</v>
      </c>
      <c r="H299" s="1" t="s">
        <v>33</v>
      </c>
      <c r="I299" s="1">
        <v>2</v>
      </c>
      <c r="J299" s="1">
        <v>0</v>
      </c>
      <c r="K299" s="1" t="s">
        <v>96</v>
      </c>
      <c r="L299" s="1" t="s">
        <v>19</v>
      </c>
      <c r="M299" s="1" t="str">
        <f t="shared" si="4"/>
        <v xml:space="preserve">1978|28655| 19:15 |Group B|Arroyito - Estadio Dr. Lisandro de la Torre|Rosario |Argentina|Argentina|2|0|Poland| </v>
      </c>
    </row>
    <row r="300" spans="1:13" hidden="1" x14ac:dyDescent="0.2">
      <c r="A300" s="1">
        <v>1978</v>
      </c>
      <c r="B300" s="2" t="d">
        <v>1978-06-18</v>
      </c>
      <c r="C300" s="1" t="s">
        <v>245</v>
      </c>
      <c r="D300" s="12" t="s">
        <v>241</v>
      </c>
      <c r="E300" s="1" t="s">
        <v>256</v>
      </c>
      <c r="F300" s="1" t="s">
        <v>257</v>
      </c>
      <c r="G300" s="1" t="s">
        <v>33</v>
      </c>
      <c r="H300" s="1" t="s">
        <v>96</v>
      </c>
      <c r="I300" s="1">
        <v>1</v>
      </c>
      <c r="J300" s="1">
        <v>0</v>
      </c>
      <c r="K300" s="1" t="s">
        <v>31</v>
      </c>
      <c r="L300" s="1" t="s">
        <v>19</v>
      </c>
      <c r="M300" s="1" t="str">
        <f t="shared" si="4"/>
        <v xml:space="preserve">1978|28659| 13:45 |Group B|San Martin|Mendoza |Argentina|Poland|1|0|Peru| </v>
      </c>
    </row>
    <row r="301" spans="1:13" hidden="1" x14ac:dyDescent="0.2">
      <c r="A301" s="1">
        <v>1978</v>
      </c>
      <c r="B301" s="2" t="d">
        <v>1978-06-18</v>
      </c>
      <c r="C301" s="1" t="s">
        <v>248</v>
      </c>
      <c r="D301" s="12" t="s">
        <v>242</v>
      </c>
      <c r="E301" s="1" t="s">
        <v>243</v>
      </c>
      <c r="F301" s="1" t="s">
        <v>244</v>
      </c>
      <c r="G301" s="1" t="s">
        <v>33</v>
      </c>
      <c r="H301" s="1" t="s">
        <v>49</v>
      </c>
      <c r="I301" s="1">
        <v>1</v>
      </c>
      <c r="J301" s="1">
        <v>0</v>
      </c>
      <c r="K301" s="1" t="s">
        <v>50</v>
      </c>
      <c r="L301" s="1" t="s">
        <v>19</v>
      </c>
      <c r="M301" s="1" t="str">
        <f t="shared" si="4"/>
        <v xml:space="preserve">1978|28659| 16:45 |Group A|El Monumental - Estadio Monumental Antonio Vespuci|Buenos Aires |Argentina|Italy|1|0|Austria| </v>
      </c>
    </row>
    <row r="302" spans="1:13" x14ac:dyDescent="0.2">
      <c r="A302" s="1">
        <v>1978</v>
      </c>
      <c r="B302" s="2" t="d">
        <v>1978-06-18</v>
      </c>
      <c r="C302" s="1" t="s">
        <v>248</v>
      </c>
      <c r="D302" s="12" t="s">
        <v>242</v>
      </c>
      <c r="E302" s="1" t="s">
        <v>254</v>
      </c>
      <c r="F302" s="1" t="s">
        <v>255</v>
      </c>
      <c r="G302" s="1" t="s">
        <v>33</v>
      </c>
      <c r="H302" s="1" t="s">
        <v>133</v>
      </c>
      <c r="I302" s="1">
        <v>2</v>
      </c>
      <c r="J302" s="1">
        <v>2</v>
      </c>
      <c r="K302" s="1" t="s">
        <v>59</v>
      </c>
      <c r="L302" s="1" t="s">
        <v>19</v>
      </c>
      <c r="M302" s="1" t="str">
        <f t="shared" si="4"/>
        <v xml:space="preserve">1978|28659| 16:45 |Group A|Estadio Olï¿½mpico Chateau Carreras|Cordoba |Argentina|Germany FR|2|2|Netherlands| </v>
      </c>
    </row>
    <row r="303" spans="1:13" hidden="1" x14ac:dyDescent="0.2">
      <c r="A303" s="1">
        <v>1978</v>
      </c>
      <c r="B303" s="2" t="d">
        <v>1978-06-18</v>
      </c>
      <c r="C303" s="1" t="s">
        <v>252</v>
      </c>
      <c r="D303" s="12" t="s">
        <v>241</v>
      </c>
      <c r="E303" s="1" t="s">
        <v>249</v>
      </c>
      <c r="F303" s="1" t="s">
        <v>250</v>
      </c>
      <c r="G303" s="1" t="s">
        <v>33</v>
      </c>
      <c r="H303" s="1" t="s">
        <v>33</v>
      </c>
      <c r="I303" s="1">
        <v>0</v>
      </c>
      <c r="J303" s="1">
        <v>0</v>
      </c>
      <c r="K303" s="1" t="s">
        <v>27</v>
      </c>
      <c r="L303" s="1" t="s">
        <v>19</v>
      </c>
      <c r="M303" s="1" t="str">
        <f t="shared" si="4"/>
        <v xml:space="preserve">1978|28659| 19:15 |Group B|Arroyito - Estadio Dr. Lisandro de la Torre|Rosario |Argentina|Argentina|0|0|Brazil| </v>
      </c>
    </row>
    <row r="304" spans="1:13" hidden="1" x14ac:dyDescent="0.2">
      <c r="A304" s="1">
        <v>1978</v>
      </c>
      <c r="B304" s="2" t="d">
        <v>1978-06-21</v>
      </c>
      <c r="C304" s="1" t="s">
        <v>245</v>
      </c>
      <c r="D304" s="12" t="s">
        <v>242</v>
      </c>
      <c r="E304" s="1" t="s">
        <v>243</v>
      </c>
      <c r="F304" s="1" t="s">
        <v>244</v>
      </c>
      <c r="G304" s="1" t="s">
        <v>33</v>
      </c>
      <c r="H304" s="1" t="s">
        <v>59</v>
      </c>
      <c r="I304" s="1">
        <v>2</v>
      </c>
      <c r="J304" s="1">
        <v>1</v>
      </c>
      <c r="K304" s="1" t="s">
        <v>49</v>
      </c>
      <c r="L304" s="1" t="s">
        <v>19</v>
      </c>
      <c r="M304" s="1" t="str">
        <f t="shared" si="4"/>
        <v xml:space="preserve">1978|28662| 13:45 |Group A|El Monumental - Estadio Monumental Antonio Vespuci|Buenos Aires |Argentina|Netherlands|2|1|Italy| </v>
      </c>
    </row>
    <row r="305" spans="1:13" hidden="1" x14ac:dyDescent="0.2">
      <c r="A305" s="1">
        <v>1978</v>
      </c>
      <c r="B305" s="2" t="d">
        <v>1978-06-21</v>
      </c>
      <c r="C305" s="1" t="s">
        <v>245</v>
      </c>
      <c r="D305" s="12" t="s">
        <v>242</v>
      </c>
      <c r="E305" s="1" t="s">
        <v>254</v>
      </c>
      <c r="F305" s="1" t="s">
        <v>255</v>
      </c>
      <c r="G305" s="1" t="s">
        <v>33</v>
      </c>
      <c r="H305" s="1" t="s">
        <v>50</v>
      </c>
      <c r="I305" s="1">
        <v>3</v>
      </c>
      <c r="J305" s="1">
        <v>2</v>
      </c>
      <c r="K305" s="1" t="s">
        <v>133</v>
      </c>
      <c r="L305" s="1" t="s">
        <v>19</v>
      </c>
      <c r="M305" s="1" t="str">
        <f t="shared" si="4"/>
        <v xml:space="preserve">1978|28662| 13:45 |Group A|Estadio Olï¿½mpico Chateau Carreras|Cordoba |Argentina|Austria|3|2|Germany FR| </v>
      </c>
    </row>
    <row r="306" spans="1:13" hidden="1" x14ac:dyDescent="0.2">
      <c r="A306" s="1">
        <v>1978</v>
      </c>
      <c r="B306" s="2" t="d">
        <v>1978-06-21</v>
      </c>
      <c r="C306" s="1" t="s">
        <v>248</v>
      </c>
      <c r="D306" s="12" t="s">
        <v>241</v>
      </c>
      <c r="E306" s="1" t="s">
        <v>256</v>
      </c>
      <c r="F306" s="1" t="s">
        <v>257</v>
      </c>
      <c r="G306" s="1" t="s">
        <v>33</v>
      </c>
      <c r="H306" s="1" t="s">
        <v>27</v>
      </c>
      <c r="I306" s="1">
        <v>3</v>
      </c>
      <c r="J306" s="1">
        <v>1</v>
      </c>
      <c r="K306" s="1" t="s">
        <v>96</v>
      </c>
      <c r="L306" s="1" t="s">
        <v>19</v>
      </c>
      <c r="M306" s="1" t="str">
        <f t="shared" si="4"/>
        <v xml:space="preserve">1978|28662| 16:45 |Group B|San Martin|Mendoza |Argentina|Brazil|3|1|Poland| </v>
      </c>
    </row>
    <row r="307" spans="1:13" hidden="1" x14ac:dyDescent="0.2">
      <c r="A307" s="1">
        <v>1978</v>
      </c>
      <c r="B307" s="2" t="d">
        <v>1978-06-21</v>
      </c>
      <c r="C307" s="1" t="s">
        <v>252</v>
      </c>
      <c r="D307" s="12" t="s">
        <v>241</v>
      </c>
      <c r="E307" s="1" t="s">
        <v>249</v>
      </c>
      <c r="F307" s="1" t="s">
        <v>250</v>
      </c>
      <c r="G307" s="1" t="s">
        <v>33</v>
      </c>
      <c r="H307" s="1" t="s">
        <v>33</v>
      </c>
      <c r="I307" s="1">
        <v>6</v>
      </c>
      <c r="J307" s="1">
        <v>0</v>
      </c>
      <c r="K307" s="1" t="s">
        <v>31</v>
      </c>
      <c r="L307" s="1" t="s">
        <v>19</v>
      </c>
      <c r="M307" s="1" t="str">
        <f t="shared" si="4"/>
        <v xml:space="preserve">1978|28662| 19:15 |Group B|Arroyito - Estadio Dr. Lisandro de la Torre|Rosario |Argentina|Argentina|6|0|Peru| </v>
      </c>
    </row>
    <row r="308" spans="1:13" hidden="1" x14ac:dyDescent="0.2">
      <c r="A308" s="1">
        <v>1978</v>
      </c>
      <c r="B308" s="2" t="d">
        <v>1978-06-24</v>
      </c>
      <c r="C308" s="1" t="s">
        <v>12</v>
      </c>
      <c r="D308" s="12" t="s">
        <v>76</v>
      </c>
      <c r="E308" s="1" t="s">
        <v>243</v>
      </c>
      <c r="F308" s="1" t="s">
        <v>244</v>
      </c>
      <c r="G308" s="1" t="s">
        <v>33</v>
      </c>
      <c r="H308" s="1" t="s">
        <v>27</v>
      </c>
      <c r="I308" s="1">
        <v>2</v>
      </c>
      <c r="J308" s="1">
        <v>1</v>
      </c>
      <c r="K308" s="1" t="s">
        <v>49</v>
      </c>
      <c r="L308" s="1" t="s">
        <v>19</v>
      </c>
      <c r="M308" s="1" t="str">
        <f t="shared" si="4"/>
        <v xml:space="preserve">1978|28665| 15:00 |Match for third place|El Monumental - Estadio Monumental Antonio Vespuci|Buenos Aires |Argentina|Brazil|2|1|Italy| </v>
      </c>
    </row>
    <row r="309" spans="1:13" hidden="1" x14ac:dyDescent="0.2">
      <c r="A309" s="1">
        <v>1978</v>
      </c>
      <c r="B309" s="2" t="d">
        <v>1978-06-25</v>
      </c>
      <c r="C309" s="1" t="s">
        <v>12</v>
      </c>
      <c r="D309" s="12" t="s">
        <v>44</v>
      </c>
      <c r="E309" s="1" t="s">
        <v>243</v>
      </c>
      <c r="F309" s="1" t="s">
        <v>244</v>
      </c>
      <c r="G309" s="1" t="s">
        <v>33</v>
      </c>
      <c r="H309" s="1" t="s">
        <v>33</v>
      </c>
      <c r="I309" s="1">
        <v>3</v>
      </c>
      <c r="J309" s="1">
        <v>1</v>
      </c>
      <c r="K309" s="1" t="s">
        <v>59</v>
      </c>
      <c r="L309" s="1" t="s">
        <v>261</v>
      </c>
      <c r="M309" s="1" t="str">
        <f t="shared" si="4"/>
        <v xml:space="preserve">1978|28666| 15:00 |Final|El Monumental - Estadio Monumental Antonio Vespuci|Buenos Aires |Argentina|Argentina|3|1|Netherlands|Argentina win after extra time </v>
      </c>
    </row>
    <row r="310" spans="1:13" hidden="1" x14ac:dyDescent="0.2">
      <c r="A310" s="1">
        <v>1982</v>
      </c>
      <c r="B310" s="2" t="d">
        <v>1982-06-13</v>
      </c>
      <c r="C310" s="1" t="s">
        <v>262</v>
      </c>
      <c r="D310" s="1" t="s">
        <v>29</v>
      </c>
      <c r="E310" s="1" t="s">
        <v>263</v>
      </c>
      <c r="F310" s="1" t="s">
        <v>264</v>
      </c>
      <c r="G310" s="1" t="s">
        <v>68</v>
      </c>
      <c r="H310" s="1" t="s">
        <v>33</v>
      </c>
      <c r="I310" s="1">
        <v>0</v>
      </c>
      <c r="J310" s="1">
        <v>1</v>
      </c>
      <c r="K310" s="1" t="s">
        <v>23</v>
      </c>
      <c r="L310" s="1" t="s">
        <v>19</v>
      </c>
      <c r="M310" s="1" t="str">
        <f t="shared" si="4"/>
        <v xml:space="preserve">1982|30115| 20:00 |Group 3|Camp Nou|Barcelona |Spain|Argentina|0|1|Belgium| </v>
      </c>
    </row>
    <row r="311" spans="1:13" hidden="1" x14ac:dyDescent="0.2">
      <c r="A311" s="1">
        <v>1982</v>
      </c>
      <c r="B311" s="2" t="d">
        <v>1982-06-14</v>
      </c>
      <c r="C311" s="1" t="s">
        <v>265</v>
      </c>
      <c r="D311" s="1" t="s">
        <v>13</v>
      </c>
      <c r="E311" s="1" t="s">
        <v>266</v>
      </c>
      <c r="F311" s="1" t="s">
        <v>267</v>
      </c>
      <c r="G311" s="1" t="s">
        <v>68</v>
      </c>
      <c r="H311" s="1" t="s">
        <v>49</v>
      </c>
      <c r="I311" s="1">
        <v>0</v>
      </c>
      <c r="J311" s="1">
        <v>0</v>
      </c>
      <c r="K311" s="1" t="s">
        <v>96</v>
      </c>
      <c r="L311" s="1" t="s">
        <v>19</v>
      </c>
      <c r="M311" s="1" t="str">
        <f t="shared" si="4"/>
        <v xml:space="preserve">1982|30116| 17:15 |Group 1|Estadio Municipal de Balaï¿½dos|Vigo |Spain|Italy|0|0|Poland| </v>
      </c>
    </row>
    <row r="312" spans="1:13" hidden="1" x14ac:dyDescent="0.2">
      <c r="A312" s="1">
        <v>1982</v>
      </c>
      <c r="B312" s="2" t="d">
        <v>1982-06-14</v>
      </c>
      <c r="C312" s="1" t="s">
        <v>268</v>
      </c>
      <c r="D312" s="1" t="s">
        <v>123</v>
      </c>
      <c r="E312" s="1" t="s">
        <v>269</v>
      </c>
      <c r="F312" s="1" t="s">
        <v>270</v>
      </c>
      <c r="G312" s="1" t="s">
        <v>68</v>
      </c>
      <c r="H312" s="1" t="s">
        <v>27</v>
      </c>
      <c r="I312" s="1">
        <v>2</v>
      </c>
      <c r="J312" s="1">
        <v>1</v>
      </c>
      <c r="K312" s="1" t="s">
        <v>151</v>
      </c>
      <c r="L312" s="1" t="s">
        <v>19</v>
      </c>
      <c r="M312" s="1" t="str">
        <f t="shared" si="4"/>
        <v xml:space="preserve">1982|30116| 21:00 |Group 6|Ramon Sanchez Pizjuan|Seville |Spain|Brazil|2|1|Soviet Union| </v>
      </c>
    </row>
    <row r="313" spans="1:13" hidden="1" x14ac:dyDescent="0.2">
      <c r="A313" s="1">
        <v>1982</v>
      </c>
      <c r="B313" s="2" t="d">
        <v>1982-06-15</v>
      </c>
      <c r="C313" s="1" t="s">
        <v>265</v>
      </c>
      <c r="D313" s="1" t="s">
        <v>13</v>
      </c>
      <c r="E313" s="1" t="s">
        <v>271</v>
      </c>
      <c r="F313" s="1" t="s">
        <v>272</v>
      </c>
      <c r="G313" s="1" t="s">
        <v>68</v>
      </c>
      <c r="H313" s="1" t="s">
        <v>31</v>
      </c>
      <c r="I313" s="1">
        <v>0</v>
      </c>
      <c r="J313" s="1">
        <v>0</v>
      </c>
      <c r="K313" s="1" t="s">
        <v>273</v>
      </c>
      <c r="L313" s="1" t="s">
        <v>19</v>
      </c>
      <c r="M313" s="1" t="str">
        <f t="shared" si="4"/>
        <v xml:space="preserve">1982|30117| 17:15 |Group 1|Riazor|La Coruï¿½A |Spain|Peru|0|0|Cameroon| </v>
      </c>
    </row>
    <row r="314" spans="1:13" hidden="1" x14ac:dyDescent="0.2">
      <c r="A314" s="1">
        <v>1982</v>
      </c>
      <c r="B314" s="2" t="d">
        <v>1982-06-15</v>
      </c>
      <c r="C314" s="1" t="s">
        <v>268</v>
      </c>
      <c r="D314" s="1" t="s">
        <v>29</v>
      </c>
      <c r="E314" s="1" t="s">
        <v>274</v>
      </c>
      <c r="F314" s="1" t="s">
        <v>275</v>
      </c>
      <c r="G314" s="1" t="s">
        <v>68</v>
      </c>
      <c r="H314" s="1" t="s">
        <v>54</v>
      </c>
      <c r="I314" s="1">
        <v>10</v>
      </c>
      <c r="J314" s="1">
        <v>1</v>
      </c>
      <c r="K314" s="1" t="s">
        <v>217</v>
      </c>
      <c r="L314" s="1" t="s">
        <v>19</v>
      </c>
      <c r="M314" s="1" t="str">
        <f t="shared" si="4"/>
        <v xml:space="preserve">1982|30117| 21:00 |Group 3|Nuevo Estadio|Elche |Spain|Hungary|10|1|El Salvador| </v>
      </c>
    </row>
    <row r="315" spans="1:13" hidden="1" x14ac:dyDescent="0.2">
      <c r="A315" s="1">
        <v>1982</v>
      </c>
      <c r="B315" s="2" t="d">
        <v>1982-06-15</v>
      </c>
      <c r="C315" s="1" t="s">
        <v>268</v>
      </c>
      <c r="D315" s="1" t="s">
        <v>123</v>
      </c>
      <c r="E315" s="1" t="s">
        <v>276</v>
      </c>
      <c r="F315" s="1" t="s">
        <v>277</v>
      </c>
      <c r="G315" s="1" t="s">
        <v>68</v>
      </c>
      <c r="H315" s="1" t="s">
        <v>128</v>
      </c>
      <c r="I315" s="1">
        <v>5</v>
      </c>
      <c r="J315" s="1">
        <v>2</v>
      </c>
      <c r="K315" s="1" t="s">
        <v>278</v>
      </c>
      <c r="L315" s="1" t="s">
        <v>19</v>
      </c>
      <c r="M315" s="1" t="str">
        <f t="shared" si="4"/>
        <v xml:space="preserve">1982|30117| 21:00 |Group 6|La Rosaleda|Malaga |Spain|Scotland|5|2|New Zealand| </v>
      </c>
    </row>
    <row r="316" spans="1:13" x14ac:dyDescent="0.2">
      <c r="A316" s="1">
        <v>1982</v>
      </c>
      <c r="B316" s="2" t="d">
        <v>1982-06-16</v>
      </c>
      <c r="C316" s="1" t="s">
        <v>265</v>
      </c>
      <c r="D316" s="1" t="s">
        <v>25</v>
      </c>
      <c r="E316" s="1" t="s">
        <v>279</v>
      </c>
      <c r="F316" s="1" t="s">
        <v>280</v>
      </c>
      <c r="G316" s="1" t="s">
        <v>68</v>
      </c>
      <c r="H316" s="1" t="s">
        <v>133</v>
      </c>
      <c r="I316" s="1">
        <v>1</v>
      </c>
      <c r="J316" s="1">
        <v>2</v>
      </c>
      <c r="K316" s="1" t="s">
        <v>281</v>
      </c>
      <c r="L316" s="1" t="s">
        <v>19</v>
      </c>
      <c r="M316" s="1" t="str">
        <f t="shared" si="4"/>
        <v xml:space="preserve">1982|30118| 17:15 |Group 2|El Molinon|Gijon |Spain|Germany FR|1|2|Algeria| </v>
      </c>
    </row>
    <row r="317" spans="1:13" hidden="1" x14ac:dyDescent="0.2">
      <c r="A317" s="1">
        <v>1982</v>
      </c>
      <c r="B317" s="2" t="d">
        <v>1982-06-16</v>
      </c>
      <c r="C317" s="1" t="s">
        <v>265</v>
      </c>
      <c r="D317" s="1" t="s">
        <v>20</v>
      </c>
      <c r="E317" s="1" t="s">
        <v>282</v>
      </c>
      <c r="F317" s="1" t="s">
        <v>283</v>
      </c>
      <c r="G317" s="1" t="s">
        <v>68</v>
      </c>
      <c r="H317" s="1" t="s">
        <v>110</v>
      </c>
      <c r="I317" s="1">
        <v>3</v>
      </c>
      <c r="J317" s="1">
        <v>1</v>
      </c>
      <c r="K317" s="1" t="s">
        <v>17</v>
      </c>
      <c r="L317" s="1" t="s">
        <v>19</v>
      </c>
      <c r="M317" s="1" t="str">
        <f t="shared" si="4"/>
        <v xml:space="preserve">1982|30118| 17:15 |Group 4|San Mames|Bilbao |Spain|England|3|1|France| </v>
      </c>
    </row>
    <row r="318" spans="1:13" hidden="1" x14ac:dyDescent="0.2">
      <c r="A318" s="1">
        <v>1982</v>
      </c>
      <c r="B318" s="2" t="d">
        <v>1982-06-16</v>
      </c>
      <c r="C318" s="1" t="s">
        <v>268</v>
      </c>
      <c r="D318" s="1" t="s">
        <v>284</v>
      </c>
      <c r="E318" s="1" t="s">
        <v>285</v>
      </c>
      <c r="F318" s="1" t="s">
        <v>286</v>
      </c>
      <c r="G318" s="1" t="s">
        <v>68</v>
      </c>
      <c r="H318" s="1" t="s">
        <v>68</v>
      </c>
      <c r="I318" s="1">
        <v>1</v>
      </c>
      <c r="J318" s="1">
        <v>1</v>
      </c>
      <c r="K318" s="1" t="s">
        <v>287</v>
      </c>
      <c r="L318" s="1" t="s">
        <v>19</v>
      </c>
      <c r="M318" s="1" t="str">
        <f t="shared" si="4"/>
        <v xml:space="preserve">1982|30118| 21:00 |Group 5|Luis Casanova|Valencia |Spain|Spain|1|1|Honduras| </v>
      </c>
    </row>
    <row r="319" spans="1:13" hidden="1" x14ac:dyDescent="0.2">
      <c r="A319" s="1">
        <v>1982</v>
      </c>
      <c r="B319" s="2" t="d">
        <v>1982-06-17</v>
      </c>
      <c r="C319" s="1" t="s">
        <v>265</v>
      </c>
      <c r="D319" s="1" t="s">
        <v>25</v>
      </c>
      <c r="E319" s="1" t="s">
        <v>288</v>
      </c>
      <c r="F319" s="1" t="s">
        <v>289</v>
      </c>
      <c r="G319" s="1" t="s">
        <v>68</v>
      </c>
      <c r="H319" s="1" t="s">
        <v>35</v>
      </c>
      <c r="I319" s="1">
        <v>0</v>
      </c>
      <c r="J319" s="1">
        <v>1</v>
      </c>
      <c r="K319" s="1" t="s">
        <v>50</v>
      </c>
      <c r="L319" s="1" t="s">
        <v>19</v>
      </c>
      <c r="M319" s="1" t="str">
        <f t="shared" si="4"/>
        <v xml:space="preserve">1982|30119| 17:15 |Group 2|Carlos Tartiere|Oviedo |Spain|Chile|0|1|Austria| </v>
      </c>
    </row>
    <row r="320" spans="1:13" hidden="1" x14ac:dyDescent="0.2">
      <c r="A320" s="1">
        <v>1982</v>
      </c>
      <c r="B320" s="2" t="d">
        <v>1982-06-17</v>
      </c>
      <c r="C320" s="1" t="s">
        <v>290</v>
      </c>
      <c r="D320" s="1" t="s">
        <v>20</v>
      </c>
      <c r="E320" s="1" t="s">
        <v>291</v>
      </c>
      <c r="F320" s="1" t="s">
        <v>292</v>
      </c>
      <c r="G320" s="1" t="s">
        <v>68</v>
      </c>
      <c r="H320" s="1" t="s">
        <v>73</v>
      </c>
      <c r="I320" s="1">
        <v>1</v>
      </c>
      <c r="J320" s="1">
        <v>1</v>
      </c>
      <c r="K320" s="1" t="s">
        <v>293</v>
      </c>
      <c r="L320" s="1" t="s">
        <v>19</v>
      </c>
      <c r="M320" s="1" t="str">
        <f t="shared" si="4"/>
        <v xml:space="preserve">1982|30119| 17:45 |Group 4|Jose Zorrilla|Valladolid |Spain|Czechoslovakia|1|1|Kuwait| </v>
      </c>
    </row>
    <row r="321" spans="1:13" hidden="1" x14ac:dyDescent="0.2">
      <c r="A321" s="1">
        <v>1982</v>
      </c>
      <c r="B321" s="2" t="d">
        <v>1982-06-17</v>
      </c>
      <c r="C321" s="1" t="s">
        <v>268</v>
      </c>
      <c r="D321" s="1" t="s">
        <v>284</v>
      </c>
      <c r="E321" s="1" t="s">
        <v>294</v>
      </c>
      <c r="F321" s="1" t="s">
        <v>295</v>
      </c>
      <c r="G321" s="1" t="s">
        <v>68</v>
      </c>
      <c r="H321" s="1" t="s">
        <v>26</v>
      </c>
      <c r="I321" s="1">
        <v>0</v>
      </c>
      <c r="J321" s="1">
        <v>0</v>
      </c>
      <c r="K321" s="1" t="s">
        <v>165</v>
      </c>
      <c r="L321" s="1" t="s">
        <v>19</v>
      </c>
      <c r="M321" s="1" t="str">
        <f t="shared" si="4"/>
        <v xml:space="preserve">1982|30119| 21:00 |Group 5|La Romareda|Zaragoza |Spain|Yugoslavia|0|0|Northern Ireland| </v>
      </c>
    </row>
    <row r="322" spans="1:13" hidden="1" x14ac:dyDescent="0.2">
      <c r="A322" s="1">
        <v>1982</v>
      </c>
      <c r="B322" s="2" t="d">
        <v>1982-06-18</v>
      </c>
      <c r="C322" s="1" t="s">
        <v>265</v>
      </c>
      <c r="D322" s="1" t="s">
        <v>13</v>
      </c>
      <c r="E322" s="1" t="s">
        <v>266</v>
      </c>
      <c r="F322" s="1" t="s">
        <v>267</v>
      </c>
      <c r="G322" s="1" t="s">
        <v>68</v>
      </c>
      <c r="H322" s="1" t="s">
        <v>49</v>
      </c>
      <c r="I322" s="1">
        <v>1</v>
      </c>
      <c r="J322" s="1">
        <v>1</v>
      </c>
      <c r="K322" s="1" t="s">
        <v>31</v>
      </c>
      <c r="L322" s="1" t="s">
        <v>19</v>
      </c>
      <c r="M322" s="1" t="str">
        <f t="shared" si="4"/>
        <v xml:space="preserve">1982|30120| 17:15 |Group 1|Estadio Municipal de Balaï¿½dos|Vigo |Spain|Italy|1|1|Peru| </v>
      </c>
    </row>
    <row r="323" spans="1:13" hidden="1" x14ac:dyDescent="0.2">
      <c r="A323" s="1">
        <v>1982</v>
      </c>
      <c r="B323" s="2" t="d">
        <v>1982-06-18</v>
      </c>
      <c r="C323" s="1" t="s">
        <v>268</v>
      </c>
      <c r="D323" s="1" t="s">
        <v>29</v>
      </c>
      <c r="E323" s="1" t="s">
        <v>296</v>
      </c>
      <c r="F323" s="1" t="s">
        <v>297</v>
      </c>
      <c r="G323" s="1" t="s">
        <v>68</v>
      </c>
      <c r="H323" s="1" t="s">
        <v>33</v>
      </c>
      <c r="I323" s="1">
        <v>4</v>
      </c>
      <c r="J323" s="1">
        <v>1</v>
      </c>
      <c r="K323" s="1" t="s">
        <v>54</v>
      </c>
      <c r="L323" s="1" t="s">
        <v>19</v>
      </c>
      <c r="M323" s="1" t="str">
        <f t="shared" ref="M323:M386" si="5">_xlfn.TEXTJOIN("|",TRUE,A323,B323,C323,D323,E323,F323,G323,H323,I323,J323,K323,L323)</f>
        <v xml:space="preserve">1982|30120| 21:00 |Group 3|Jose Rico Perez|Alicante |Spain|Argentina|4|1|Hungary| </v>
      </c>
    </row>
    <row r="324" spans="1:13" hidden="1" x14ac:dyDescent="0.2">
      <c r="A324" s="1">
        <v>1982</v>
      </c>
      <c r="B324" s="2" t="d">
        <v>1982-06-18</v>
      </c>
      <c r="C324" s="1" t="s">
        <v>268</v>
      </c>
      <c r="D324" s="1" t="s">
        <v>123</v>
      </c>
      <c r="E324" s="1" t="s">
        <v>298</v>
      </c>
      <c r="F324" s="1" t="s">
        <v>270</v>
      </c>
      <c r="G324" s="1" t="s">
        <v>68</v>
      </c>
      <c r="H324" s="1" t="s">
        <v>27</v>
      </c>
      <c r="I324" s="1">
        <v>4</v>
      </c>
      <c r="J324" s="1">
        <v>1</v>
      </c>
      <c r="K324" s="1" t="s">
        <v>128</v>
      </c>
      <c r="L324" s="1" t="s">
        <v>19</v>
      </c>
      <c r="M324" s="1" t="str">
        <f t="shared" si="5"/>
        <v xml:space="preserve">1982|30120| 21:00 |Group 6|Benito Villamarin|Seville |Spain|Brazil|4|1|Scotland| </v>
      </c>
    </row>
    <row r="325" spans="1:13" hidden="1" x14ac:dyDescent="0.2">
      <c r="A325" s="1">
        <v>1982</v>
      </c>
      <c r="B325" s="2" t="d">
        <v>1982-06-19</v>
      </c>
      <c r="C325" s="1" t="s">
        <v>252</v>
      </c>
      <c r="D325" s="1" t="s">
        <v>13</v>
      </c>
      <c r="E325" s="1" t="s">
        <v>271</v>
      </c>
      <c r="F325" s="1" t="s">
        <v>272</v>
      </c>
      <c r="G325" s="1" t="s">
        <v>68</v>
      </c>
      <c r="H325" s="1" t="s">
        <v>96</v>
      </c>
      <c r="I325" s="1">
        <v>0</v>
      </c>
      <c r="J325" s="1">
        <v>0</v>
      </c>
      <c r="K325" s="1" t="s">
        <v>273</v>
      </c>
      <c r="L325" s="1" t="s">
        <v>19</v>
      </c>
      <c r="M325" s="1" t="str">
        <f t="shared" si="5"/>
        <v xml:space="preserve">1982|30121| 19:15 |Group 1|Riazor|La Coruï¿½A |Spain|Poland|0|0|Cameroon| </v>
      </c>
    </row>
    <row r="326" spans="1:13" hidden="1" x14ac:dyDescent="0.2">
      <c r="A326" s="1">
        <v>1982</v>
      </c>
      <c r="B326" s="2" t="d">
        <v>1982-06-19</v>
      </c>
      <c r="C326" s="1" t="s">
        <v>268</v>
      </c>
      <c r="D326" s="1" t="s">
        <v>29</v>
      </c>
      <c r="E326" s="1" t="s">
        <v>274</v>
      </c>
      <c r="F326" s="1" t="s">
        <v>275</v>
      </c>
      <c r="G326" s="1" t="s">
        <v>68</v>
      </c>
      <c r="H326" s="1" t="s">
        <v>23</v>
      </c>
      <c r="I326" s="1">
        <v>1</v>
      </c>
      <c r="J326" s="1">
        <v>0</v>
      </c>
      <c r="K326" s="1" t="s">
        <v>217</v>
      </c>
      <c r="L326" s="1" t="s">
        <v>19</v>
      </c>
      <c r="M326" s="1" t="str">
        <f t="shared" si="5"/>
        <v xml:space="preserve">1982|30121| 21:00 |Group 3|Nuevo Estadio|Elche |Spain|Belgium|1|0|El Salvador| </v>
      </c>
    </row>
    <row r="327" spans="1:13" hidden="1" x14ac:dyDescent="0.2">
      <c r="A327" s="1">
        <v>1982</v>
      </c>
      <c r="B327" s="2" t="d">
        <v>1982-06-19</v>
      </c>
      <c r="C327" s="1" t="s">
        <v>268</v>
      </c>
      <c r="D327" s="1" t="s">
        <v>123</v>
      </c>
      <c r="E327" s="1" t="s">
        <v>276</v>
      </c>
      <c r="F327" s="1" t="s">
        <v>277</v>
      </c>
      <c r="G327" s="1" t="s">
        <v>68</v>
      </c>
      <c r="H327" s="1" t="s">
        <v>151</v>
      </c>
      <c r="I327" s="1">
        <v>3</v>
      </c>
      <c r="J327" s="1">
        <v>0</v>
      </c>
      <c r="K327" s="1" t="s">
        <v>278</v>
      </c>
      <c r="L327" s="1" t="s">
        <v>19</v>
      </c>
      <c r="M327" s="1" t="str">
        <f t="shared" si="5"/>
        <v xml:space="preserve">1982|30121| 21:00 |Group 6|La Rosaleda|Malaga |Spain|Soviet Union|3|0|New Zealand| </v>
      </c>
    </row>
    <row r="328" spans="1:13" x14ac:dyDescent="0.2">
      <c r="A328" s="1">
        <v>1982</v>
      </c>
      <c r="B328" s="2" t="d">
        <v>1982-06-20</v>
      </c>
      <c r="C328" s="1" t="s">
        <v>265</v>
      </c>
      <c r="D328" s="1" t="s">
        <v>25</v>
      </c>
      <c r="E328" s="1" t="s">
        <v>279</v>
      </c>
      <c r="F328" s="1" t="s">
        <v>280</v>
      </c>
      <c r="G328" s="1" t="s">
        <v>68</v>
      </c>
      <c r="H328" s="1" t="s">
        <v>133</v>
      </c>
      <c r="I328" s="1">
        <v>4</v>
      </c>
      <c r="J328" s="1">
        <v>1</v>
      </c>
      <c r="K328" s="1" t="s">
        <v>35</v>
      </c>
      <c r="L328" s="1" t="s">
        <v>19</v>
      </c>
      <c r="M328" s="1" t="str">
        <f t="shared" si="5"/>
        <v xml:space="preserve">1982|30122| 17:15 |Group 2|El Molinon|Gijon |Spain|Germany FR|4|1|Chile| </v>
      </c>
    </row>
    <row r="329" spans="1:13" hidden="1" x14ac:dyDescent="0.2">
      <c r="A329" s="1">
        <v>1982</v>
      </c>
      <c r="B329" s="2" t="d">
        <v>1982-06-20</v>
      </c>
      <c r="C329" s="1" t="s">
        <v>265</v>
      </c>
      <c r="D329" s="1" t="s">
        <v>20</v>
      </c>
      <c r="E329" s="1" t="s">
        <v>282</v>
      </c>
      <c r="F329" s="1" t="s">
        <v>283</v>
      </c>
      <c r="G329" s="1" t="s">
        <v>68</v>
      </c>
      <c r="H329" s="1" t="s">
        <v>110</v>
      </c>
      <c r="I329" s="1">
        <v>2</v>
      </c>
      <c r="J329" s="1">
        <v>0</v>
      </c>
      <c r="K329" s="1" t="s">
        <v>73</v>
      </c>
      <c r="L329" s="1" t="s">
        <v>19</v>
      </c>
      <c r="M329" s="1" t="str">
        <f t="shared" si="5"/>
        <v xml:space="preserve">1982|30122| 17:15 |Group 4|San Mames|Bilbao |Spain|England|2|0|Czechoslovakia| </v>
      </c>
    </row>
    <row r="330" spans="1:13" hidden="1" x14ac:dyDescent="0.2">
      <c r="A330" s="1">
        <v>1982</v>
      </c>
      <c r="B330" s="2" t="d">
        <v>1982-06-20</v>
      </c>
      <c r="C330" s="1" t="s">
        <v>268</v>
      </c>
      <c r="D330" s="1" t="s">
        <v>284</v>
      </c>
      <c r="E330" s="1" t="s">
        <v>285</v>
      </c>
      <c r="F330" s="1" t="s">
        <v>286</v>
      </c>
      <c r="G330" s="1" t="s">
        <v>68</v>
      </c>
      <c r="H330" s="1" t="s">
        <v>68</v>
      </c>
      <c r="I330" s="1">
        <v>2</v>
      </c>
      <c r="J330" s="1">
        <v>1</v>
      </c>
      <c r="K330" s="1" t="s">
        <v>26</v>
      </c>
      <c r="L330" s="1" t="s">
        <v>19</v>
      </c>
      <c r="M330" s="1" t="str">
        <f t="shared" si="5"/>
        <v xml:space="preserve">1982|30122| 21:00 |Group 5|Luis Casanova|Valencia |Spain|Spain|2|1|Yugoslavia| </v>
      </c>
    </row>
    <row r="331" spans="1:13" hidden="1" x14ac:dyDescent="0.2">
      <c r="A331" s="1">
        <v>1982</v>
      </c>
      <c r="B331" s="2" t="d">
        <v>1982-06-21</v>
      </c>
      <c r="C331" s="1" t="s">
        <v>265</v>
      </c>
      <c r="D331" s="1" t="s">
        <v>25</v>
      </c>
      <c r="E331" s="1" t="s">
        <v>288</v>
      </c>
      <c r="F331" s="1" t="s">
        <v>289</v>
      </c>
      <c r="G331" s="1" t="s">
        <v>68</v>
      </c>
      <c r="H331" s="1" t="s">
        <v>281</v>
      </c>
      <c r="I331" s="1">
        <v>0</v>
      </c>
      <c r="J331" s="1">
        <v>2</v>
      </c>
      <c r="K331" s="1" t="s">
        <v>50</v>
      </c>
      <c r="L331" s="1" t="s">
        <v>19</v>
      </c>
      <c r="M331" s="1" t="str">
        <f t="shared" si="5"/>
        <v xml:space="preserve">1982|30123| 17:15 |Group 2|Carlos Tartiere|Oviedo |Spain|Algeria|0|2|Austria| </v>
      </c>
    </row>
    <row r="332" spans="1:13" hidden="1" x14ac:dyDescent="0.2">
      <c r="A332" s="1">
        <v>1982</v>
      </c>
      <c r="B332" s="2" t="d">
        <v>1982-06-21</v>
      </c>
      <c r="C332" s="1" t="s">
        <v>265</v>
      </c>
      <c r="D332" s="1" t="s">
        <v>20</v>
      </c>
      <c r="E332" s="1" t="s">
        <v>291</v>
      </c>
      <c r="F332" s="1" t="s">
        <v>292</v>
      </c>
      <c r="G332" s="1" t="s">
        <v>68</v>
      </c>
      <c r="H332" s="1" t="s">
        <v>17</v>
      </c>
      <c r="I332" s="1">
        <v>4</v>
      </c>
      <c r="J332" s="1">
        <v>1</v>
      </c>
      <c r="K332" s="1" t="s">
        <v>293</v>
      </c>
      <c r="L332" s="1" t="s">
        <v>19</v>
      </c>
      <c r="M332" s="1" t="str">
        <f t="shared" si="5"/>
        <v xml:space="preserve">1982|30123| 17:15 |Group 4|Jose Zorrilla|Valladolid |Spain|France|4|1|Kuwait| </v>
      </c>
    </row>
    <row r="333" spans="1:13" hidden="1" x14ac:dyDescent="0.2">
      <c r="A333" s="1">
        <v>1982</v>
      </c>
      <c r="B333" s="2" t="d">
        <v>1982-06-21</v>
      </c>
      <c r="C333" s="1" t="s">
        <v>268</v>
      </c>
      <c r="D333" s="1" t="s">
        <v>284</v>
      </c>
      <c r="E333" s="1" t="s">
        <v>294</v>
      </c>
      <c r="F333" s="1" t="s">
        <v>295</v>
      </c>
      <c r="G333" s="1" t="s">
        <v>68</v>
      </c>
      <c r="H333" s="1" t="s">
        <v>287</v>
      </c>
      <c r="I333" s="1">
        <v>1</v>
      </c>
      <c r="J333" s="1">
        <v>1</v>
      </c>
      <c r="K333" s="1" t="s">
        <v>165</v>
      </c>
      <c r="L333" s="1" t="s">
        <v>19</v>
      </c>
      <c r="M333" s="1" t="str">
        <f t="shared" si="5"/>
        <v xml:space="preserve">1982|30123| 21:00 |Group 5|La Romareda|Zaragoza |Spain|Honduras|1|1|Northern Ireland| </v>
      </c>
    </row>
    <row r="334" spans="1:13" hidden="1" x14ac:dyDescent="0.2">
      <c r="A334" s="1">
        <v>1982</v>
      </c>
      <c r="B334" s="2" t="d">
        <v>1982-06-22</v>
      </c>
      <c r="C334" s="1" t="s">
        <v>265</v>
      </c>
      <c r="D334" s="1" t="s">
        <v>13</v>
      </c>
      <c r="E334" s="1" t="s">
        <v>271</v>
      </c>
      <c r="F334" s="1" t="s">
        <v>272</v>
      </c>
      <c r="G334" s="1" t="s">
        <v>68</v>
      </c>
      <c r="H334" s="1" t="s">
        <v>96</v>
      </c>
      <c r="I334" s="1">
        <v>5</v>
      </c>
      <c r="J334" s="1">
        <v>1</v>
      </c>
      <c r="K334" s="1" t="s">
        <v>31</v>
      </c>
      <c r="L334" s="1" t="s">
        <v>19</v>
      </c>
      <c r="M334" s="1" t="str">
        <f t="shared" si="5"/>
        <v xml:space="preserve">1982|30124| 17:15 |Group 1|Riazor|La Coruï¿½A |Spain|Poland|5|1|Peru| </v>
      </c>
    </row>
    <row r="335" spans="1:13" hidden="1" x14ac:dyDescent="0.2">
      <c r="A335" s="1">
        <v>1982</v>
      </c>
      <c r="B335" s="2" t="d">
        <v>1982-06-22</v>
      </c>
      <c r="C335" s="1" t="s">
        <v>268</v>
      </c>
      <c r="D335" s="1" t="s">
        <v>29</v>
      </c>
      <c r="E335" s="1" t="s">
        <v>274</v>
      </c>
      <c r="F335" s="1" t="s">
        <v>275</v>
      </c>
      <c r="G335" s="1" t="s">
        <v>68</v>
      </c>
      <c r="H335" s="1" t="s">
        <v>23</v>
      </c>
      <c r="I335" s="1">
        <v>1</v>
      </c>
      <c r="J335" s="1">
        <v>1</v>
      </c>
      <c r="K335" s="1" t="s">
        <v>54</v>
      </c>
      <c r="L335" s="1" t="s">
        <v>19</v>
      </c>
      <c r="M335" s="1" t="str">
        <f t="shared" si="5"/>
        <v xml:space="preserve">1982|30124| 21:00 |Group 3|Nuevo Estadio|Elche |Spain|Belgium|1|1|Hungary| </v>
      </c>
    </row>
    <row r="336" spans="1:13" hidden="1" x14ac:dyDescent="0.2">
      <c r="A336" s="1">
        <v>1982</v>
      </c>
      <c r="B336" s="2" t="d">
        <v>1982-06-22</v>
      </c>
      <c r="C336" s="1" t="s">
        <v>268</v>
      </c>
      <c r="D336" s="1" t="s">
        <v>123</v>
      </c>
      <c r="E336" s="1" t="s">
        <v>276</v>
      </c>
      <c r="F336" s="1" t="s">
        <v>277</v>
      </c>
      <c r="G336" s="1" t="s">
        <v>68</v>
      </c>
      <c r="H336" s="1" t="s">
        <v>151</v>
      </c>
      <c r="I336" s="1">
        <v>2</v>
      </c>
      <c r="J336" s="1">
        <v>2</v>
      </c>
      <c r="K336" s="1" t="s">
        <v>128</v>
      </c>
      <c r="L336" s="1" t="s">
        <v>19</v>
      </c>
      <c r="M336" s="1" t="str">
        <f t="shared" si="5"/>
        <v xml:space="preserve">1982|30124| 21:00 |Group 6|La Rosaleda|Malaga |Spain|Soviet Union|2|2|Scotland| </v>
      </c>
    </row>
    <row r="337" spans="1:13" hidden="1" x14ac:dyDescent="0.2">
      <c r="A337" s="1">
        <v>1982</v>
      </c>
      <c r="B337" s="2" t="d">
        <v>1982-06-23</v>
      </c>
      <c r="C337" s="1" t="s">
        <v>265</v>
      </c>
      <c r="D337" s="1" t="s">
        <v>13</v>
      </c>
      <c r="E337" s="1" t="s">
        <v>266</v>
      </c>
      <c r="F337" s="1" t="s">
        <v>267</v>
      </c>
      <c r="G337" s="1" t="s">
        <v>68</v>
      </c>
      <c r="H337" s="1" t="s">
        <v>49</v>
      </c>
      <c r="I337" s="1">
        <v>1</v>
      </c>
      <c r="J337" s="1">
        <v>1</v>
      </c>
      <c r="K337" s="1" t="s">
        <v>273</v>
      </c>
      <c r="L337" s="1" t="s">
        <v>19</v>
      </c>
      <c r="M337" s="1" t="str">
        <f t="shared" si="5"/>
        <v xml:space="preserve">1982|30125| 17:15 |Group 1|Estadio Municipal de Balaï¿½dos|Vigo |Spain|Italy|1|1|Cameroon| </v>
      </c>
    </row>
    <row r="338" spans="1:13" hidden="1" x14ac:dyDescent="0.2">
      <c r="A338" s="1">
        <v>1982</v>
      </c>
      <c r="B338" s="2" t="d">
        <v>1982-06-23</v>
      </c>
      <c r="C338" s="1" t="s">
        <v>268</v>
      </c>
      <c r="D338" s="1" t="s">
        <v>29</v>
      </c>
      <c r="E338" s="1" t="s">
        <v>296</v>
      </c>
      <c r="F338" s="1" t="s">
        <v>297</v>
      </c>
      <c r="G338" s="1" t="s">
        <v>68</v>
      </c>
      <c r="H338" s="1" t="s">
        <v>33</v>
      </c>
      <c r="I338" s="1">
        <v>2</v>
      </c>
      <c r="J338" s="1">
        <v>0</v>
      </c>
      <c r="K338" s="1" t="s">
        <v>217</v>
      </c>
      <c r="L338" s="1" t="s">
        <v>19</v>
      </c>
      <c r="M338" s="1" t="str">
        <f t="shared" si="5"/>
        <v xml:space="preserve">1982|30125| 21:00 |Group 3|Jose Rico Perez|Alicante |Spain|Argentina|2|0|El Salvador| </v>
      </c>
    </row>
    <row r="339" spans="1:13" hidden="1" x14ac:dyDescent="0.2">
      <c r="A339" s="1">
        <v>1982</v>
      </c>
      <c r="B339" s="2" t="d">
        <v>1982-06-23</v>
      </c>
      <c r="C339" s="1" t="s">
        <v>268</v>
      </c>
      <c r="D339" s="1" t="s">
        <v>123</v>
      </c>
      <c r="E339" s="1" t="s">
        <v>298</v>
      </c>
      <c r="F339" s="1" t="s">
        <v>270</v>
      </c>
      <c r="G339" s="1" t="s">
        <v>68</v>
      </c>
      <c r="H339" s="1" t="s">
        <v>27</v>
      </c>
      <c r="I339" s="1">
        <v>4</v>
      </c>
      <c r="J339" s="1">
        <v>0</v>
      </c>
      <c r="K339" s="1" t="s">
        <v>278</v>
      </c>
      <c r="L339" s="1" t="s">
        <v>19</v>
      </c>
      <c r="M339" s="1" t="str">
        <f t="shared" si="5"/>
        <v xml:space="preserve">1982|30125| 21:00 |Group 6|Benito Villamarin|Seville |Spain|Brazil|4|0|New Zealand| </v>
      </c>
    </row>
    <row r="340" spans="1:13" hidden="1" x14ac:dyDescent="0.2">
      <c r="A340" s="1">
        <v>1982</v>
      </c>
      <c r="B340" s="2" t="d">
        <v>1982-06-24</v>
      </c>
      <c r="C340" s="1" t="s">
        <v>265</v>
      </c>
      <c r="D340" s="1" t="s">
        <v>25</v>
      </c>
      <c r="E340" s="1" t="s">
        <v>288</v>
      </c>
      <c r="F340" s="1" t="s">
        <v>289</v>
      </c>
      <c r="G340" s="1" t="s">
        <v>68</v>
      </c>
      <c r="H340" s="1" t="s">
        <v>281</v>
      </c>
      <c r="I340" s="1">
        <v>3</v>
      </c>
      <c r="J340" s="1">
        <v>2</v>
      </c>
      <c r="K340" s="1" t="s">
        <v>35</v>
      </c>
      <c r="L340" s="1" t="s">
        <v>19</v>
      </c>
      <c r="M340" s="1" t="str">
        <f t="shared" si="5"/>
        <v xml:space="preserve">1982|30126| 17:15 |Group 2|Carlos Tartiere|Oviedo |Spain|Algeria|3|2|Chile| </v>
      </c>
    </row>
    <row r="341" spans="1:13" hidden="1" x14ac:dyDescent="0.2">
      <c r="A341" s="1">
        <v>1982</v>
      </c>
      <c r="B341" s="2" t="d">
        <v>1982-06-24</v>
      </c>
      <c r="C341" s="1" t="s">
        <v>265</v>
      </c>
      <c r="D341" s="1" t="s">
        <v>20</v>
      </c>
      <c r="E341" s="1" t="s">
        <v>291</v>
      </c>
      <c r="F341" s="1" t="s">
        <v>292</v>
      </c>
      <c r="G341" s="1" t="s">
        <v>68</v>
      </c>
      <c r="H341" s="1" t="s">
        <v>17</v>
      </c>
      <c r="I341" s="1">
        <v>1</v>
      </c>
      <c r="J341" s="1">
        <v>1</v>
      </c>
      <c r="K341" s="1" t="s">
        <v>73</v>
      </c>
      <c r="L341" s="1" t="s">
        <v>19</v>
      </c>
      <c r="M341" s="1" t="str">
        <f t="shared" si="5"/>
        <v xml:space="preserve">1982|30126| 17:15 |Group 4|Jose Zorrilla|Valladolid |Spain|France|1|1|Czechoslovakia| </v>
      </c>
    </row>
    <row r="342" spans="1:13" hidden="1" x14ac:dyDescent="0.2">
      <c r="A342" s="1">
        <v>1982</v>
      </c>
      <c r="B342" s="2" t="d">
        <v>1982-06-24</v>
      </c>
      <c r="C342" s="1" t="s">
        <v>268</v>
      </c>
      <c r="D342" s="1" t="s">
        <v>284</v>
      </c>
      <c r="E342" s="1" t="s">
        <v>294</v>
      </c>
      <c r="F342" s="1" t="s">
        <v>295</v>
      </c>
      <c r="G342" s="1" t="s">
        <v>68</v>
      </c>
      <c r="H342" s="1" t="s">
        <v>287</v>
      </c>
      <c r="I342" s="1">
        <v>0</v>
      </c>
      <c r="J342" s="1">
        <v>1</v>
      </c>
      <c r="K342" s="1" t="s">
        <v>26</v>
      </c>
      <c r="L342" s="1" t="s">
        <v>19</v>
      </c>
      <c r="M342" s="1" t="str">
        <f t="shared" si="5"/>
        <v xml:space="preserve">1982|30126| 21:00 |Group 5|La Romareda|Zaragoza |Spain|Honduras|0|1|Yugoslavia| </v>
      </c>
    </row>
    <row r="343" spans="1:13" x14ac:dyDescent="0.2">
      <c r="A343" s="1">
        <v>1982</v>
      </c>
      <c r="B343" s="2" t="d">
        <v>1982-06-25</v>
      </c>
      <c r="C343" s="1" t="s">
        <v>265</v>
      </c>
      <c r="D343" s="1" t="s">
        <v>25</v>
      </c>
      <c r="E343" s="1" t="s">
        <v>279</v>
      </c>
      <c r="F343" s="1" t="s">
        <v>280</v>
      </c>
      <c r="G343" s="1" t="s">
        <v>68</v>
      </c>
      <c r="H343" s="1" t="s">
        <v>133</v>
      </c>
      <c r="I343" s="1">
        <v>1</v>
      </c>
      <c r="J343" s="1">
        <v>0</v>
      </c>
      <c r="K343" s="1" t="s">
        <v>50</v>
      </c>
      <c r="L343" s="1" t="s">
        <v>19</v>
      </c>
      <c r="M343" s="1" t="str">
        <f t="shared" si="5"/>
        <v xml:space="preserve">1982|30127| 17:15 |Group 2|El Molinon|Gijon |Spain|Germany FR|1|0|Austria| </v>
      </c>
    </row>
    <row r="344" spans="1:13" hidden="1" x14ac:dyDescent="0.2">
      <c r="A344" s="1">
        <v>1982</v>
      </c>
      <c r="B344" s="2" t="d">
        <v>1982-06-25</v>
      </c>
      <c r="C344" s="1" t="s">
        <v>265</v>
      </c>
      <c r="D344" s="1" t="s">
        <v>20</v>
      </c>
      <c r="E344" s="1" t="s">
        <v>282</v>
      </c>
      <c r="F344" s="1" t="s">
        <v>283</v>
      </c>
      <c r="G344" s="1" t="s">
        <v>68</v>
      </c>
      <c r="H344" s="1" t="s">
        <v>110</v>
      </c>
      <c r="I344" s="1">
        <v>1</v>
      </c>
      <c r="J344" s="1">
        <v>0</v>
      </c>
      <c r="K344" s="1" t="s">
        <v>293</v>
      </c>
      <c r="L344" s="1" t="s">
        <v>19</v>
      </c>
      <c r="M344" s="1" t="str">
        <f t="shared" si="5"/>
        <v xml:space="preserve">1982|30127| 17:15 |Group 4|San Mames|Bilbao |Spain|England|1|0|Kuwait| </v>
      </c>
    </row>
    <row r="345" spans="1:13" hidden="1" x14ac:dyDescent="0.2">
      <c r="A345" s="1">
        <v>1982</v>
      </c>
      <c r="B345" s="2" t="d">
        <v>1982-06-25</v>
      </c>
      <c r="C345" s="1" t="s">
        <v>268</v>
      </c>
      <c r="D345" s="1" t="s">
        <v>284</v>
      </c>
      <c r="E345" s="1" t="s">
        <v>285</v>
      </c>
      <c r="F345" s="1" t="s">
        <v>286</v>
      </c>
      <c r="G345" s="1" t="s">
        <v>68</v>
      </c>
      <c r="H345" s="1" t="s">
        <v>165</v>
      </c>
      <c r="I345" s="1">
        <v>1</v>
      </c>
      <c r="J345" s="1">
        <v>0</v>
      </c>
      <c r="K345" s="1" t="s">
        <v>68</v>
      </c>
      <c r="L345" s="1" t="s">
        <v>19</v>
      </c>
      <c r="M345" s="1" t="str">
        <f t="shared" si="5"/>
        <v xml:space="preserve">1982|30127| 21:00 |Group 5|Luis Casanova|Valencia |Spain|Northern Ireland|1|0|Spain| </v>
      </c>
    </row>
    <row r="346" spans="1:13" hidden="1" x14ac:dyDescent="0.2">
      <c r="A346" s="1">
        <v>1982</v>
      </c>
      <c r="B346" s="2" t="d">
        <v>1982-06-28</v>
      </c>
      <c r="C346" s="1" t="s">
        <v>265</v>
      </c>
      <c r="D346" s="1" t="s">
        <v>20</v>
      </c>
      <c r="E346" s="1" t="s">
        <v>299</v>
      </c>
      <c r="F346" s="1" t="s">
        <v>300</v>
      </c>
      <c r="G346" s="1" t="s">
        <v>68</v>
      </c>
      <c r="H346" s="1" t="s">
        <v>50</v>
      </c>
      <c r="I346" s="1">
        <v>0</v>
      </c>
      <c r="J346" s="1">
        <v>1</v>
      </c>
      <c r="K346" s="1" t="s">
        <v>17</v>
      </c>
      <c r="L346" s="1" t="s">
        <v>19</v>
      </c>
      <c r="M346" s="1" t="str">
        <f t="shared" si="5"/>
        <v xml:space="preserve">1982|30130| 17:15 |Group 4|Vicente Calderon|Madrid |Spain|Austria|0|1|France| </v>
      </c>
    </row>
    <row r="347" spans="1:13" hidden="1" x14ac:dyDescent="0.2">
      <c r="A347" s="1">
        <v>1982</v>
      </c>
      <c r="B347" s="2" t="d">
        <v>1982-06-28</v>
      </c>
      <c r="C347" s="1" t="s">
        <v>268</v>
      </c>
      <c r="D347" s="1" t="s">
        <v>13</v>
      </c>
      <c r="E347" s="1" t="s">
        <v>263</v>
      </c>
      <c r="F347" s="1" t="s">
        <v>264</v>
      </c>
      <c r="G347" s="1" t="s">
        <v>68</v>
      </c>
      <c r="H347" s="1" t="s">
        <v>96</v>
      </c>
      <c r="I347" s="1">
        <v>3</v>
      </c>
      <c r="J347" s="1">
        <v>0</v>
      </c>
      <c r="K347" s="1" t="s">
        <v>23</v>
      </c>
      <c r="L347" s="1" t="s">
        <v>19</v>
      </c>
      <c r="M347" s="1" t="str">
        <f t="shared" si="5"/>
        <v xml:space="preserve">1982|30130| 21:00 |Group 1|Camp Nou|Barcelona |Spain|Poland|3|0|Belgium| </v>
      </c>
    </row>
    <row r="348" spans="1:13" hidden="1" x14ac:dyDescent="0.2">
      <c r="A348" s="1">
        <v>1982</v>
      </c>
      <c r="B348" s="2" t="d">
        <v>1982-06-29</v>
      </c>
      <c r="C348" s="1" t="s">
        <v>265</v>
      </c>
      <c r="D348" s="1" t="s">
        <v>29</v>
      </c>
      <c r="E348" s="1" t="s">
        <v>301</v>
      </c>
      <c r="F348" s="1" t="s">
        <v>264</v>
      </c>
      <c r="G348" s="1" t="s">
        <v>68</v>
      </c>
      <c r="H348" s="1" t="s">
        <v>49</v>
      </c>
      <c r="I348" s="1">
        <v>2</v>
      </c>
      <c r="J348" s="1">
        <v>1</v>
      </c>
      <c r="K348" s="1" t="s">
        <v>33</v>
      </c>
      <c r="L348" s="1" t="s">
        <v>19</v>
      </c>
      <c r="M348" s="1" t="str">
        <f t="shared" si="5"/>
        <v xml:space="preserve">1982|30131| 17:15 |Group 3|Sarria|Barcelona |Spain|Italy|2|1|Argentina| </v>
      </c>
    </row>
    <row r="349" spans="1:13" x14ac:dyDescent="0.2">
      <c r="A349" s="1">
        <v>1982</v>
      </c>
      <c r="B349" s="2" t="d">
        <v>1982-06-29</v>
      </c>
      <c r="C349" s="1" t="s">
        <v>268</v>
      </c>
      <c r="D349" s="1" t="s">
        <v>25</v>
      </c>
      <c r="E349" s="1" t="s">
        <v>302</v>
      </c>
      <c r="F349" s="1" t="s">
        <v>300</v>
      </c>
      <c r="G349" s="1" t="s">
        <v>68</v>
      </c>
      <c r="H349" s="1" t="s">
        <v>133</v>
      </c>
      <c r="I349" s="1">
        <v>0</v>
      </c>
      <c r="J349" s="1">
        <v>0</v>
      </c>
      <c r="K349" s="1" t="s">
        <v>110</v>
      </c>
      <c r="L349" s="1" t="s">
        <v>19</v>
      </c>
      <c r="M349" s="1" t="str">
        <f t="shared" si="5"/>
        <v xml:space="preserve">1982|30131| 21:00 |Group 2|Santiago Bernabeu|Madrid |Spain|Germany FR|0|0|England| </v>
      </c>
    </row>
    <row r="350" spans="1:13" hidden="1" x14ac:dyDescent="0.2">
      <c r="A350" s="1">
        <v>1982</v>
      </c>
      <c r="B350" s="2" t="d">
        <v>1982-07-01</v>
      </c>
      <c r="C350" s="1" t="s">
        <v>265</v>
      </c>
      <c r="D350" s="1" t="s">
        <v>20</v>
      </c>
      <c r="E350" s="1" t="s">
        <v>299</v>
      </c>
      <c r="F350" s="1" t="s">
        <v>300</v>
      </c>
      <c r="G350" s="1" t="s">
        <v>68</v>
      </c>
      <c r="H350" s="1" t="s">
        <v>50</v>
      </c>
      <c r="I350" s="1">
        <v>2</v>
      </c>
      <c r="J350" s="1">
        <v>2</v>
      </c>
      <c r="K350" s="1" t="s">
        <v>165</v>
      </c>
      <c r="L350" s="1" t="s">
        <v>19</v>
      </c>
      <c r="M350" s="1" t="str">
        <f t="shared" si="5"/>
        <v xml:space="preserve">1982|30133| 17:15 |Group 4|Vicente Calderon|Madrid |Spain|Austria|2|2|Northern Ireland| </v>
      </c>
    </row>
    <row r="351" spans="1:13" hidden="1" x14ac:dyDescent="0.2">
      <c r="A351" s="1">
        <v>1982</v>
      </c>
      <c r="B351" s="2" t="d">
        <v>1982-07-01</v>
      </c>
      <c r="C351" s="1" t="s">
        <v>268</v>
      </c>
      <c r="D351" s="1" t="s">
        <v>13</v>
      </c>
      <c r="E351" s="1" t="s">
        <v>263</v>
      </c>
      <c r="F351" s="1" t="s">
        <v>264</v>
      </c>
      <c r="G351" s="1" t="s">
        <v>68</v>
      </c>
      <c r="H351" s="1" t="s">
        <v>23</v>
      </c>
      <c r="I351" s="1">
        <v>0</v>
      </c>
      <c r="J351" s="1">
        <v>1</v>
      </c>
      <c r="K351" s="1" t="s">
        <v>151</v>
      </c>
      <c r="L351" s="1" t="s">
        <v>19</v>
      </c>
      <c r="M351" s="1" t="str">
        <f t="shared" si="5"/>
        <v xml:space="preserve">1982|30133| 21:00 |Group 1|Camp Nou|Barcelona |Spain|Belgium|0|1|Soviet Union| </v>
      </c>
    </row>
    <row r="352" spans="1:13" hidden="1" x14ac:dyDescent="0.2">
      <c r="A352" s="1">
        <v>1982</v>
      </c>
      <c r="B352" s="2" t="d">
        <v>1982-07-02</v>
      </c>
      <c r="C352" s="1" t="s">
        <v>265</v>
      </c>
      <c r="D352" s="1" t="s">
        <v>29</v>
      </c>
      <c r="E352" s="1" t="s">
        <v>301</v>
      </c>
      <c r="F352" s="1" t="s">
        <v>264</v>
      </c>
      <c r="G352" s="1" t="s">
        <v>68</v>
      </c>
      <c r="H352" s="1" t="s">
        <v>33</v>
      </c>
      <c r="I352" s="1">
        <v>1</v>
      </c>
      <c r="J352" s="1">
        <v>3</v>
      </c>
      <c r="K352" s="1" t="s">
        <v>27</v>
      </c>
      <c r="L352" s="1" t="s">
        <v>19</v>
      </c>
      <c r="M352" s="1" t="str">
        <f t="shared" si="5"/>
        <v xml:space="preserve">1982|30134| 17:15 |Group 3|Sarria|Barcelona |Spain|Argentina|1|3|Brazil| </v>
      </c>
    </row>
    <row r="353" spans="1:13" x14ac:dyDescent="0.2">
      <c r="A353" s="1">
        <v>1982</v>
      </c>
      <c r="B353" s="2" t="d">
        <v>1982-07-02</v>
      </c>
      <c r="C353" s="1" t="s">
        <v>268</v>
      </c>
      <c r="D353" s="1" t="s">
        <v>25</v>
      </c>
      <c r="E353" s="1" t="s">
        <v>302</v>
      </c>
      <c r="F353" s="1" t="s">
        <v>300</v>
      </c>
      <c r="G353" s="1" t="s">
        <v>68</v>
      </c>
      <c r="H353" s="1" t="s">
        <v>133</v>
      </c>
      <c r="I353" s="1">
        <v>2</v>
      </c>
      <c r="J353" s="1">
        <v>1</v>
      </c>
      <c r="K353" s="1" t="s">
        <v>68</v>
      </c>
      <c r="L353" s="1" t="s">
        <v>19</v>
      </c>
      <c r="M353" s="1" t="str">
        <f t="shared" si="5"/>
        <v xml:space="preserve">1982|30134| 21:00 |Group 2|Santiago Bernabeu|Madrid |Spain|Germany FR|2|1|Spain| </v>
      </c>
    </row>
    <row r="354" spans="1:13" hidden="1" x14ac:dyDescent="0.2">
      <c r="A354" s="1">
        <v>1982</v>
      </c>
      <c r="B354" s="2" t="d">
        <v>1982-07-04</v>
      </c>
      <c r="C354" s="1" t="s">
        <v>265</v>
      </c>
      <c r="D354" s="1" t="s">
        <v>20</v>
      </c>
      <c r="E354" s="1" t="s">
        <v>299</v>
      </c>
      <c r="F354" s="1" t="s">
        <v>300</v>
      </c>
      <c r="G354" s="1" t="s">
        <v>68</v>
      </c>
      <c r="H354" s="1" t="s">
        <v>17</v>
      </c>
      <c r="I354" s="1">
        <v>4</v>
      </c>
      <c r="J354" s="1">
        <v>1</v>
      </c>
      <c r="K354" s="1" t="s">
        <v>165</v>
      </c>
      <c r="L354" s="1" t="s">
        <v>19</v>
      </c>
      <c r="M354" s="1" t="str">
        <f t="shared" si="5"/>
        <v xml:space="preserve">1982|30136| 17:15 |Group 4|Vicente Calderon|Madrid |Spain|France|4|1|Northern Ireland| </v>
      </c>
    </row>
    <row r="355" spans="1:13" hidden="1" x14ac:dyDescent="0.2">
      <c r="A355" s="1">
        <v>1982</v>
      </c>
      <c r="B355" s="2" t="d">
        <v>1982-07-04</v>
      </c>
      <c r="C355" s="1" t="s">
        <v>268</v>
      </c>
      <c r="D355" s="1" t="s">
        <v>13</v>
      </c>
      <c r="E355" s="1" t="s">
        <v>263</v>
      </c>
      <c r="F355" s="1" t="s">
        <v>264</v>
      </c>
      <c r="G355" s="1" t="s">
        <v>68</v>
      </c>
      <c r="H355" s="1" t="s">
        <v>96</v>
      </c>
      <c r="I355" s="1">
        <v>0</v>
      </c>
      <c r="J355" s="1">
        <v>0</v>
      </c>
      <c r="K355" s="1" t="s">
        <v>151</v>
      </c>
      <c r="L355" s="1" t="s">
        <v>19</v>
      </c>
      <c r="M355" s="1" t="str">
        <f t="shared" si="5"/>
        <v xml:space="preserve">1982|30136| 21:00 |Group 1|Camp Nou|Barcelona |Spain|Poland|0|0|Soviet Union| </v>
      </c>
    </row>
    <row r="356" spans="1:13" hidden="1" x14ac:dyDescent="0.2">
      <c r="A356" s="1">
        <v>1982</v>
      </c>
      <c r="B356" s="2" t="d">
        <v>1982-07-05</v>
      </c>
      <c r="C356" s="1" t="s">
        <v>265</v>
      </c>
      <c r="D356" s="1" t="s">
        <v>29</v>
      </c>
      <c r="E356" s="1" t="s">
        <v>301</v>
      </c>
      <c r="F356" s="1" t="s">
        <v>264</v>
      </c>
      <c r="G356" s="1" t="s">
        <v>68</v>
      </c>
      <c r="H356" s="1" t="s">
        <v>49</v>
      </c>
      <c r="I356" s="1">
        <v>3</v>
      </c>
      <c r="J356" s="1">
        <v>2</v>
      </c>
      <c r="K356" s="1" t="s">
        <v>27</v>
      </c>
      <c r="L356" s="1" t="s">
        <v>19</v>
      </c>
      <c r="M356" s="1" t="str">
        <f t="shared" si="5"/>
        <v xml:space="preserve">1982|30137| 17:15 |Group 3|Sarria|Barcelona |Spain|Italy|3|2|Brazil| </v>
      </c>
    </row>
    <row r="357" spans="1:13" hidden="1" x14ac:dyDescent="0.2">
      <c r="A357" s="1">
        <v>1982</v>
      </c>
      <c r="B357" s="2" t="d">
        <v>1982-07-05</v>
      </c>
      <c r="C357" s="1" t="s">
        <v>268</v>
      </c>
      <c r="D357" s="1" t="s">
        <v>25</v>
      </c>
      <c r="E357" s="1" t="s">
        <v>302</v>
      </c>
      <c r="F357" s="1" t="s">
        <v>300</v>
      </c>
      <c r="G357" s="1" t="s">
        <v>68</v>
      </c>
      <c r="H357" s="1" t="s">
        <v>68</v>
      </c>
      <c r="I357" s="1">
        <v>0</v>
      </c>
      <c r="J357" s="1">
        <v>0</v>
      </c>
      <c r="K357" s="1" t="s">
        <v>110</v>
      </c>
      <c r="L357" s="1" t="s">
        <v>19</v>
      </c>
      <c r="M357" s="1" t="str">
        <f t="shared" si="5"/>
        <v xml:space="preserve">1982|30137| 21:00 |Group 2|Santiago Bernabeu|Madrid |Spain|Spain|0|0|England| </v>
      </c>
    </row>
    <row r="358" spans="1:13" hidden="1" x14ac:dyDescent="0.2">
      <c r="A358" s="1">
        <v>1982</v>
      </c>
      <c r="B358" s="2" t="d">
        <v>1982-07-08</v>
      </c>
      <c r="C358" s="1" t="s">
        <v>265</v>
      </c>
      <c r="D358" s="12" t="s">
        <v>42</v>
      </c>
      <c r="E358" s="1" t="s">
        <v>263</v>
      </c>
      <c r="F358" s="1" t="s">
        <v>264</v>
      </c>
      <c r="G358" s="1" t="s">
        <v>68</v>
      </c>
      <c r="H358" s="1" t="s">
        <v>96</v>
      </c>
      <c r="I358" s="1">
        <v>0</v>
      </c>
      <c r="J358" s="1">
        <v>2</v>
      </c>
      <c r="K358" s="1" t="s">
        <v>49</v>
      </c>
      <c r="L358" s="1" t="s">
        <v>19</v>
      </c>
      <c r="M358" s="1" t="str">
        <f t="shared" si="5"/>
        <v xml:space="preserve">1982|30140| 17:15 |Semi-finals|Camp Nou|Barcelona |Spain|Poland|0|2|Italy| </v>
      </c>
    </row>
    <row r="359" spans="1:13" x14ac:dyDescent="0.2">
      <c r="A359" s="1">
        <v>1982</v>
      </c>
      <c r="B359" s="2" t="d">
        <v>1982-07-08</v>
      </c>
      <c r="C359" s="1" t="s">
        <v>268</v>
      </c>
      <c r="D359" s="12" t="s">
        <v>42</v>
      </c>
      <c r="E359" s="1" t="s">
        <v>269</v>
      </c>
      <c r="F359" s="1" t="s">
        <v>270</v>
      </c>
      <c r="G359" s="1" t="s">
        <v>68</v>
      </c>
      <c r="H359" s="1" t="s">
        <v>133</v>
      </c>
      <c r="I359" s="1">
        <v>3</v>
      </c>
      <c r="J359" s="1">
        <v>3</v>
      </c>
      <c r="K359" s="1" t="s">
        <v>17</v>
      </c>
      <c r="L359" s="1" t="s">
        <v>303</v>
      </c>
      <c r="M359" s="1" t="str">
        <f t="shared" si="5"/>
        <v xml:space="preserve">1982|30140| 21:00 |Semi-finals|Ramon Sanchez Pizjuan|Seville |Spain|Germany FR|3|3|France| win on penalties (5 - 4) </v>
      </c>
    </row>
    <row r="360" spans="1:13" hidden="1" x14ac:dyDescent="0.2">
      <c r="A360" s="1">
        <v>1982</v>
      </c>
      <c r="B360" s="2" t="d">
        <v>1982-07-10</v>
      </c>
      <c r="C360" s="1" t="s">
        <v>262</v>
      </c>
      <c r="D360" s="12" t="s">
        <v>76</v>
      </c>
      <c r="E360" s="1" t="s">
        <v>296</v>
      </c>
      <c r="F360" s="1" t="s">
        <v>297</v>
      </c>
      <c r="G360" s="1" t="s">
        <v>68</v>
      </c>
      <c r="H360" s="1" t="s">
        <v>96</v>
      </c>
      <c r="I360" s="1">
        <v>3</v>
      </c>
      <c r="J360" s="1">
        <v>2</v>
      </c>
      <c r="K360" s="1" t="s">
        <v>17</v>
      </c>
      <c r="L360" s="1" t="s">
        <v>19</v>
      </c>
      <c r="M360" s="1" t="str">
        <f t="shared" si="5"/>
        <v xml:space="preserve">1982|30142| 20:00 |Match for third place|Jose Rico Perez|Alicante |Spain|Poland|3|2|France| </v>
      </c>
    </row>
    <row r="361" spans="1:13" hidden="1" x14ac:dyDescent="0.2">
      <c r="A361" s="1">
        <v>1982</v>
      </c>
      <c r="B361" s="2" t="d">
        <v>1982-07-11</v>
      </c>
      <c r="C361" s="1" t="s">
        <v>262</v>
      </c>
      <c r="D361" s="12" t="s">
        <v>44</v>
      </c>
      <c r="E361" s="1" t="s">
        <v>302</v>
      </c>
      <c r="F361" s="1" t="s">
        <v>300</v>
      </c>
      <c r="G361" s="1" t="s">
        <v>68</v>
      </c>
      <c r="H361" s="1" t="s">
        <v>49</v>
      </c>
      <c r="I361" s="1">
        <v>3</v>
      </c>
      <c r="J361" s="1">
        <v>1</v>
      </c>
      <c r="K361" s="1" t="s">
        <v>133</v>
      </c>
      <c r="L361" s="1" t="s">
        <v>19</v>
      </c>
      <c r="M361" s="1" t="str">
        <f t="shared" si="5"/>
        <v xml:space="preserve">1982|30143| 20:00 |Final|Santiago Bernabeu|Madrid |Spain|Italy|3|1|Germany FR| </v>
      </c>
    </row>
    <row r="362" spans="1:13" hidden="1" x14ac:dyDescent="0.2">
      <c r="A362" s="1">
        <v>1986</v>
      </c>
      <c r="B362" s="2" t="d">
        <v>1986-05-31</v>
      </c>
      <c r="C362" s="1" t="s">
        <v>204</v>
      </c>
      <c r="D362" s="1" t="s">
        <v>242</v>
      </c>
      <c r="E362" s="1" t="s">
        <v>205</v>
      </c>
      <c r="F362" s="1" t="s">
        <v>206</v>
      </c>
      <c r="G362" s="1" t="s">
        <v>18</v>
      </c>
      <c r="H362" s="1" t="s">
        <v>182</v>
      </c>
      <c r="I362" s="1">
        <v>1</v>
      </c>
      <c r="J362" s="1">
        <v>1</v>
      </c>
      <c r="K362" s="1" t="s">
        <v>49</v>
      </c>
      <c r="L362" s="1" t="s">
        <v>19</v>
      </c>
      <c r="M362" s="1" t="str">
        <f t="shared" si="5"/>
        <v xml:space="preserve">1986|31563| 12:00 |Group A|Estadio Azteca|Mexico City |Mexico|Bulgaria|1|1|Italy| </v>
      </c>
    </row>
    <row r="363" spans="1:13" hidden="1" x14ac:dyDescent="0.2">
      <c r="A363" s="1">
        <v>1986</v>
      </c>
      <c r="B363" s="2" t="d">
        <v>1986-06-01</v>
      </c>
      <c r="C363" s="1" t="s">
        <v>32</v>
      </c>
      <c r="D363" s="1" t="s">
        <v>304</v>
      </c>
      <c r="E363" s="1" t="s">
        <v>210</v>
      </c>
      <c r="F363" s="1" t="s">
        <v>211</v>
      </c>
      <c r="G363" s="1" t="s">
        <v>18</v>
      </c>
      <c r="H363" s="1" t="s">
        <v>305</v>
      </c>
      <c r="I363" s="1">
        <v>0</v>
      </c>
      <c r="J363" s="1">
        <v>1</v>
      </c>
      <c r="K363" s="1" t="s">
        <v>17</v>
      </c>
      <c r="L363" s="1" t="s">
        <v>19</v>
      </c>
      <c r="M363" s="1" t="str">
        <f t="shared" si="5"/>
        <v xml:space="preserve">1986|31564| 16:00 |Group C|Nou Camp - Estadio Leï¿½n|Leon |Mexico|Canada|0|1|France| </v>
      </c>
    </row>
    <row r="364" spans="1:13" hidden="1" x14ac:dyDescent="0.2">
      <c r="A364" s="1">
        <v>1986</v>
      </c>
      <c r="B364" s="2" t="d">
        <v>1986-06-01</v>
      </c>
      <c r="C364" s="1" t="s">
        <v>204</v>
      </c>
      <c r="D364" s="1" t="s">
        <v>306</v>
      </c>
      <c r="E364" s="1" t="s">
        <v>212</v>
      </c>
      <c r="F364" s="1" t="s">
        <v>213</v>
      </c>
      <c r="G364" s="1" t="s">
        <v>18</v>
      </c>
      <c r="H364" s="1" t="s">
        <v>68</v>
      </c>
      <c r="I364" s="1">
        <v>0</v>
      </c>
      <c r="J364" s="1">
        <v>1</v>
      </c>
      <c r="K364" s="1" t="s">
        <v>27</v>
      </c>
      <c r="L364" s="1" t="s">
        <v>19</v>
      </c>
      <c r="M364" s="1" t="str">
        <f t="shared" si="5"/>
        <v xml:space="preserve">1986|31564| 12:00 |Group D|Jalisco|Guadalajara |Mexico|Spain|0|1|Brazil| </v>
      </c>
    </row>
    <row r="365" spans="1:13" hidden="1" x14ac:dyDescent="0.2">
      <c r="A365" s="1">
        <v>1986</v>
      </c>
      <c r="B365" s="2" t="d">
        <v>1986-06-02</v>
      </c>
      <c r="C365" s="1" t="s">
        <v>204</v>
      </c>
      <c r="D365" s="1" t="s">
        <v>304</v>
      </c>
      <c r="E365" s="1" t="s">
        <v>307</v>
      </c>
      <c r="F365" s="1" t="s">
        <v>308</v>
      </c>
      <c r="G365" s="1" t="s">
        <v>18</v>
      </c>
      <c r="H365" s="1" t="s">
        <v>151</v>
      </c>
      <c r="I365" s="1">
        <v>6</v>
      </c>
      <c r="J365" s="1">
        <v>0</v>
      </c>
      <c r="K365" s="1" t="s">
        <v>54</v>
      </c>
      <c r="L365" s="1" t="s">
        <v>19</v>
      </c>
      <c r="M365" s="1" t="str">
        <f t="shared" si="5"/>
        <v xml:space="preserve">1986|31565| 12:00 |Group C|Estadio Irapuato|Irapuato |Mexico|Soviet Union|6|0|Hungary| </v>
      </c>
    </row>
    <row r="366" spans="1:13" hidden="1" x14ac:dyDescent="0.2">
      <c r="A366" s="1">
        <v>1986</v>
      </c>
      <c r="B366" s="2" t="d">
        <v>1986-06-02</v>
      </c>
      <c r="C366" s="1" t="s">
        <v>204</v>
      </c>
      <c r="D366" s="1" t="s">
        <v>242</v>
      </c>
      <c r="E366" s="1" t="s">
        <v>309</v>
      </c>
      <c r="F366" s="1" t="s">
        <v>206</v>
      </c>
      <c r="G366" s="1" t="s">
        <v>18</v>
      </c>
      <c r="H366" s="1" t="s">
        <v>33</v>
      </c>
      <c r="I366" s="1">
        <v>3</v>
      </c>
      <c r="J366" s="1">
        <v>1</v>
      </c>
      <c r="K366" s="1" t="s">
        <v>135</v>
      </c>
      <c r="L366" s="1" t="s">
        <v>19</v>
      </c>
      <c r="M366" s="1" t="str">
        <f t="shared" si="5"/>
        <v xml:space="preserve">1986|31565| 12:00 |Group A|Estadio Olï¿½mpico Universitario|Mexico City |Mexico|Argentina|3|1|Korea Republic| </v>
      </c>
    </row>
    <row r="367" spans="1:13" hidden="1" x14ac:dyDescent="0.2">
      <c r="A367" s="1">
        <v>1986</v>
      </c>
      <c r="B367" s="2" t="d">
        <v>1986-06-02</v>
      </c>
      <c r="C367" s="1" t="s">
        <v>32</v>
      </c>
      <c r="D367" s="1" t="s">
        <v>310</v>
      </c>
      <c r="E367" s="1" t="s">
        <v>311</v>
      </c>
      <c r="F367" s="1" t="s">
        <v>312</v>
      </c>
      <c r="G367" s="1" t="s">
        <v>18</v>
      </c>
      <c r="H367" s="1" t="s">
        <v>216</v>
      </c>
      <c r="I367" s="1">
        <v>0</v>
      </c>
      <c r="J367" s="1">
        <v>0</v>
      </c>
      <c r="K367" s="1" t="s">
        <v>96</v>
      </c>
      <c r="L367" s="1" t="s">
        <v>19</v>
      </c>
      <c r="M367" s="1" t="str">
        <f t="shared" si="5"/>
        <v xml:space="preserve">1986|31565| 16:00 |Group F|Estadio Universitario|Monterrey |Mexico|Morocco|0|0|Poland| </v>
      </c>
    </row>
    <row r="368" spans="1:13" hidden="1" x14ac:dyDescent="0.2">
      <c r="A368" s="1">
        <v>1986</v>
      </c>
      <c r="B368" s="2" t="d">
        <v>1986-06-03</v>
      </c>
      <c r="C368" s="1" t="s">
        <v>204</v>
      </c>
      <c r="D368" s="1" t="s">
        <v>306</v>
      </c>
      <c r="E368" s="1" t="s">
        <v>313</v>
      </c>
      <c r="F368" s="1" t="s">
        <v>213</v>
      </c>
      <c r="G368" s="1" t="s">
        <v>18</v>
      </c>
      <c r="H368" s="1" t="s">
        <v>281</v>
      </c>
      <c r="I368" s="1">
        <v>1</v>
      </c>
      <c r="J368" s="1">
        <v>1</v>
      </c>
      <c r="K368" s="1" t="s">
        <v>165</v>
      </c>
      <c r="L368" s="1" t="s">
        <v>19</v>
      </c>
      <c r="M368" s="1" t="str">
        <f t="shared" si="5"/>
        <v xml:space="preserve">1986|31566| 12:00 |Group D|Tres de Marzo|Guadalajara |Mexico|Algeria|1|1|Northern Ireland| </v>
      </c>
    </row>
    <row r="369" spans="1:13" hidden="1" x14ac:dyDescent="0.2">
      <c r="A369" s="1">
        <v>1986</v>
      </c>
      <c r="B369" s="2" t="d">
        <v>1986-06-03</v>
      </c>
      <c r="C369" s="1" t="s">
        <v>204</v>
      </c>
      <c r="D369" s="1" t="s">
        <v>241</v>
      </c>
      <c r="E369" s="1" t="s">
        <v>205</v>
      </c>
      <c r="F369" s="1" t="s">
        <v>206</v>
      </c>
      <c r="G369" s="1" t="s">
        <v>18</v>
      </c>
      <c r="H369" s="1" t="s">
        <v>23</v>
      </c>
      <c r="I369" s="1">
        <v>1</v>
      </c>
      <c r="J369" s="1">
        <v>2</v>
      </c>
      <c r="K369" s="1" t="s">
        <v>18</v>
      </c>
      <c r="L369" s="1" t="s">
        <v>19</v>
      </c>
      <c r="M369" s="1" t="str">
        <f t="shared" si="5"/>
        <v xml:space="preserve">1986|31566| 12:00 |Group B|Estadio Azteca|Mexico City |Mexico|Belgium|1|2|Mexico| </v>
      </c>
    </row>
    <row r="370" spans="1:13" hidden="1" x14ac:dyDescent="0.2">
      <c r="A370" s="1">
        <v>1986</v>
      </c>
      <c r="B370" s="2" t="d">
        <v>1986-06-03</v>
      </c>
      <c r="C370" s="1" t="s">
        <v>32</v>
      </c>
      <c r="D370" s="1" t="s">
        <v>310</v>
      </c>
      <c r="E370" s="1" t="s">
        <v>314</v>
      </c>
      <c r="F370" s="1" t="s">
        <v>312</v>
      </c>
      <c r="G370" s="1" t="s">
        <v>18</v>
      </c>
      <c r="H370" s="1" t="s">
        <v>197</v>
      </c>
      <c r="I370" s="1">
        <v>1</v>
      </c>
      <c r="J370" s="1">
        <v>0</v>
      </c>
      <c r="K370" s="1" t="s">
        <v>110</v>
      </c>
      <c r="L370" s="1" t="s">
        <v>19</v>
      </c>
      <c r="M370" s="1" t="str">
        <f t="shared" si="5"/>
        <v xml:space="preserve">1986|31566| 16:00 |Group F|Tecnologico|Monterrey |Mexico|Portugal|1|0|England| </v>
      </c>
    </row>
    <row r="371" spans="1:13" hidden="1" x14ac:dyDescent="0.2">
      <c r="A371" s="1">
        <v>1986</v>
      </c>
      <c r="B371" s="2" t="d">
        <v>1986-06-04</v>
      </c>
      <c r="C371" s="1" t="s">
        <v>204</v>
      </c>
      <c r="D371" s="1" t="s">
        <v>241</v>
      </c>
      <c r="E371" s="1" t="s">
        <v>315</v>
      </c>
      <c r="F371" s="1" t="s">
        <v>215</v>
      </c>
      <c r="G371" s="1" t="s">
        <v>18</v>
      </c>
      <c r="H371" s="1" t="s">
        <v>37</v>
      </c>
      <c r="I371" s="1">
        <v>1</v>
      </c>
      <c r="J371" s="1">
        <v>0</v>
      </c>
      <c r="K371" s="1" t="s">
        <v>316</v>
      </c>
      <c r="L371" s="1" t="s">
        <v>19</v>
      </c>
      <c r="M371" s="1" t="str">
        <f t="shared" si="5"/>
        <v xml:space="preserve">1986|31567| 12:00 |Group B|Bombonera - Estadio Nemesio Diez|Toluca |Mexico|Paraguay|1|0|Iraq| </v>
      </c>
    </row>
    <row r="372" spans="1:13" hidden="1" x14ac:dyDescent="0.2">
      <c r="A372" s="1">
        <v>1986</v>
      </c>
      <c r="B372" s="2" t="d">
        <v>1986-06-04</v>
      </c>
      <c r="C372" s="1" t="s">
        <v>32</v>
      </c>
      <c r="D372" s="1" t="s">
        <v>317</v>
      </c>
      <c r="E372" s="1" t="s">
        <v>318</v>
      </c>
      <c r="F372" s="1" t="s">
        <v>319</v>
      </c>
      <c r="G372" s="1" t="s">
        <v>18</v>
      </c>
      <c r="H372" s="1" t="s">
        <v>128</v>
      </c>
      <c r="I372" s="1">
        <v>0</v>
      </c>
      <c r="J372" s="1">
        <v>1</v>
      </c>
      <c r="K372" s="1" t="s">
        <v>320</v>
      </c>
      <c r="L372" s="1" t="s">
        <v>19</v>
      </c>
      <c r="M372" s="1" t="str">
        <f t="shared" si="5"/>
        <v xml:space="preserve">1986|31567| 16:00 |Group E|Neza|Nezahualcoyotl |Mexico|Scotland|0|1|Denmark| </v>
      </c>
    </row>
    <row r="373" spans="1:13" hidden="1" x14ac:dyDescent="0.2">
      <c r="A373" s="1">
        <v>1986</v>
      </c>
      <c r="B373" s="2" t="d">
        <v>1986-06-04</v>
      </c>
      <c r="C373" s="1" t="s">
        <v>204</v>
      </c>
      <c r="D373" s="1" t="s">
        <v>317</v>
      </c>
      <c r="E373" s="1" t="s">
        <v>321</v>
      </c>
      <c r="F373" s="1" t="s">
        <v>322</v>
      </c>
      <c r="G373" s="1" t="s">
        <v>18</v>
      </c>
      <c r="H373" s="1" t="s">
        <v>16</v>
      </c>
      <c r="I373" s="1">
        <v>1</v>
      </c>
      <c r="J373" s="1">
        <v>1</v>
      </c>
      <c r="K373" s="1" t="s">
        <v>133</v>
      </c>
      <c r="L373" s="1" t="s">
        <v>19</v>
      </c>
      <c r="M373" s="1" t="str">
        <f t="shared" si="5"/>
        <v xml:space="preserve">1986|31567| 12:00 |Group E|Estadio Corregidora|Queretaro |Mexico|Uruguay|1|1|Germany FR| </v>
      </c>
    </row>
    <row r="374" spans="1:13" hidden="1" x14ac:dyDescent="0.2">
      <c r="A374" s="1">
        <v>1986</v>
      </c>
      <c r="B374" s="2" t="d">
        <v>1986-06-05</v>
      </c>
      <c r="C374" s="1" t="s">
        <v>204</v>
      </c>
      <c r="D374" s="1" t="s">
        <v>242</v>
      </c>
      <c r="E374" s="1" t="s">
        <v>207</v>
      </c>
      <c r="F374" s="1" t="s">
        <v>208</v>
      </c>
      <c r="G374" s="1" t="s">
        <v>18</v>
      </c>
      <c r="H374" s="1" t="s">
        <v>49</v>
      </c>
      <c r="I374" s="1">
        <v>1</v>
      </c>
      <c r="J374" s="1">
        <v>1</v>
      </c>
      <c r="K374" s="1" t="s">
        <v>33</v>
      </c>
      <c r="L374" s="1" t="s">
        <v>19</v>
      </c>
      <c r="M374" s="1" t="str">
        <f t="shared" si="5"/>
        <v xml:space="preserve">1986|31568| 12:00 |Group A|Cuauhtemoc|Puebla |Mexico|Italy|1|1|Argentina| </v>
      </c>
    </row>
    <row r="375" spans="1:13" hidden="1" x14ac:dyDescent="0.2">
      <c r="A375" s="1">
        <v>1986</v>
      </c>
      <c r="B375" s="2" t="d">
        <v>1986-06-05</v>
      </c>
      <c r="C375" s="1" t="s">
        <v>204</v>
      </c>
      <c r="D375" s="1" t="s">
        <v>304</v>
      </c>
      <c r="E375" s="1" t="s">
        <v>210</v>
      </c>
      <c r="F375" s="1" t="s">
        <v>211</v>
      </c>
      <c r="G375" s="1" t="s">
        <v>18</v>
      </c>
      <c r="H375" s="1" t="s">
        <v>17</v>
      </c>
      <c r="I375" s="1">
        <v>1</v>
      </c>
      <c r="J375" s="1">
        <v>1</v>
      </c>
      <c r="K375" s="1" t="s">
        <v>151</v>
      </c>
      <c r="L375" s="1" t="s">
        <v>19</v>
      </c>
      <c r="M375" s="1" t="str">
        <f t="shared" si="5"/>
        <v xml:space="preserve">1986|31568| 12:00 |Group C|Nou Camp - Estadio Leï¿½n|Leon |Mexico|France|1|1|Soviet Union| </v>
      </c>
    </row>
    <row r="376" spans="1:13" hidden="1" x14ac:dyDescent="0.2">
      <c r="A376" s="1">
        <v>1986</v>
      </c>
      <c r="B376" s="2" t="d">
        <v>1986-06-05</v>
      </c>
      <c r="C376" s="1" t="s">
        <v>32</v>
      </c>
      <c r="D376" s="1" t="s">
        <v>242</v>
      </c>
      <c r="E376" s="1" t="s">
        <v>309</v>
      </c>
      <c r="F376" s="1" t="s">
        <v>206</v>
      </c>
      <c r="G376" s="1" t="s">
        <v>18</v>
      </c>
      <c r="H376" s="1" t="s">
        <v>135</v>
      </c>
      <c r="I376" s="1">
        <v>1</v>
      </c>
      <c r="J376" s="1">
        <v>1</v>
      </c>
      <c r="K376" s="1" t="s">
        <v>182</v>
      </c>
      <c r="L376" s="1" t="s">
        <v>19</v>
      </c>
      <c r="M376" s="1" t="str">
        <f t="shared" si="5"/>
        <v xml:space="preserve">1986|31568| 16:00 |Group A|Estadio Olï¿½mpico Universitario|Mexico City |Mexico|Korea Republic|1|1|Bulgaria| </v>
      </c>
    </row>
    <row r="377" spans="1:13" hidden="1" x14ac:dyDescent="0.2">
      <c r="A377" s="1">
        <v>1986</v>
      </c>
      <c r="B377" s="2" t="d">
        <v>1986-06-06</v>
      </c>
      <c r="C377" s="1" t="s">
        <v>204</v>
      </c>
      <c r="D377" s="1" t="s">
        <v>304</v>
      </c>
      <c r="E377" s="1" t="s">
        <v>307</v>
      </c>
      <c r="F377" s="1" t="s">
        <v>308</v>
      </c>
      <c r="G377" s="1" t="s">
        <v>18</v>
      </c>
      <c r="H377" s="1" t="s">
        <v>54</v>
      </c>
      <c r="I377" s="1">
        <v>2</v>
      </c>
      <c r="J377" s="1">
        <v>0</v>
      </c>
      <c r="K377" s="1" t="s">
        <v>305</v>
      </c>
      <c r="L377" s="1" t="s">
        <v>19</v>
      </c>
      <c r="M377" s="1" t="str">
        <f t="shared" si="5"/>
        <v xml:space="preserve">1986|31569| 12:00 |Group C|Estadio Irapuato|Irapuato |Mexico|Hungary|2|0|Canada| </v>
      </c>
    </row>
    <row r="378" spans="1:13" hidden="1" x14ac:dyDescent="0.2">
      <c r="A378" s="1">
        <v>1986</v>
      </c>
      <c r="B378" s="2" t="d">
        <v>1986-06-06</v>
      </c>
      <c r="C378" s="1" t="s">
        <v>204</v>
      </c>
      <c r="D378" s="1" t="s">
        <v>306</v>
      </c>
      <c r="E378" s="1" t="s">
        <v>212</v>
      </c>
      <c r="F378" s="1" t="s">
        <v>213</v>
      </c>
      <c r="G378" s="1" t="s">
        <v>18</v>
      </c>
      <c r="H378" s="1" t="s">
        <v>27</v>
      </c>
      <c r="I378" s="1">
        <v>1</v>
      </c>
      <c r="J378" s="1">
        <v>0</v>
      </c>
      <c r="K378" s="1" t="s">
        <v>281</v>
      </c>
      <c r="L378" s="1" t="s">
        <v>19</v>
      </c>
      <c r="M378" s="1" t="str">
        <f t="shared" si="5"/>
        <v xml:space="preserve">1986|31569| 12:00 |Group D|Jalisco|Guadalajara |Mexico|Brazil|1|0|Algeria| </v>
      </c>
    </row>
    <row r="379" spans="1:13" hidden="1" x14ac:dyDescent="0.2">
      <c r="A379" s="1">
        <v>1986</v>
      </c>
      <c r="B379" s="2" t="d">
        <v>1986-06-06</v>
      </c>
      <c r="C379" s="1" t="s">
        <v>32</v>
      </c>
      <c r="D379" s="1" t="s">
        <v>310</v>
      </c>
      <c r="E379" s="1" t="s">
        <v>314</v>
      </c>
      <c r="F379" s="1" t="s">
        <v>312</v>
      </c>
      <c r="G379" s="1" t="s">
        <v>18</v>
      </c>
      <c r="H379" s="1" t="s">
        <v>110</v>
      </c>
      <c r="I379" s="1">
        <v>0</v>
      </c>
      <c r="J379" s="1">
        <v>0</v>
      </c>
      <c r="K379" s="1" t="s">
        <v>216</v>
      </c>
      <c r="L379" s="1" t="s">
        <v>19</v>
      </c>
      <c r="M379" s="1" t="str">
        <f t="shared" si="5"/>
        <v xml:space="preserve">1986|31569| 16:00 |Group F|Tecnologico|Monterrey |Mexico|England|0|0|Morocco| </v>
      </c>
    </row>
    <row r="380" spans="1:13" hidden="1" x14ac:dyDescent="0.2">
      <c r="A380" s="1">
        <v>1986</v>
      </c>
      <c r="B380" s="2" t="d">
        <v>1986-06-07</v>
      </c>
      <c r="C380" s="1" t="s">
        <v>204</v>
      </c>
      <c r="D380" s="1" t="s">
        <v>306</v>
      </c>
      <c r="E380" s="1" t="s">
        <v>313</v>
      </c>
      <c r="F380" s="1" t="s">
        <v>213</v>
      </c>
      <c r="G380" s="1" t="s">
        <v>18</v>
      </c>
      <c r="H380" s="1" t="s">
        <v>165</v>
      </c>
      <c r="I380" s="1">
        <v>1</v>
      </c>
      <c r="J380" s="1">
        <v>2</v>
      </c>
      <c r="K380" s="1" t="s">
        <v>68</v>
      </c>
      <c r="L380" s="1" t="s">
        <v>19</v>
      </c>
      <c r="M380" s="1" t="str">
        <f t="shared" si="5"/>
        <v xml:space="preserve">1986|31570| 12:00 |Group D|Tres de Marzo|Guadalajara |Mexico|Northern Ireland|1|2|Spain| </v>
      </c>
    </row>
    <row r="381" spans="1:13" hidden="1" x14ac:dyDescent="0.2">
      <c r="A381" s="1">
        <v>1986</v>
      </c>
      <c r="B381" s="2" t="d">
        <v>1986-06-07</v>
      </c>
      <c r="C381" s="1" t="s">
        <v>204</v>
      </c>
      <c r="D381" s="1" t="s">
        <v>241</v>
      </c>
      <c r="E381" s="1" t="s">
        <v>205</v>
      </c>
      <c r="F381" s="1" t="s">
        <v>206</v>
      </c>
      <c r="G381" s="1" t="s">
        <v>18</v>
      </c>
      <c r="H381" s="1" t="s">
        <v>18</v>
      </c>
      <c r="I381" s="1">
        <v>1</v>
      </c>
      <c r="J381" s="1">
        <v>1</v>
      </c>
      <c r="K381" s="1" t="s">
        <v>37</v>
      </c>
      <c r="L381" s="1" t="s">
        <v>19</v>
      </c>
      <c r="M381" s="1" t="str">
        <f t="shared" si="5"/>
        <v xml:space="preserve">1986|31570| 12:00 |Group B|Estadio Azteca|Mexico City |Mexico|Mexico|1|1|Paraguay| </v>
      </c>
    </row>
    <row r="382" spans="1:13" hidden="1" x14ac:dyDescent="0.2">
      <c r="A382" s="1">
        <v>1986</v>
      </c>
      <c r="B382" s="2" t="d">
        <v>1986-06-07</v>
      </c>
      <c r="C382" s="1" t="s">
        <v>32</v>
      </c>
      <c r="D382" s="1" t="s">
        <v>310</v>
      </c>
      <c r="E382" s="1" t="s">
        <v>311</v>
      </c>
      <c r="F382" s="1" t="s">
        <v>312</v>
      </c>
      <c r="G382" s="1" t="s">
        <v>18</v>
      </c>
      <c r="H382" s="1" t="s">
        <v>96</v>
      </c>
      <c r="I382" s="1">
        <v>1</v>
      </c>
      <c r="J382" s="1">
        <v>0</v>
      </c>
      <c r="K382" s="1" t="s">
        <v>197</v>
      </c>
      <c r="L382" s="1" t="s">
        <v>19</v>
      </c>
      <c r="M382" s="1" t="str">
        <f t="shared" si="5"/>
        <v xml:space="preserve">1986|31570| 16:00 |Group F|Estadio Universitario|Monterrey |Mexico|Poland|1|0|Portugal| </v>
      </c>
    </row>
    <row r="383" spans="1:13" hidden="1" x14ac:dyDescent="0.2">
      <c r="A383" s="1">
        <v>1986</v>
      </c>
      <c r="B383" s="2" t="d">
        <v>1986-06-08</v>
      </c>
      <c r="C383" s="1" t="s">
        <v>204</v>
      </c>
      <c r="D383" s="1" t="s">
        <v>241</v>
      </c>
      <c r="E383" s="1" t="s">
        <v>315</v>
      </c>
      <c r="F383" s="1" t="s">
        <v>215</v>
      </c>
      <c r="G383" s="1" t="s">
        <v>18</v>
      </c>
      <c r="H383" s="1" t="s">
        <v>316</v>
      </c>
      <c r="I383" s="1">
        <v>1</v>
      </c>
      <c r="J383" s="1">
        <v>2</v>
      </c>
      <c r="K383" s="1" t="s">
        <v>23</v>
      </c>
      <c r="L383" s="1" t="s">
        <v>19</v>
      </c>
      <c r="M383" s="1" t="str">
        <f t="shared" si="5"/>
        <v xml:space="preserve">1986|31571| 12:00 |Group B|Bombonera - Estadio Nemesio Diez|Toluca |Mexico|Iraq|1|2|Belgium| </v>
      </c>
    </row>
    <row r="384" spans="1:13" hidden="1" x14ac:dyDescent="0.2">
      <c r="A384" s="1">
        <v>1986</v>
      </c>
      <c r="B384" s="2" t="d">
        <v>1986-06-08</v>
      </c>
      <c r="C384" s="1" t="s">
        <v>32</v>
      </c>
      <c r="D384" s="1" t="s">
        <v>317</v>
      </c>
      <c r="E384" s="1" t="s">
        <v>318</v>
      </c>
      <c r="F384" s="1" t="s">
        <v>319</v>
      </c>
      <c r="G384" s="1" t="s">
        <v>18</v>
      </c>
      <c r="H384" s="1" t="s">
        <v>320</v>
      </c>
      <c r="I384" s="1">
        <v>6</v>
      </c>
      <c r="J384" s="1">
        <v>1</v>
      </c>
      <c r="K384" s="1" t="s">
        <v>16</v>
      </c>
      <c r="L384" s="1" t="s">
        <v>19</v>
      </c>
      <c r="M384" s="1" t="str">
        <f t="shared" si="5"/>
        <v xml:space="preserve">1986|31571| 16:00 |Group E|Neza|Nezahualcoyotl |Mexico|Denmark|6|1|Uruguay| </v>
      </c>
    </row>
    <row r="385" spans="1:13" x14ac:dyDescent="0.2">
      <c r="A385" s="1">
        <v>1986</v>
      </c>
      <c r="B385" s="2" t="d">
        <v>1986-06-08</v>
      </c>
      <c r="C385" s="1" t="s">
        <v>204</v>
      </c>
      <c r="D385" s="1" t="s">
        <v>317</v>
      </c>
      <c r="E385" s="1" t="s">
        <v>321</v>
      </c>
      <c r="F385" s="1" t="s">
        <v>322</v>
      </c>
      <c r="G385" s="1" t="s">
        <v>18</v>
      </c>
      <c r="H385" s="1" t="s">
        <v>133</v>
      </c>
      <c r="I385" s="1">
        <v>2</v>
      </c>
      <c r="J385" s="1">
        <v>1</v>
      </c>
      <c r="K385" s="1" t="s">
        <v>128</v>
      </c>
      <c r="L385" s="1" t="s">
        <v>19</v>
      </c>
      <c r="M385" s="1" t="str">
        <f t="shared" si="5"/>
        <v xml:space="preserve">1986|31571| 12:00 |Group E|Estadio Corregidora|Queretaro |Mexico|Germany FR|2|1|Scotland| </v>
      </c>
    </row>
    <row r="386" spans="1:13" hidden="1" x14ac:dyDescent="0.2">
      <c r="A386" s="1">
        <v>1986</v>
      </c>
      <c r="B386" s="2" t="d">
        <v>1986-06-09</v>
      </c>
      <c r="C386" s="1" t="s">
        <v>204</v>
      </c>
      <c r="D386" s="1" t="s">
        <v>304</v>
      </c>
      <c r="E386" s="1" t="s">
        <v>210</v>
      </c>
      <c r="F386" s="1" t="s">
        <v>211</v>
      </c>
      <c r="G386" s="1" t="s">
        <v>18</v>
      </c>
      <c r="H386" s="1" t="s">
        <v>54</v>
      </c>
      <c r="I386" s="1">
        <v>0</v>
      </c>
      <c r="J386" s="1">
        <v>3</v>
      </c>
      <c r="K386" s="1" t="s">
        <v>17</v>
      </c>
      <c r="L386" s="1" t="s">
        <v>19</v>
      </c>
      <c r="M386" s="1" t="str">
        <f t="shared" si="5"/>
        <v xml:space="preserve">1986|31572| 12:00 |Group C|Nou Camp - Estadio Leï¿½n|Leon |Mexico|Hungary|0|3|France| </v>
      </c>
    </row>
    <row r="387" spans="1:13" hidden="1" x14ac:dyDescent="0.2">
      <c r="A387" s="1">
        <v>1986</v>
      </c>
      <c r="B387" s="2" t="d">
        <v>1986-06-09</v>
      </c>
      <c r="C387" s="1" t="s">
        <v>204</v>
      </c>
      <c r="D387" s="1" t="s">
        <v>304</v>
      </c>
      <c r="E387" s="1" t="s">
        <v>307</v>
      </c>
      <c r="F387" s="1" t="s">
        <v>308</v>
      </c>
      <c r="G387" s="1" t="s">
        <v>18</v>
      </c>
      <c r="H387" s="1" t="s">
        <v>151</v>
      </c>
      <c r="I387" s="1">
        <v>2</v>
      </c>
      <c r="J387" s="1">
        <v>0</v>
      </c>
      <c r="K387" s="1" t="s">
        <v>305</v>
      </c>
      <c r="L387" s="1" t="s">
        <v>19</v>
      </c>
      <c r="M387" s="1" t="str">
        <f t="shared" ref="M387:M450" si="6">_xlfn.TEXTJOIN("|",TRUE,A387,B387,C387,D387,E387,F387,G387,H387,I387,J387,K387,L387)</f>
        <v xml:space="preserve">1986|31572| 12:00 |Group C|Estadio Irapuato|Irapuato |Mexico|Soviet Union|2|0|Canada| </v>
      </c>
    </row>
    <row r="388" spans="1:13" hidden="1" x14ac:dyDescent="0.2">
      <c r="A388" s="1">
        <v>1986</v>
      </c>
      <c r="B388" s="2" t="d">
        <v>1986-06-10</v>
      </c>
      <c r="C388" s="1" t="s">
        <v>204</v>
      </c>
      <c r="D388" s="1" t="s">
        <v>242</v>
      </c>
      <c r="E388" s="1" t="s">
        <v>207</v>
      </c>
      <c r="F388" s="1" t="s">
        <v>208</v>
      </c>
      <c r="G388" s="1" t="s">
        <v>18</v>
      </c>
      <c r="H388" s="1" t="s">
        <v>135</v>
      </c>
      <c r="I388" s="1">
        <v>2</v>
      </c>
      <c r="J388" s="1">
        <v>3</v>
      </c>
      <c r="K388" s="1" t="s">
        <v>49</v>
      </c>
      <c r="L388" s="1" t="s">
        <v>19</v>
      </c>
      <c r="M388" s="1" t="str">
        <f t="shared" si="6"/>
        <v xml:space="preserve">1986|31573| 12:00 |Group A|Cuauhtemoc|Puebla |Mexico|Korea Republic|2|3|Italy| </v>
      </c>
    </row>
    <row r="389" spans="1:13" hidden="1" x14ac:dyDescent="0.2">
      <c r="A389" s="1">
        <v>1986</v>
      </c>
      <c r="B389" s="2" t="d">
        <v>1986-06-10</v>
      </c>
      <c r="C389" s="1" t="s">
        <v>204</v>
      </c>
      <c r="D389" s="1" t="s">
        <v>242</v>
      </c>
      <c r="E389" s="1" t="s">
        <v>309</v>
      </c>
      <c r="F389" s="1" t="s">
        <v>206</v>
      </c>
      <c r="G389" s="1" t="s">
        <v>18</v>
      </c>
      <c r="H389" s="1" t="s">
        <v>33</v>
      </c>
      <c r="I389" s="1">
        <v>2</v>
      </c>
      <c r="J389" s="1">
        <v>0</v>
      </c>
      <c r="K389" s="1" t="s">
        <v>182</v>
      </c>
      <c r="L389" s="1" t="s">
        <v>19</v>
      </c>
      <c r="M389" s="1" t="str">
        <f t="shared" si="6"/>
        <v xml:space="preserve">1986|31573| 12:00 |Group A|Estadio Olï¿½mpico Universitario|Mexico City |Mexico|Argentina|2|0|Bulgaria| </v>
      </c>
    </row>
    <row r="390" spans="1:13" hidden="1" x14ac:dyDescent="0.2">
      <c r="A390" s="1">
        <v>1986</v>
      </c>
      <c r="B390" s="2" t="d">
        <v>1986-06-11</v>
      </c>
      <c r="C390" s="1" t="s">
        <v>204</v>
      </c>
      <c r="D390" s="1" t="s">
        <v>241</v>
      </c>
      <c r="E390" s="1" t="s">
        <v>315</v>
      </c>
      <c r="F390" s="1" t="s">
        <v>215</v>
      </c>
      <c r="G390" s="1" t="s">
        <v>18</v>
      </c>
      <c r="H390" s="1" t="s">
        <v>37</v>
      </c>
      <c r="I390" s="1">
        <v>2</v>
      </c>
      <c r="J390" s="1">
        <v>2</v>
      </c>
      <c r="K390" s="1" t="s">
        <v>23</v>
      </c>
      <c r="L390" s="1" t="s">
        <v>19</v>
      </c>
      <c r="M390" s="1" t="str">
        <f t="shared" si="6"/>
        <v xml:space="preserve">1986|31574| 12:00 |Group B|Bombonera - Estadio Nemesio Diez|Toluca |Mexico|Paraguay|2|2|Belgium| </v>
      </c>
    </row>
    <row r="391" spans="1:13" hidden="1" x14ac:dyDescent="0.2">
      <c r="A391" s="1">
        <v>1986</v>
      </c>
      <c r="B391" s="2" t="d">
        <v>1986-06-11</v>
      </c>
      <c r="C391" s="1" t="s">
        <v>204</v>
      </c>
      <c r="D391" s="1" t="s">
        <v>241</v>
      </c>
      <c r="E391" s="1" t="s">
        <v>205</v>
      </c>
      <c r="F391" s="1" t="s">
        <v>206</v>
      </c>
      <c r="G391" s="1" t="s">
        <v>18</v>
      </c>
      <c r="H391" s="1" t="s">
        <v>316</v>
      </c>
      <c r="I391" s="1">
        <v>0</v>
      </c>
      <c r="J391" s="1">
        <v>1</v>
      </c>
      <c r="K391" s="1" t="s">
        <v>18</v>
      </c>
      <c r="L391" s="1" t="s">
        <v>19</v>
      </c>
      <c r="M391" s="1" t="str">
        <f t="shared" si="6"/>
        <v xml:space="preserve">1986|31574| 12:00 |Group B|Estadio Azteca|Mexico City |Mexico|Iraq|0|1|Mexico| </v>
      </c>
    </row>
    <row r="392" spans="1:13" hidden="1" x14ac:dyDescent="0.2">
      <c r="A392" s="1">
        <v>1986</v>
      </c>
      <c r="B392" s="2" t="d">
        <v>1986-06-11</v>
      </c>
      <c r="C392" s="1" t="s">
        <v>32</v>
      </c>
      <c r="D392" s="1" t="s">
        <v>310</v>
      </c>
      <c r="E392" s="1" t="s">
        <v>313</v>
      </c>
      <c r="F392" s="1" t="s">
        <v>213</v>
      </c>
      <c r="G392" s="1" t="s">
        <v>18</v>
      </c>
      <c r="H392" s="1" t="s">
        <v>197</v>
      </c>
      <c r="I392" s="1">
        <v>1</v>
      </c>
      <c r="J392" s="1">
        <v>3</v>
      </c>
      <c r="K392" s="1" t="s">
        <v>216</v>
      </c>
      <c r="L392" s="1" t="s">
        <v>19</v>
      </c>
      <c r="M392" s="1" t="str">
        <f t="shared" si="6"/>
        <v xml:space="preserve">1986|31574| 16:00 |Group F|Tres de Marzo|Guadalajara |Mexico|Portugal|1|3|Morocco| </v>
      </c>
    </row>
    <row r="393" spans="1:13" hidden="1" x14ac:dyDescent="0.2">
      <c r="A393" s="1">
        <v>1986</v>
      </c>
      <c r="B393" s="2" t="d">
        <v>1986-06-11</v>
      </c>
      <c r="C393" s="1" t="s">
        <v>32</v>
      </c>
      <c r="D393" s="1" t="s">
        <v>310</v>
      </c>
      <c r="E393" s="1" t="s">
        <v>314</v>
      </c>
      <c r="F393" s="1" t="s">
        <v>312</v>
      </c>
      <c r="G393" s="1" t="s">
        <v>18</v>
      </c>
      <c r="H393" s="1" t="s">
        <v>110</v>
      </c>
      <c r="I393" s="1">
        <v>3</v>
      </c>
      <c r="J393" s="1">
        <v>0</v>
      </c>
      <c r="K393" s="1" t="s">
        <v>96</v>
      </c>
      <c r="L393" s="1" t="s">
        <v>19</v>
      </c>
      <c r="M393" s="1" t="str">
        <f t="shared" si="6"/>
        <v xml:space="preserve">1986|31574| 16:00 |Group F|Tecnologico|Monterrey |Mexico|England|3|0|Poland| </v>
      </c>
    </row>
    <row r="394" spans="1:13" hidden="1" x14ac:dyDescent="0.2">
      <c r="A394" s="1">
        <v>1986</v>
      </c>
      <c r="B394" s="2" t="d">
        <v>1986-06-12</v>
      </c>
      <c r="C394" s="1" t="s">
        <v>204</v>
      </c>
      <c r="D394" s="1" t="s">
        <v>306</v>
      </c>
      <c r="E394" s="1" t="s">
        <v>212</v>
      </c>
      <c r="F394" s="1" t="s">
        <v>213</v>
      </c>
      <c r="G394" s="1" t="s">
        <v>18</v>
      </c>
      <c r="H394" s="1" t="s">
        <v>165</v>
      </c>
      <c r="I394" s="1">
        <v>0</v>
      </c>
      <c r="J394" s="1">
        <v>3</v>
      </c>
      <c r="K394" s="1" t="s">
        <v>27</v>
      </c>
      <c r="L394" s="1" t="s">
        <v>19</v>
      </c>
      <c r="M394" s="1" t="str">
        <f t="shared" si="6"/>
        <v xml:space="preserve">1986|31575| 12:00 |Group D|Jalisco|Guadalajara |Mexico|Northern Ireland|0|3|Brazil| </v>
      </c>
    </row>
    <row r="395" spans="1:13" hidden="1" x14ac:dyDescent="0.2">
      <c r="A395" s="1">
        <v>1986</v>
      </c>
      <c r="B395" s="2" t="d">
        <v>1986-06-12</v>
      </c>
      <c r="C395" s="1" t="s">
        <v>204</v>
      </c>
      <c r="D395" s="1" t="s">
        <v>306</v>
      </c>
      <c r="E395" s="1" t="s">
        <v>314</v>
      </c>
      <c r="F395" s="1" t="s">
        <v>312</v>
      </c>
      <c r="G395" s="1" t="s">
        <v>18</v>
      </c>
      <c r="H395" s="1" t="s">
        <v>281</v>
      </c>
      <c r="I395" s="1">
        <v>0</v>
      </c>
      <c r="J395" s="1">
        <v>3</v>
      </c>
      <c r="K395" s="1" t="s">
        <v>68</v>
      </c>
      <c r="L395" s="1" t="s">
        <v>19</v>
      </c>
      <c r="M395" s="1" t="str">
        <f t="shared" si="6"/>
        <v xml:space="preserve">1986|31575| 12:00 |Group D|Tecnologico|Monterrey |Mexico|Algeria|0|3|Spain| </v>
      </c>
    </row>
    <row r="396" spans="1:13" hidden="1" x14ac:dyDescent="0.2">
      <c r="A396" s="1">
        <v>1986</v>
      </c>
      <c r="B396" s="2" t="d">
        <v>1986-06-13</v>
      </c>
      <c r="C396" s="1" t="s">
        <v>204</v>
      </c>
      <c r="D396" s="1" t="s">
        <v>317</v>
      </c>
      <c r="E396" s="1" t="s">
        <v>318</v>
      </c>
      <c r="F396" s="1" t="s">
        <v>319</v>
      </c>
      <c r="G396" s="1" t="s">
        <v>18</v>
      </c>
      <c r="H396" s="1" t="s">
        <v>128</v>
      </c>
      <c r="I396" s="1">
        <v>0</v>
      </c>
      <c r="J396" s="1">
        <v>0</v>
      </c>
      <c r="K396" s="1" t="s">
        <v>16</v>
      </c>
      <c r="L396" s="1" t="s">
        <v>19</v>
      </c>
      <c r="M396" s="1" t="str">
        <f t="shared" si="6"/>
        <v xml:space="preserve">1986|31576| 12:00 |Group E|Neza|Nezahualcoyotl |Mexico|Scotland|0|0|Uruguay| </v>
      </c>
    </row>
    <row r="397" spans="1:13" hidden="1" x14ac:dyDescent="0.2">
      <c r="A397" s="1">
        <v>1986</v>
      </c>
      <c r="B397" s="2" t="d">
        <v>1986-06-13</v>
      </c>
      <c r="C397" s="1" t="s">
        <v>204</v>
      </c>
      <c r="D397" s="1" t="s">
        <v>317</v>
      </c>
      <c r="E397" s="1" t="s">
        <v>321</v>
      </c>
      <c r="F397" s="1" t="s">
        <v>322</v>
      </c>
      <c r="G397" s="1" t="s">
        <v>18</v>
      </c>
      <c r="H397" s="1" t="s">
        <v>320</v>
      </c>
      <c r="I397" s="1">
        <v>2</v>
      </c>
      <c r="J397" s="1">
        <v>0</v>
      </c>
      <c r="K397" s="1" t="s">
        <v>133</v>
      </c>
      <c r="L397" s="1" t="s">
        <v>19</v>
      </c>
      <c r="M397" s="1" t="str">
        <f t="shared" si="6"/>
        <v xml:space="preserve">1986|31576| 12:00 |Group E|Estadio Corregidora|Queretaro |Mexico|Denmark|2|0|Germany FR| </v>
      </c>
    </row>
    <row r="398" spans="1:13" hidden="1" x14ac:dyDescent="0.2">
      <c r="A398" s="1">
        <v>1986</v>
      </c>
      <c r="B398" s="2" t="d">
        <v>1986-06-15</v>
      </c>
      <c r="C398" s="1" t="s">
        <v>32</v>
      </c>
      <c r="D398" s="12" t="s">
        <v>323</v>
      </c>
      <c r="E398" s="1" t="s">
        <v>210</v>
      </c>
      <c r="F398" s="1" t="s">
        <v>211</v>
      </c>
      <c r="G398" s="1" t="s">
        <v>18</v>
      </c>
      <c r="H398" s="1" t="s">
        <v>151</v>
      </c>
      <c r="I398" s="1">
        <v>3</v>
      </c>
      <c r="J398" s="1">
        <v>4</v>
      </c>
      <c r="K398" s="1" t="s">
        <v>23</v>
      </c>
      <c r="L398" s="1" t="s">
        <v>324</v>
      </c>
      <c r="M398" s="1" t="str">
        <f t="shared" si="6"/>
        <v xml:space="preserve">1986|31578| 16:00 |Round of 16|Nou Camp - Estadio Leï¿½n|Leon |Mexico|Soviet Union|3|4|Belgium|Belgium win after extra time </v>
      </c>
    </row>
    <row r="399" spans="1:13" hidden="1" x14ac:dyDescent="0.2">
      <c r="A399" s="1">
        <v>1986</v>
      </c>
      <c r="B399" s="2" t="d">
        <v>1986-06-15</v>
      </c>
      <c r="C399" s="1" t="s">
        <v>204</v>
      </c>
      <c r="D399" s="12" t="s">
        <v>323</v>
      </c>
      <c r="E399" s="1" t="s">
        <v>205</v>
      </c>
      <c r="F399" s="1" t="s">
        <v>206</v>
      </c>
      <c r="G399" s="1" t="s">
        <v>18</v>
      </c>
      <c r="H399" s="1" t="s">
        <v>18</v>
      </c>
      <c r="I399" s="1">
        <v>2</v>
      </c>
      <c r="J399" s="1">
        <v>0</v>
      </c>
      <c r="K399" s="1" t="s">
        <v>182</v>
      </c>
      <c r="L399" s="1" t="s">
        <v>19</v>
      </c>
      <c r="M399" s="1" t="str">
        <f t="shared" si="6"/>
        <v xml:space="preserve">1986|31578| 12:00 |Round of 16|Estadio Azteca|Mexico City |Mexico|Mexico|2|0|Bulgaria| </v>
      </c>
    </row>
    <row r="400" spans="1:13" hidden="1" x14ac:dyDescent="0.2">
      <c r="A400" s="1">
        <v>1986</v>
      </c>
      <c r="B400" s="2" t="d">
        <v>1986-06-16</v>
      </c>
      <c r="C400" s="1" t="s">
        <v>32</v>
      </c>
      <c r="D400" s="12" t="s">
        <v>323</v>
      </c>
      <c r="E400" s="1" t="s">
        <v>207</v>
      </c>
      <c r="F400" s="1" t="s">
        <v>208</v>
      </c>
      <c r="G400" s="1" t="s">
        <v>18</v>
      </c>
      <c r="H400" s="1" t="s">
        <v>33</v>
      </c>
      <c r="I400" s="1">
        <v>1</v>
      </c>
      <c r="J400" s="1">
        <v>0</v>
      </c>
      <c r="K400" s="1" t="s">
        <v>16</v>
      </c>
      <c r="L400" s="1" t="s">
        <v>19</v>
      </c>
      <c r="M400" s="1" t="str">
        <f t="shared" si="6"/>
        <v xml:space="preserve">1986|31579| 16:00 |Round of 16|Cuauhtemoc|Puebla |Mexico|Argentina|1|0|Uruguay| </v>
      </c>
    </row>
    <row r="401" spans="1:13" hidden="1" x14ac:dyDescent="0.2">
      <c r="A401" s="1">
        <v>1986</v>
      </c>
      <c r="B401" s="2" t="d">
        <v>1986-06-16</v>
      </c>
      <c r="C401" s="1" t="s">
        <v>204</v>
      </c>
      <c r="D401" s="12" t="s">
        <v>323</v>
      </c>
      <c r="E401" s="1" t="s">
        <v>212</v>
      </c>
      <c r="F401" s="1" t="s">
        <v>213</v>
      </c>
      <c r="G401" s="1" t="s">
        <v>18</v>
      </c>
      <c r="H401" s="1" t="s">
        <v>27</v>
      </c>
      <c r="I401" s="1">
        <v>4</v>
      </c>
      <c r="J401" s="1">
        <v>0</v>
      </c>
      <c r="K401" s="1" t="s">
        <v>96</v>
      </c>
      <c r="L401" s="1" t="s">
        <v>19</v>
      </c>
      <c r="M401" s="1" t="str">
        <f t="shared" si="6"/>
        <v xml:space="preserve">1986|31579| 12:00 |Round of 16|Jalisco|Guadalajara |Mexico|Brazil|4|0|Poland| </v>
      </c>
    </row>
    <row r="402" spans="1:13" hidden="1" x14ac:dyDescent="0.2">
      <c r="A402" s="1">
        <v>1986</v>
      </c>
      <c r="B402" s="2" t="d">
        <v>1986-06-17</v>
      </c>
      <c r="C402" s="1" t="s">
        <v>204</v>
      </c>
      <c r="D402" s="12" t="s">
        <v>323</v>
      </c>
      <c r="E402" s="1" t="s">
        <v>309</v>
      </c>
      <c r="F402" s="1" t="s">
        <v>206</v>
      </c>
      <c r="G402" s="1" t="s">
        <v>18</v>
      </c>
      <c r="H402" s="1" t="s">
        <v>49</v>
      </c>
      <c r="I402" s="1">
        <v>0</v>
      </c>
      <c r="J402" s="1">
        <v>2</v>
      </c>
      <c r="K402" s="1" t="s">
        <v>17</v>
      </c>
      <c r="L402" s="1" t="s">
        <v>19</v>
      </c>
      <c r="M402" s="1" t="str">
        <f t="shared" si="6"/>
        <v xml:space="preserve">1986|31580| 12:00 |Round of 16|Estadio Olï¿½mpico Universitario|Mexico City |Mexico|Italy|0|2|France| </v>
      </c>
    </row>
    <row r="403" spans="1:13" hidden="1" x14ac:dyDescent="0.2">
      <c r="A403" s="1">
        <v>1986</v>
      </c>
      <c r="B403" s="2" t="d">
        <v>1986-06-17</v>
      </c>
      <c r="C403" s="1" t="s">
        <v>32</v>
      </c>
      <c r="D403" s="12" t="s">
        <v>323</v>
      </c>
      <c r="E403" s="1" t="s">
        <v>311</v>
      </c>
      <c r="F403" s="1" t="s">
        <v>312</v>
      </c>
      <c r="G403" s="1" t="s">
        <v>18</v>
      </c>
      <c r="H403" s="1" t="s">
        <v>216</v>
      </c>
      <c r="I403" s="1">
        <v>0</v>
      </c>
      <c r="J403" s="1">
        <v>1</v>
      </c>
      <c r="K403" s="1" t="s">
        <v>133</v>
      </c>
      <c r="L403" s="1" t="s">
        <v>19</v>
      </c>
      <c r="M403" s="1" t="str">
        <f t="shared" si="6"/>
        <v xml:space="preserve">1986|31580| 16:00 |Round of 16|Estadio Universitario|Monterrey |Mexico|Morocco|0|1|Germany FR| </v>
      </c>
    </row>
    <row r="404" spans="1:13" hidden="1" x14ac:dyDescent="0.2">
      <c r="A404" s="1">
        <v>1986</v>
      </c>
      <c r="B404" s="2" t="d">
        <v>1986-06-18</v>
      </c>
      <c r="C404" s="1" t="s">
        <v>204</v>
      </c>
      <c r="D404" s="12" t="s">
        <v>323</v>
      </c>
      <c r="E404" s="1" t="s">
        <v>205</v>
      </c>
      <c r="F404" s="1" t="s">
        <v>206</v>
      </c>
      <c r="G404" s="1" t="s">
        <v>18</v>
      </c>
      <c r="H404" s="1" t="s">
        <v>110</v>
      </c>
      <c r="I404" s="1">
        <v>3</v>
      </c>
      <c r="J404" s="1">
        <v>0</v>
      </c>
      <c r="K404" s="1" t="s">
        <v>37</v>
      </c>
      <c r="L404" s="1" t="s">
        <v>19</v>
      </c>
      <c r="M404" s="1" t="str">
        <f t="shared" si="6"/>
        <v xml:space="preserve">1986|31581| 12:00 |Round of 16|Estadio Azteca|Mexico City |Mexico|England|3|0|Paraguay| </v>
      </c>
    </row>
    <row r="405" spans="1:13" hidden="1" x14ac:dyDescent="0.2">
      <c r="A405" s="1">
        <v>1986</v>
      </c>
      <c r="B405" s="2" t="d">
        <v>1986-06-18</v>
      </c>
      <c r="C405" s="1" t="s">
        <v>32</v>
      </c>
      <c r="D405" s="12" t="s">
        <v>323</v>
      </c>
      <c r="E405" s="1" t="s">
        <v>321</v>
      </c>
      <c r="F405" s="1" t="s">
        <v>322</v>
      </c>
      <c r="G405" s="1" t="s">
        <v>18</v>
      </c>
      <c r="H405" s="1" t="s">
        <v>320</v>
      </c>
      <c r="I405" s="1">
        <v>1</v>
      </c>
      <c r="J405" s="1">
        <v>5</v>
      </c>
      <c r="K405" s="1" t="s">
        <v>68</v>
      </c>
      <c r="L405" s="1" t="s">
        <v>19</v>
      </c>
      <c r="M405" s="1" t="str">
        <f t="shared" si="6"/>
        <v xml:space="preserve">1986|31581| 16:00 |Round of 16|Estadio Corregidora|Queretaro |Mexico|Denmark|1|5|Spain| </v>
      </c>
    </row>
    <row r="406" spans="1:13" hidden="1" x14ac:dyDescent="0.2">
      <c r="A406" s="1">
        <v>1986</v>
      </c>
      <c r="B406" s="2" t="d">
        <v>1986-06-21</v>
      </c>
      <c r="C406" s="1" t="s">
        <v>204</v>
      </c>
      <c r="D406" s="12" t="s">
        <v>74</v>
      </c>
      <c r="E406" s="1" t="s">
        <v>212</v>
      </c>
      <c r="F406" s="1" t="s">
        <v>213</v>
      </c>
      <c r="G406" s="1" t="s">
        <v>18</v>
      </c>
      <c r="H406" s="1" t="s">
        <v>27</v>
      </c>
      <c r="I406" s="1">
        <v>1</v>
      </c>
      <c r="J406" s="1">
        <v>1</v>
      </c>
      <c r="K406" s="1" t="s">
        <v>17</v>
      </c>
      <c r="L406" s="1" t="s">
        <v>325</v>
      </c>
      <c r="M406" s="1" t="str">
        <f t="shared" si="6"/>
        <v xml:space="preserve">1986|31584| 12:00 |Quarter-finals|Jalisco|Guadalajara |Mexico|Brazil|1|1|France|France win on penalties (3 - 4) </v>
      </c>
    </row>
    <row r="407" spans="1:13" x14ac:dyDescent="0.2">
      <c r="A407" s="1">
        <v>1986</v>
      </c>
      <c r="B407" s="2" t="d">
        <v>1986-06-21</v>
      </c>
      <c r="C407" s="1" t="s">
        <v>32</v>
      </c>
      <c r="D407" s="12" t="s">
        <v>74</v>
      </c>
      <c r="E407" s="1" t="s">
        <v>311</v>
      </c>
      <c r="F407" s="1" t="s">
        <v>312</v>
      </c>
      <c r="G407" s="1" t="s">
        <v>18</v>
      </c>
      <c r="H407" s="1" t="s">
        <v>133</v>
      </c>
      <c r="I407" s="1">
        <v>0</v>
      </c>
      <c r="J407" s="1">
        <v>0</v>
      </c>
      <c r="K407" s="1" t="s">
        <v>18</v>
      </c>
      <c r="L407" s="1" t="s">
        <v>326</v>
      </c>
      <c r="M407" s="1" t="str">
        <f t="shared" si="6"/>
        <v xml:space="preserve">1986|31584| 16:00 |Quarter-finals|Estadio Universitario|Monterrey |Mexico|Germany FR|0|0|Mexico|Germany FR win on penalties (4 - 1) </v>
      </c>
    </row>
    <row r="408" spans="1:13" hidden="1" x14ac:dyDescent="0.2">
      <c r="A408" s="1">
        <v>1986</v>
      </c>
      <c r="B408" s="2" t="d">
        <v>1986-06-22</v>
      </c>
      <c r="C408" s="1" t="s">
        <v>32</v>
      </c>
      <c r="D408" s="12" t="s">
        <v>74</v>
      </c>
      <c r="E408" s="1" t="s">
        <v>207</v>
      </c>
      <c r="F408" s="1" t="s">
        <v>208</v>
      </c>
      <c r="G408" s="1" t="s">
        <v>18</v>
      </c>
      <c r="H408" s="1" t="s">
        <v>68</v>
      </c>
      <c r="I408" s="1">
        <v>1</v>
      </c>
      <c r="J408" s="1">
        <v>1</v>
      </c>
      <c r="K408" s="1" t="s">
        <v>23</v>
      </c>
      <c r="L408" s="1" t="s">
        <v>327</v>
      </c>
      <c r="M408" s="1" t="str">
        <f t="shared" si="6"/>
        <v xml:space="preserve">1986|31585| 16:00 |Quarter-finals|Cuauhtemoc|Puebla |Mexico|Spain|1|1|Belgium|Belgium win on penalties (4 - 5) </v>
      </c>
    </row>
    <row r="409" spans="1:13" hidden="1" x14ac:dyDescent="0.2">
      <c r="A409" s="1">
        <v>1986</v>
      </c>
      <c r="B409" s="2" t="d">
        <v>1986-06-22</v>
      </c>
      <c r="C409" s="1" t="s">
        <v>204</v>
      </c>
      <c r="D409" s="12" t="s">
        <v>74</v>
      </c>
      <c r="E409" s="1" t="s">
        <v>205</v>
      </c>
      <c r="F409" s="1" t="s">
        <v>206</v>
      </c>
      <c r="G409" s="1" t="s">
        <v>18</v>
      </c>
      <c r="H409" s="1" t="s">
        <v>33</v>
      </c>
      <c r="I409" s="1">
        <v>2</v>
      </c>
      <c r="J409" s="1">
        <v>1</v>
      </c>
      <c r="K409" s="1" t="s">
        <v>110</v>
      </c>
      <c r="L409" s="1" t="s">
        <v>19</v>
      </c>
      <c r="M409" s="1" t="str">
        <f t="shared" si="6"/>
        <v xml:space="preserve">1986|31585| 12:00 |Quarter-finals|Estadio Azteca|Mexico City |Mexico|Argentina|2|1|England| </v>
      </c>
    </row>
    <row r="410" spans="1:13" hidden="1" x14ac:dyDescent="0.2">
      <c r="A410" s="1">
        <v>1986</v>
      </c>
      <c r="B410" s="2" t="d">
        <v>1986-06-25</v>
      </c>
      <c r="C410" s="1" t="s">
        <v>204</v>
      </c>
      <c r="D410" s="12" t="s">
        <v>42</v>
      </c>
      <c r="E410" s="1" t="s">
        <v>212</v>
      </c>
      <c r="F410" s="1" t="s">
        <v>213</v>
      </c>
      <c r="G410" s="1" t="s">
        <v>18</v>
      </c>
      <c r="H410" s="1" t="s">
        <v>17</v>
      </c>
      <c r="I410" s="1">
        <v>0</v>
      </c>
      <c r="J410" s="1">
        <v>2</v>
      </c>
      <c r="K410" s="1" t="s">
        <v>133</v>
      </c>
      <c r="L410" s="1" t="s">
        <v>19</v>
      </c>
      <c r="M410" s="1" t="str">
        <f t="shared" si="6"/>
        <v xml:space="preserve">1986|31588| 12:00 |Semi-finals|Jalisco|Guadalajara |Mexico|France|0|2|Germany FR| </v>
      </c>
    </row>
    <row r="411" spans="1:13" hidden="1" x14ac:dyDescent="0.2">
      <c r="A411" s="1">
        <v>1986</v>
      </c>
      <c r="B411" s="2" t="d">
        <v>1986-06-25</v>
      </c>
      <c r="C411" s="1" t="s">
        <v>32</v>
      </c>
      <c r="D411" s="12" t="s">
        <v>42</v>
      </c>
      <c r="E411" s="1" t="s">
        <v>205</v>
      </c>
      <c r="F411" s="1" t="s">
        <v>206</v>
      </c>
      <c r="G411" s="1" t="s">
        <v>18</v>
      </c>
      <c r="H411" s="1" t="s">
        <v>33</v>
      </c>
      <c r="I411" s="1">
        <v>2</v>
      </c>
      <c r="J411" s="1">
        <v>0</v>
      </c>
      <c r="K411" s="1" t="s">
        <v>23</v>
      </c>
      <c r="L411" s="1" t="s">
        <v>19</v>
      </c>
      <c r="M411" s="1" t="str">
        <f t="shared" si="6"/>
        <v xml:space="preserve">1986|31588| 16:00 |Semi-finals|Estadio Azteca|Mexico City |Mexico|Argentina|2|0|Belgium| </v>
      </c>
    </row>
    <row r="412" spans="1:13" hidden="1" x14ac:dyDescent="0.2">
      <c r="A412" s="1">
        <v>1986</v>
      </c>
      <c r="B412" s="2" t="d">
        <v>1986-06-28</v>
      </c>
      <c r="C412" s="1" t="s">
        <v>204</v>
      </c>
      <c r="D412" s="12" t="s">
        <v>76</v>
      </c>
      <c r="E412" s="1" t="s">
        <v>207</v>
      </c>
      <c r="F412" s="1" t="s">
        <v>208</v>
      </c>
      <c r="G412" s="1" t="s">
        <v>18</v>
      </c>
      <c r="H412" s="1" t="s">
        <v>17</v>
      </c>
      <c r="I412" s="1">
        <v>4</v>
      </c>
      <c r="J412" s="1">
        <v>2</v>
      </c>
      <c r="K412" s="1" t="s">
        <v>23</v>
      </c>
      <c r="L412" s="1" t="s">
        <v>328</v>
      </c>
      <c r="M412" s="1" t="str">
        <f t="shared" si="6"/>
        <v xml:space="preserve">1986|31591| 12:00 |Match for third place|Cuauhtemoc|Puebla |Mexico|France|4|2|Belgium|France win after extra time </v>
      </c>
    </row>
    <row r="413" spans="1:13" hidden="1" x14ac:dyDescent="0.2">
      <c r="A413" s="1">
        <v>1986</v>
      </c>
      <c r="B413" s="2" t="d">
        <v>1986-06-29</v>
      </c>
      <c r="C413" s="1" t="s">
        <v>204</v>
      </c>
      <c r="D413" s="12" t="s">
        <v>44</v>
      </c>
      <c r="E413" s="1" t="s">
        <v>205</v>
      </c>
      <c r="F413" s="1" t="s">
        <v>206</v>
      </c>
      <c r="G413" s="1" t="s">
        <v>18</v>
      </c>
      <c r="H413" s="1" t="s">
        <v>33</v>
      </c>
      <c r="I413" s="1">
        <v>3</v>
      </c>
      <c r="J413" s="1">
        <v>2</v>
      </c>
      <c r="K413" s="1" t="s">
        <v>133</v>
      </c>
      <c r="L413" s="1" t="s">
        <v>19</v>
      </c>
      <c r="M413" s="1" t="str">
        <f t="shared" si="6"/>
        <v xml:space="preserve">1986|31592| 12:00 |Final|Estadio Azteca|Mexico City |Mexico|Argentina|3|2|Germany FR| </v>
      </c>
    </row>
    <row r="414" spans="1:13" hidden="1" x14ac:dyDescent="0.2">
      <c r="A414" s="1">
        <v>1990</v>
      </c>
      <c r="B414" s="2" t="d">
        <v>1990-06-08</v>
      </c>
      <c r="C414" s="1" t="s">
        <v>75</v>
      </c>
      <c r="D414" s="1" t="s">
        <v>241</v>
      </c>
      <c r="E414" s="1" t="s">
        <v>329</v>
      </c>
      <c r="F414" s="1" t="s">
        <v>57</v>
      </c>
      <c r="G414" s="1" t="s">
        <v>49</v>
      </c>
      <c r="H414" s="1" t="s">
        <v>33</v>
      </c>
      <c r="I414" s="1">
        <v>0</v>
      </c>
      <c r="J414" s="1">
        <v>1</v>
      </c>
      <c r="K414" s="1" t="s">
        <v>273</v>
      </c>
      <c r="L414" s="1" t="s">
        <v>19</v>
      </c>
      <c r="M414" s="1" t="str">
        <f t="shared" si="6"/>
        <v xml:space="preserve">1990|33032| 18:00 |Group B|Giuseppe Meazza|Milan |Italy|Argentina|0|1|Cameroon| </v>
      </c>
    </row>
    <row r="415" spans="1:13" hidden="1" x14ac:dyDescent="0.2">
      <c r="A415" s="1">
        <v>1990</v>
      </c>
      <c r="B415" s="2" t="d">
        <v>1990-06-09</v>
      </c>
      <c r="C415" s="1" t="s">
        <v>79</v>
      </c>
      <c r="D415" s="1" t="s">
        <v>241</v>
      </c>
      <c r="E415" s="1" t="s">
        <v>330</v>
      </c>
      <c r="F415" s="1" t="s">
        <v>331</v>
      </c>
      <c r="G415" s="1" t="s">
        <v>49</v>
      </c>
      <c r="H415" s="1" t="s">
        <v>151</v>
      </c>
      <c r="I415" s="1">
        <v>0</v>
      </c>
      <c r="J415" s="1">
        <v>2</v>
      </c>
      <c r="K415" s="1" t="s">
        <v>30</v>
      </c>
      <c r="L415" s="1" t="s">
        <v>19</v>
      </c>
      <c r="M415" s="1" t="str">
        <f t="shared" si="6"/>
        <v xml:space="preserve">1990|33033| 17:00 |Group B|Stadio San Nicola|Bari |Italy|Soviet Union|0|2|Romania| </v>
      </c>
    </row>
    <row r="416" spans="1:13" hidden="1" x14ac:dyDescent="0.2">
      <c r="A416" s="1">
        <v>1990</v>
      </c>
      <c r="B416" s="2" t="d">
        <v>1990-06-09</v>
      </c>
      <c r="C416" s="1" t="s">
        <v>79</v>
      </c>
      <c r="D416" s="1" t="s">
        <v>306</v>
      </c>
      <c r="E416" s="1" t="s">
        <v>332</v>
      </c>
      <c r="F416" s="1" t="s">
        <v>61</v>
      </c>
      <c r="G416" s="1" t="s">
        <v>49</v>
      </c>
      <c r="H416" s="1" t="s">
        <v>333</v>
      </c>
      <c r="I416" s="1">
        <v>0</v>
      </c>
      <c r="J416" s="1">
        <v>2</v>
      </c>
      <c r="K416" s="1" t="s">
        <v>177</v>
      </c>
      <c r="L416" s="1" t="s">
        <v>19</v>
      </c>
      <c r="M416" s="1" t="str">
        <f t="shared" si="6"/>
        <v xml:space="preserve">1990|33033| 17:00 |Group D|Renato Dall Ara|Bologna |Italy|United Arab Emirates|0|2|Colombia| </v>
      </c>
    </row>
    <row r="417" spans="1:13" hidden="1" x14ac:dyDescent="0.2">
      <c r="A417" s="1">
        <v>1990</v>
      </c>
      <c r="B417" s="2" t="d">
        <v>1990-06-09</v>
      </c>
      <c r="C417" s="1" t="s">
        <v>268</v>
      </c>
      <c r="D417" s="1" t="s">
        <v>242</v>
      </c>
      <c r="E417" s="1" t="s">
        <v>334</v>
      </c>
      <c r="F417" s="1" t="s">
        <v>70</v>
      </c>
      <c r="G417" s="1" t="s">
        <v>49</v>
      </c>
      <c r="H417" s="1" t="s">
        <v>49</v>
      </c>
      <c r="I417" s="1">
        <v>1</v>
      </c>
      <c r="J417" s="1">
        <v>0</v>
      </c>
      <c r="K417" s="1" t="s">
        <v>50</v>
      </c>
      <c r="L417" s="1" t="s">
        <v>19</v>
      </c>
      <c r="M417" s="1" t="str">
        <f t="shared" si="6"/>
        <v xml:space="preserve">1990|33033| 21:00 |Group A|Stadio Olimpico|Rome |Italy|Italy|1|0|Austria| </v>
      </c>
    </row>
    <row r="418" spans="1:13" hidden="1" x14ac:dyDescent="0.2">
      <c r="A418" s="1">
        <v>1990</v>
      </c>
      <c r="B418" s="2" t="d">
        <v>1990-06-10</v>
      </c>
      <c r="C418" s="1" t="s">
        <v>79</v>
      </c>
      <c r="D418" s="1" t="s">
        <v>242</v>
      </c>
      <c r="E418" s="1" t="s">
        <v>335</v>
      </c>
      <c r="F418" s="1" t="s">
        <v>64</v>
      </c>
      <c r="G418" s="1" t="s">
        <v>49</v>
      </c>
      <c r="H418" s="1" t="s">
        <v>22</v>
      </c>
      <c r="I418" s="1">
        <v>1</v>
      </c>
      <c r="J418" s="1">
        <v>5</v>
      </c>
      <c r="K418" s="1" t="s">
        <v>73</v>
      </c>
      <c r="L418" s="1" t="s">
        <v>19</v>
      </c>
      <c r="M418" s="1" t="str">
        <f t="shared" si="6"/>
        <v xml:space="preserve">1990|33034| 17:00 |Group A|Comunale|Florence |Italy|USA|1|5|Czechoslovakia| </v>
      </c>
    </row>
    <row r="419" spans="1:13" hidden="1" x14ac:dyDescent="0.2">
      <c r="A419" s="1">
        <v>1990</v>
      </c>
      <c r="B419" s="2" t="d">
        <v>1990-06-10</v>
      </c>
      <c r="C419" s="1" t="s">
        <v>268</v>
      </c>
      <c r="D419" s="1" t="s">
        <v>304</v>
      </c>
      <c r="E419" s="1" t="s">
        <v>336</v>
      </c>
      <c r="F419" s="1" t="s">
        <v>48</v>
      </c>
      <c r="G419" s="1" t="s">
        <v>49</v>
      </c>
      <c r="H419" s="1" t="s">
        <v>27</v>
      </c>
      <c r="I419" s="1">
        <v>2</v>
      </c>
      <c r="J419" s="1">
        <v>1</v>
      </c>
      <c r="K419" s="1" t="s">
        <v>62</v>
      </c>
      <c r="L419" s="1" t="s">
        <v>19</v>
      </c>
      <c r="M419" s="1" t="str">
        <f t="shared" si="6"/>
        <v xml:space="preserve">1990|33034| 21:00 |Group C|Stadio delle Alpi|Turin |Italy|Brazil|2|1|Sweden| </v>
      </c>
    </row>
    <row r="420" spans="1:13" x14ac:dyDescent="0.2">
      <c r="A420" s="1">
        <v>1990</v>
      </c>
      <c r="B420" s="2" t="d">
        <v>1990-06-10</v>
      </c>
      <c r="C420" s="1" t="s">
        <v>268</v>
      </c>
      <c r="D420" s="1" t="s">
        <v>306</v>
      </c>
      <c r="E420" s="1" t="s">
        <v>329</v>
      </c>
      <c r="F420" s="1" t="s">
        <v>57</v>
      </c>
      <c r="G420" s="1" t="s">
        <v>49</v>
      </c>
      <c r="H420" s="1" t="s">
        <v>133</v>
      </c>
      <c r="I420" s="1">
        <v>4</v>
      </c>
      <c r="J420" s="1">
        <v>1</v>
      </c>
      <c r="K420" s="1" t="s">
        <v>26</v>
      </c>
      <c r="L420" s="1" t="s">
        <v>19</v>
      </c>
      <c r="M420" s="1" t="str">
        <f t="shared" si="6"/>
        <v xml:space="preserve">1990|33034| 21:00 |Group D|Giuseppe Meazza|Milan |Italy|Germany FR|4|1|Yugoslavia| </v>
      </c>
    </row>
    <row r="421" spans="1:13" hidden="1" x14ac:dyDescent="0.2">
      <c r="A421" s="1">
        <v>1990</v>
      </c>
      <c r="B421" s="2" t="d">
        <v>1990-06-11</v>
      </c>
      <c r="C421" s="1" t="s">
        <v>79</v>
      </c>
      <c r="D421" s="1" t="s">
        <v>304</v>
      </c>
      <c r="E421" s="1" t="s">
        <v>66</v>
      </c>
      <c r="F421" s="1" t="s">
        <v>67</v>
      </c>
      <c r="G421" s="1" t="s">
        <v>49</v>
      </c>
      <c r="H421" s="1" t="s">
        <v>337</v>
      </c>
      <c r="I421" s="1">
        <v>1</v>
      </c>
      <c r="J421" s="1">
        <v>0</v>
      </c>
      <c r="K421" s="1" t="s">
        <v>128</v>
      </c>
      <c r="L421" s="1" t="s">
        <v>19</v>
      </c>
      <c r="M421" s="1" t="str">
        <f t="shared" si="6"/>
        <v xml:space="preserve">1990|33035| 17:00 |Group C|Luigi Ferraris|Genoa |Italy|Costa Rica|1|0|Scotland| </v>
      </c>
    </row>
    <row r="422" spans="1:13" hidden="1" x14ac:dyDescent="0.2">
      <c r="A422" s="1">
        <v>1990</v>
      </c>
      <c r="B422" s="2" t="d">
        <v>1990-06-11</v>
      </c>
      <c r="C422" s="1" t="s">
        <v>268</v>
      </c>
      <c r="D422" s="1" t="s">
        <v>310</v>
      </c>
      <c r="E422" s="1" t="s">
        <v>338</v>
      </c>
      <c r="F422" s="1" t="s">
        <v>339</v>
      </c>
      <c r="G422" s="1" t="s">
        <v>49</v>
      </c>
      <c r="H422" s="1" t="s">
        <v>110</v>
      </c>
      <c r="I422" s="1">
        <v>1</v>
      </c>
      <c r="J422" s="1">
        <v>1</v>
      </c>
      <c r="K422" s="1" t="s">
        <v>340</v>
      </c>
      <c r="L422" s="1" t="s">
        <v>19</v>
      </c>
      <c r="M422" s="1" t="str">
        <f t="shared" si="6"/>
        <v xml:space="preserve">1990|33035| 21:00 |Group F|Sant Elia|Cagliari |Italy|England|1|1|Republic of Ireland| </v>
      </c>
    </row>
    <row r="423" spans="1:13" hidden="1" x14ac:dyDescent="0.2">
      <c r="A423" s="1">
        <v>1990</v>
      </c>
      <c r="B423" s="2" t="d">
        <v>1990-06-12</v>
      </c>
      <c r="C423" s="1" t="s">
        <v>79</v>
      </c>
      <c r="D423" s="1" t="s">
        <v>317</v>
      </c>
      <c r="E423" s="1" t="s">
        <v>341</v>
      </c>
      <c r="F423" s="1" t="s">
        <v>342</v>
      </c>
      <c r="G423" s="1" t="s">
        <v>49</v>
      </c>
      <c r="H423" s="1" t="s">
        <v>23</v>
      </c>
      <c r="I423" s="1">
        <v>2</v>
      </c>
      <c r="J423" s="1">
        <v>0</v>
      </c>
      <c r="K423" s="1" t="s">
        <v>135</v>
      </c>
      <c r="L423" s="1" t="s">
        <v>19</v>
      </c>
      <c r="M423" s="1" t="str">
        <f t="shared" si="6"/>
        <v xml:space="preserve">1990|33036| 17:00 |Group E|Marc Antonio Bentegodi|Verona |Italy|Belgium|2|0|Korea Republic| </v>
      </c>
    </row>
    <row r="424" spans="1:13" hidden="1" x14ac:dyDescent="0.2">
      <c r="A424" s="1">
        <v>1990</v>
      </c>
      <c r="B424" s="2" t="d">
        <v>1990-06-12</v>
      </c>
      <c r="C424" s="1" t="s">
        <v>268</v>
      </c>
      <c r="D424" s="1" t="s">
        <v>310</v>
      </c>
      <c r="E424" s="1" t="s">
        <v>343</v>
      </c>
      <c r="F424" s="1" t="s">
        <v>344</v>
      </c>
      <c r="G424" s="1" t="s">
        <v>49</v>
      </c>
      <c r="H424" s="1" t="s">
        <v>59</v>
      </c>
      <c r="I424" s="1">
        <v>1</v>
      </c>
      <c r="J424" s="1">
        <v>1</v>
      </c>
      <c r="K424" s="1" t="s">
        <v>55</v>
      </c>
      <c r="L424" s="1" t="s">
        <v>19</v>
      </c>
      <c r="M424" s="1" t="str">
        <f t="shared" si="6"/>
        <v xml:space="preserve">1990|33036| 21:00 |Group F|Della Favorita|Palermo |Italy|Netherlands|1|1|Egypt| </v>
      </c>
    </row>
    <row r="425" spans="1:13" hidden="1" x14ac:dyDescent="0.2">
      <c r="A425" s="1">
        <v>1990</v>
      </c>
      <c r="B425" s="2" t="d">
        <v>1990-06-13</v>
      </c>
      <c r="C425" s="1" t="s">
        <v>79</v>
      </c>
      <c r="D425" s="1" t="s">
        <v>317</v>
      </c>
      <c r="E425" s="1" t="s">
        <v>345</v>
      </c>
      <c r="F425" s="1" t="s">
        <v>346</v>
      </c>
      <c r="G425" s="1" t="s">
        <v>49</v>
      </c>
      <c r="H425" s="1" t="s">
        <v>16</v>
      </c>
      <c r="I425" s="1">
        <v>0</v>
      </c>
      <c r="J425" s="1">
        <v>0</v>
      </c>
      <c r="K425" s="1" t="s">
        <v>68</v>
      </c>
      <c r="L425" s="1" t="s">
        <v>19</v>
      </c>
      <c r="M425" s="1" t="str">
        <f t="shared" si="6"/>
        <v xml:space="preserve">1990|33037| 17:00 |Group E|Dacia Arena|Udine |Italy|Uruguay|0|0|Spain| </v>
      </c>
    </row>
    <row r="426" spans="1:13" hidden="1" x14ac:dyDescent="0.2">
      <c r="A426" s="1">
        <v>1990</v>
      </c>
      <c r="B426" s="2" t="d">
        <v>1990-06-13</v>
      </c>
      <c r="C426" s="1" t="s">
        <v>268</v>
      </c>
      <c r="D426" s="1" t="s">
        <v>241</v>
      </c>
      <c r="E426" s="1" t="s">
        <v>347</v>
      </c>
      <c r="F426" s="1" t="s">
        <v>53</v>
      </c>
      <c r="G426" s="1" t="s">
        <v>49</v>
      </c>
      <c r="H426" s="1" t="s">
        <v>33</v>
      </c>
      <c r="I426" s="1">
        <v>2</v>
      </c>
      <c r="J426" s="1">
        <v>0</v>
      </c>
      <c r="K426" s="1" t="s">
        <v>151</v>
      </c>
      <c r="L426" s="1" t="s">
        <v>19</v>
      </c>
      <c r="M426" s="1" t="str">
        <f t="shared" si="6"/>
        <v xml:space="preserve">1990|33037| 21:00 |Group B|San Paolo|Naples |Italy|Argentina|2|0|Soviet Union| </v>
      </c>
    </row>
    <row r="427" spans="1:13" hidden="1" x14ac:dyDescent="0.2">
      <c r="A427" s="1">
        <v>1990</v>
      </c>
      <c r="B427" s="2" t="d">
        <v>1990-06-14</v>
      </c>
      <c r="C427" s="1" t="s">
        <v>79</v>
      </c>
      <c r="D427" s="1" t="s">
        <v>241</v>
      </c>
      <c r="E427" s="1" t="s">
        <v>330</v>
      </c>
      <c r="F427" s="1" t="s">
        <v>331</v>
      </c>
      <c r="G427" s="1" t="s">
        <v>49</v>
      </c>
      <c r="H427" s="1" t="s">
        <v>273</v>
      </c>
      <c r="I427" s="1">
        <v>2</v>
      </c>
      <c r="J427" s="1">
        <v>1</v>
      </c>
      <c r="K427" s="1" t="s">
        <v>30</v>
      </c>
      <c r="L427" s="1" t="s">
        <v>19</v>
      </c>
      <c r="M427" s="1" t="str">
        <f t="shared" si="6"/>
        <v xml:space="preserve">1990|33038| 17:00 |Group B|Stadio San Nicola|Bari |Italy|Cameroon|2|1|Romania| </v>
      </c>
    </row>
    <row r="428" spans="1:13" hidden="1" x14ac:dyDescent="0.2">
      <c r="A428" s="1">
        <v>1990</v>
      </c>
      <c r="B428" s="2" t="d">
        <v>1990-06-14</v>
      </c>
      <c r="C428" s="1" t="s">
        <v>79</v>
      </c>
      <c r="D428" s="1" t="s">
        <v>306</v>
      </c>
      <c r="E428" s="1" t="s">
        <v>332</v>
      </c>
      <c r="F428" s="1" t="s">
        <v>61</v>
      </c>
      <c r="G428" s="1" t="s">
        <v>49</v>
      </c>
      <c r="H428" s="1" t="s">
        <v>26</v>
      </c>
      <c r="I428" s="1">
        <v>1</v>
      </c>
      <c r="J428" s="1">
        <v>0</v>
      </c>
      <c r="K428" s="1" t="s">
        <v>177</v>
      </c>
      <c r="L428" s="1" t="s">
        <v>19</v>
      </c>
      <c r="M428" s="1" t="str">
        <f t="shared" si="6"/>
        <v xml:space="preserve">1990|33038| 17:00 |Group D|Renato Dall Ara|Bologna |Italy|Yugoslavia|1|0|Colombia| </v>
      </c>
    </row>
    <row r="429" spans="1:13" hidden="1" x14ac:dyDescent="0.2">
      <c r="A429" s="1">
        <v>1990</v>
      </c>
      <c r="B429" s="2" t="d">
        <v>1990-06-14</v>
      </c>
      <c r="C429" s="1" t="s">
        <v>268</v>
      </c>
      <c r="D429" s="1" t="s">
        <v>242</v>
      </c>
      <c r="E429" s="1" t="s">
        <v>334</v>
      </c>
      <c r="F429" s="1" t="s">
        <v>70</v>
      </c>
      <c r="G429" s="1" t="s">
        <v>49</v>
      </c>
      <c r="H429" s="1" t="s">
        <v>49</v>
      </c>
      <c r="I429" s="1">
        <v>1</v>
      </c>
      <c r="J429" s="1">
        <v>0</v>
      </c>
      <c r="K429" s="1" t="s">
        <v>22</v>
      </c>
      <c r="L429" s="1" t="s">
        <v>19</v>
      </c>
      <c r="M429" s="1" t="str">
        <f t="shared" si="6"/>
        <v xml:space="preserve">1990|33038| 21:00 |Group A|Stadio Olimpico|Rome |Italy|Italy|1|0|USA| </v>
      </c>
    </row>
    <row r="430" spans="1:13" hidden="1" x14ac:dyDescent="0.2">
      <c r="A430" s="1">
        <v>1990</v>
      </c>
      <c r="B430" s="2" t="d">
        <v>1990-06-15</v>
      </c>
      <c r="C430" s="1" t="s">
        <v>79</v>
      </c>
      <c r="D430" s="1" t="s">
        <v>242</v>
      </c>
      <c r="E430" s="1" t="s">
        <v>335</v>
      </c>
      <c r="F430" s="1" t="s">
        <v>64</v>
      </c>
      <c r="G430" s="1" t="s">
        <v>49</v>
      </c>
      <c r="H430" s="1" t="s">
        <v>50</v>
      </c>
      <c r="I430" s="1">
        <v>0</v>
      </c>
      <c r="J430" s="1">
        <v>1</v>
      </c>
      <c r="K430" s="1" t="s">
        <v>73</v>
      </c>
      <c r="L430" s="1" t="s">
        <v>19</v>
      </c>
      <c r="M430" s="1" t="str">
        <f t="shared" si="6"/>
        <v xml:space="preserve">1990|33039| 17:00 |Group A|Comunale|Florence |Italy|Austria|0|1|Czechoslovakia| </v>
      </c>
    </row>
    <row r="431" spans="1:13" x14ac:dyDescent="0.2">
      <c r="A431" s="1">
        <v>1990</v>
      </c>
      <c r="B431" s="2" t="d">
        <v>1990-06-15</v>
      </c>
      <c r="C431" s="1" t="s">
        <v>268</v>
      </c>
      <c r="D431" s="1" t="s">
        <v>306</v>
      </c>
      <c r="E431" s="1" t="s">
        <v>329</v>
      </c>
      <c r="F431" s="1" t="s">
        <v>57</v>
      </c>
      <c r="G431" s="1" t="s">
        <v>49</v>
      </c>
      <c r="H431" s="1" t="s">
        <v>133</v>
      </c>
      <c r="I431" s="1">
        <v>5</v>
      </c>
      <c r="J431" s="1">
        <v>1</v>
      </c>
      <c r="K431" s="1" t="s">
        <v>333</v>
      </c>
      <c r="L431" s="1" t="s">
        <v>19</v>
      </c>
      <c r="M431" s="1" t="str">
        <f t="shared" si="6"/>
        <v xml:space="preserve">1990|33039| 21:00 |Group D|Giuseppe Meazza|Milan |Italy|Germany FR|5|1|United Arab Emirates| </v>
      </c>
    </row>
    <row r="432" spans="1:13" hidden="1" x14ac:dyDescent="0.2">
      <c r="A432" s="1">
        <v>1990</v>
      </c>
      <c r="B432" s="2" t="d">
        <v>1990-06-16</v>
      </c>
      <c r="C432" s="1" t="s">
        <v>79</v>
      </c>
      <c r="D432" s="1" t="s">
        <v>304</v>
      </c>
      <c r="E432" s="1" t="s">
        <v>336</v>
      </c>
      <c r="F432" s="1" t="s">
        <v>48</v>
      </c>
      <c r="G432" s="1" t="s">
        <v>49</v>
      </c>
      <c r="H432" s="1" t="s">
        <v>27</v>
      </c>
      <c r="I432" s="1">
        <v>1</v>
      </c>
      <c r="J432" s="1">
        <v>0</v>
      </c>
      <c r="K432" s="1" t="s">
        <v>337</v>
      </c>
      <c r="L432" s="1" t="s">
        <v>19</v>
      </c>
      <c r="M432" s="1" t="str">
        <f t="shared" si="6"/>
        <v xml:space="preserve">1990|33040| 17:00 |Group C|Stadio delle Alpi|Turin |Italy|Brazil|1|0|Costa Rica| </v>
      </c>
    </row>
    <row r="433" spans="1:13" hidden="1" x14ac:dyDescent="0.2">
      <c r="A433" s="1">
        <v>1990</v>
      </c>
      <c r="B433" s="2" t="d">
        <v>1990-06-16</v>
      </c>
      <c r="C433" s="1" t="s">
        <v>268</v>
      </c>
      <c r="D433" s="1" t="s">
        <v>304</v>
      </c>
      <c r="E433" s="1" t="s">
        <v>66</v>
      </c>
      <c r="F433" s="1" t="s">
        <v>67</v>
      </c>
      <c r="G433" s="1" t="s">
        <v>49</v>
      </c>
      <c r="H433" s="1" t="s">
        <v>62</v>
      </c>
      <c r="I433" s="1">
        <v>1</v>
      </c>
      <c r="J433" s="1">
        <v>2</v>
      </c>
      <c r="K433" s="1" t="s">
        <v>128</v>
      </c>
      <c r="L433" s="1" t="s">
        <v>19</v>
      </c>
      <c r="M433" s="1" t="str">
        <f t="shared" si="6"/>
        <v xml:space="preserve">1990|33040| 21:00 |Group C|Luigi Ferraris|Genoa |Italy|Sweden|1|2|Scotland| </v>
      </c>
    </row>
    <row r="434" spans="1:13" hidden="1" x14ac:dyDescent="0.2">
      <c r="A434" s="1">
        <v>1990</v>
      </c>
      <c r="B434" s="2" t="d">
        <v>1990-06-16</v>
      </c>
      <c r="C434" s="1" t="s">
        <v>268</v>
      </c>
      <c r="D434" s="1" t="s">
        <v>310</v>
      </c>
      <c r="E434" s="1" t="s">
        <v>338</v>
      </c>
      <c r="F434" s="1" t="s">
        <v>339</v>
      </c>
      <c r="G434" s="1" t="s">
        <v>49</v>
      </c>
      <c r="H434" s="1" t="s">
        <v>110</v>
      </c>
      <c r="I434" s="1">
        <v>0</v>
      </c>
      <c r="J434" s="1">
        <v>0</v>
      </c>
      <c r="K434" s="1" t="s">
        <v>59</v>
      </c>
      <c r="L434" s="1" t="s">
        <v>19</v>
      </c>
      <c r="M434" s="1" t="str">
        <f t="shared" si="6"/>
        <v xml:space="preserve">1990|33040| 21:00 |Group F|Sant Elia|Cagliari |Italy|England|0|0|Netherlands| </v>
      </c>
    </row>
    <row r="435" spans="1:13" hidden="1" x14ac:dyDescent="0.2">
      <c r="A435" s="1">
        <v>1990</v>
      </c>
      <c r="B435" s="2" t="d">
        <v>1990-06-17</v>
      </c>
      <c r="C435" s="1" t="s">
        <v>79</v>
      </c>
      <c r="D435" s="1" t="s">
        <v>310</v>
      </c>
      <c r="E435" s="1" t="s">
        <v>343</v>
      </c>
      <c r="F435" s="1" t="s">
        <v>344</v>
      </c>
      <c r="G435" s="1" t="s">
        <v>49</v>
      </c>
      <c r="H435" s="1" t="s">
        <v>340</v>
      </c>
      <c r="I435" s="1">
        <v>0</v>
      </c>
      <c r="J435" s="1">
        <v>0</v>
      </c>
      <c r="K435" s="1" t="s">
        <v>55</v>
      </c>
      <c r="L435" s="1" t="s">
        <v>19</v>
      </c>
      <c r="M435" s="1" t="str">
        <f t="shared" si="6"/>
        <v xml:space="preserve">1990|33041| 17:00 |Group F|Della Favorita|Palermo |Italy|Republic of Ireland|0|0|Egypt| </v>
      </c>
    </row>
    <row r="436" spans="1:13" hidden="1" x14ac:dyDescent="0.2">
      <c r="A436" s="1">
        <v>1990</v>
      </c>
      <c r="B436" s="2" t="d">
        <v>1990-06-17</v>
      </c>
      <c r="C436" s="1" t="s">
        <v>268</v>
      </c>
      <c r="D436" s="1" t="s">
        <v>317</v>
      </c>
      <c r="E436" s="1" t="s">
        <v>345</v>
      </c>
      <c r="F436" s="1" t="s">
        <v>346</v>
      </c>
      <c r="G436" s="1" t="s">
        <v>49</v>
      </c>
      <c r="H436" s="1" t="s">
        <v>135</v>
      </c>
      <c r="I436" s="1">
        <v>1</v>
      </c>
      <c r="J436" s="1">
        <v>3</v>
      </c>
      <c r="K436" s="1" t="s">
        <v>68</v>
      </c>
      <c r="L436" s="1" t="s">
        <v>19</v>
      </c>
      <c r="M436" s="1" t="str">
        <f t="shared" si="6"/>
        <v xml:space="preserve">1990|33041| 21:00 |Group E|Dacia Arena|Udine |Italy|Korea Republic|1|3|Spain| </v>
      </c>
    </row>
    <row r="437" spans="1:13" hidden="1" x14ac:dyDescent="0.2">
      <c r="A437" s="1">
        <v>1990</v>
      </c>
      <c r="B437" s="2" t="d">
        <v>1990-06-17</v>
      </c>
      <c r="C437" s="1" t="s">
        <v>268</v>
      </c>
      <c r="D437" s="1" t="s">
        <v>317</v>
      </c>
      <c r="E437" s="1" t="s">
        <v>341</v>
      </c>
      <c r="F437" s="1" t="s">
        <v>342</v>
      </c>
      <c r="G437" s="1" t="s">
        <v>49</v>
      </c>
      <c r="H437" s="1" t="s">
        <v>23</v>
      </c>
      <c r="I437" s="1">
        <v>3</v>
      </c>
      <c r="J437" s="1">
        <v>1</v>
      </c>
      <c r="K437" s="1" t="s">
        <v>16</v>
      </c>
      <c r="L437" s="1" t="s">
        <v>19</v>
      </c>
      <c r="M437" s="1" t="str">
        <f t="shared" si="6"/>
        <v xml:space="preserve">1990|33041| 21:00 |Group E|Marc Antonio Bentegodi|Verona |Italy|Belgium|3|1|Uruguay| </v>
      </c>
    </row>
    <row r="438" spans="1:13" hidden="1" x14ac:dyDescent="0.2">
      <c r="A438" s="1">
        <v>1990</v>
      </c>
      <c r="B438" s="2" t="d">
        <v>1990-06-18</v>
      </c>
      <c r="C438" s="1" t="s">
        <v>268</v>
      </c>
      <c r="D438" s="1" t="s">
        <v>241</v>
      </c>
      <c r="E438" s="1" t="s">
        <v>347</v>
      </c>
      <c r="F438" s="1" t="s">
        <v>53</v>
      </c>
      <c r="G438" s="1" t="s">
        <v>49</v>
      </c>
      <c r="H438" s="1" t="s">
        <v>33</v>
      </c>
      <c r="I438" s="1">
        <v>1</v>
      </c>
      <c r="J438" s="1">
        <v>1</v>
      </c>
      <c r="K438" s="1" t="s">
        <v>30</v>
      </c>
      <c r="L438" s="1" t="s">
        <v>19</v>
      </c>
      <c r="M438" s="1" t="str">
        <f t="shared" si="6"/>
        <v xml:space="preserve">1990|33042| 21:00 |Group B|San Paolo|Naples |Italy|Argentina|1|1|Romania| </v>
      </c>
    </row>
    <row r="439" spans="1:13" hidden="1" x14ac:dyDescent="0.2">
      <c r="A439" s="1">
        <v>1990</v>
      </c>
      <c r="B439" s="2" t="d">
        <v>1990-06-18</v>
      </c>
      <c r="C439" s="1" t="s">
        <v>268</v>
      </c>
      <c r="D439" s="1" t="s">
        <v>241</v>
      </c>
      <c r="E439" s="1" t="s">
        <v>330</v>
      </c>
      <c r="F439" s="1" t="s">
        <v>331</v>
      </c>
      <c r="G439" s="1" t="s">
        <v>49</v>
      </c>
      <c r="H439" s="1" t="s">
        <v>273</v>
      </c>
      <c r="I439" s="1">
        <v>0</v>
      </c>
      <c r="J439" s="1">
        <v>4</v>
      </c>
      <c r="K439" s="1" t="s">
        <v>151</v>
      </c>
      <c r="L439" s="1" t="s">
        <v>19</v>
      </c>
      <c r="M439" s="1" t="str">
        <f t="shared" si="6"/>
        <v xml:space="preserve">1990|33042| 21:00 |Group B|Stadio San Nicola|Bari |Italy|Cameroon|0|4|Soviet Union| </v>
      </c>
    </row>
    <row r="440" spans="1:13" x14ac:dyDescent="0.2">
      <c r="A440" s="1">
        <v>1990</v>
      </c>
      <c r="B440" s="2" t="d">
        <v>1990-06-19</v>
      </c>
      <c r="C440" s="1" t="s">
        <v>79</v>
      </c>
      <c r="D440" s="1" t="s">
        <v>306</v>
      </c>
      <c r="E440" s="1" t="s">
        <v>329</v>
      </c>
      <c r="F440" s="1" t="s">
        <v>57</v>
      </c>
      <c r="G440" s="1" t="s">
        <v>49</v>
      </c>
      <c r="H440" s="1" t="s">
        <v>133</v>
      </c>
      <c r="I440" s="1">
        <v>1</v>
      </c>
      <c r="J440" s="1">
        <v>1</v>
      </c>
      <c r="K440" s="1" t="s">
        <v>177</v>
      </c>
      <c r="L440" s="1" t="s">
        <v>19</v>
      </c>
      <c r="M440" s="1" t="str">
        <f t="shared" si="6"/>
        <v xml:space="preserve">1990|33043| 17:00 |Group D|Giuseppe Meazza|Milan |Italy|Germany FR|1|1|Colombia| </v>
      </c>
    </row>
    <row r="441" spans="1:13" hidden="1" x14ac:dyDescent="0.2">
      <c r="A441" s="1">
        <v>1990</v>
      </c>
      <c r="B441" s="2" t="d">
        <v>1990-06-19</v>
      </c>
      <c r="C441" s="1" t="s">
        <v>79</v>
      </c>
      <c r="D441" s="1" t="s">
        <v>306</v>
      </c>
      <c r="E441" s="1" t="s">
        <v>332</v>
      </c>
      <c r="F441" s="1" t="s">
        <v>61</v>
      </c>
      <c r="G441" s="1" t="s">
        <v>49</v>
      </c>
      <c r="H441" s="1" t="s">
        <v>26</v>
      </c>
      <c r="I441" s="1">
        <v>4</v>
      </c>
      <c r="J441" s="1">
        <v>1</v>
      </c>
      <c r="K441" s="1" t="s">
        <v>333</v>
      </c>
      <c r="L441" s="1" t="s">
        <v>19</v>
      </c>
      <c r="M441" s="1" t="str">
        <f t="shared" si="6"/>
        <v xml:space="preserve">1990|33043| 17:00 |Group D|Renato Dall Ara|Bologna |Italy|Yugoslavia|4|1|United Arab Emirates| </v>
      </c>
    </row>
    <row r="442" spans="1:13" hidden="1" x14ac:dyDescent="0.2">
      <c r="A442" s="1">
        <v>1990</v>
      </c>
      <c r="B442" s="2" t="d">
        <v>1990-06-19</v>
      </c>
      <c r="C442" s="1" t="s">
        <v>268</v>
      </c>
      <c r="D442" s="1" t="s">
        <v>242</v>
      </c>
      <c r="E442" s="1" t="s">
        <v>334</v>
      </c>
      <c r="F442" s="1" t="s">
        <v>70</v>
      </c>
      <c r="G442" s="1" t="s">
        <v>49</v>
      </c>
      <c r="H442" s="1" t="s">
        <v>49</v>
      </c>
      <c r="I442" s="1">
        <v>2</v>
      </c>
      <c r="J442" s="1">
        <v>0</v>
      </c>
      <c r="K442" s="1" t="s">
        <v>73</v>
      </c>
      <c r="L442" s="1" t="s">
        <v>19</v>
      </c>
      <c r="M442" s="1" t="str">
        <f t="shared" si="6"/>
        <v xml:space="preserve">1990|33043| 21:00 |Group A|Stadio Olimpico|Rome |Italy|Italy|2|0|Czechoslovakia| </v>
      </c>
    </row>
    <row r="443" spans="1:13" hidden="1" x14ac:dyDescent="0.2">
      <c r="A443" s="1">
        <v>1990</v>
      </c>
      <c r="B443" s="2" t="d">
        <v>1990-06-19</v>
      </c>
      <c r="C443" s="1" t="s">
        <v>268</v>
      </c>
      <c r="D443" s="1" t="s">
        <v>242</v>
      </c>
      <c r="E443" s="1" t="s">
        <v>335</v>
      </c>
      <c r="F443" s="1" t="s">
        <v>64</v>
      </c>
      <c r="G443" s="1" t="s">
        <v>49</v>
      </c>
      <c r="H443" s="1" t="s">
        <v>50</v>
      </c>
      <c r="I443" s="1">
        <v>2</v>
      </c>
      <c r="J443" s="1">
        <v>1</v>
      </c>
      <c r="K443" s="1" t="s">
        <v>22</v>
      </c>
      <c r="L443" s="1" t="s">
        <v>19</v>
      </c>
      <c r="M443" s="1" t="str">
        <f t="shared" si="6"/>
        <v xml:space="preserve">1990|33043| 21:00 |Group A|Comunale|Florence |Italy|Austria|2|1|USA| </v>
      </c>
    </row>
    <row r="444" spans="1:13" hidden="1" x14ac:dyDescent="0.2">
      <c r="A444" s="1">
        <v>1990</v>
      </c>
      <c r="B444" s="2" t="d">
        <v>1990-06-20</v>
      </c>
      <c r="C444" s="1" t="s">
        <v>268</v>
      </c>
      <c r="D444" s="1" t="s">
        <v>304</v>
      </c>
      <c r="E444" s="1" t="s">
        <v>336</v>
      </c>
      <c r="F444" s="1" t="s">
        <v>48</v>
      </c>
      <c r="G444" s="1" t="s">
        <v>49</v>
      </c>
      <c r="H444" s="1" t="s">
        <v>27</v>
      </c>
      <c r="I444" s="1">
        <v>1</v>
      </c>
      <c r="J444" s="1">
        <v>0</v>
      </c>
      <c r="K444" s="1" t="s">
        <v>128</v>
      </c>
      <c r="L444" s="1" t="s">
        <v>19</v>
      </c>
      <c r="M444" s="1" t="str">
        <f t="shared" si="6"/>
        <v xml:space="preserve">1990|33044| 21:00 |Group C|Stadio delle Alpi|Turin |Italy|Brazil|1|0|Scotland| </v>
      </c>
    </row>
    <row r="445" spans="1:13" hidden="1" x14ac:dyDescent="0.2">
      <c r="A445" s="1">
        <v>1990</v>
      </c>
      <c r="B445" s="2" t="d">
        <v>1990-06-20</v>
      </c>
      <c r="C445" s="1" t="s">
        <v>268</v>
      </c>
      <c r="D445" s="1" t="s">
        <v>304</v>
      </c>
      <c r="E445" s="1" t="s">
        <v>66</v>
      </c>
      <c r="F445" s="1" t="s">
        <v>67</v>
      </c>
      <c r="G445" s="1" t="s">
        <v>49</v>
      </c>
      <c r="H445" s="1" t="s">
        <v>62</v>
      </c>
      <c r="I445" s="1">
        <v>1</v>
      </c>
      <c r="J445" s="1">
        <v>2</v>
      </c>
      <c r="K445" s="1" t="s">
        <v>337</v>
      </c>
      <c r="L445" s="1" t="s">
        <v>19</v>
      </c>
      <c r="M445" s="1" t="str">
        <f t="shared" si="6"/>
        <v xml:space="preserve">1990|33044| 21:00 |Group C|Luigi Ferraris|Genoa |Italy|Sweden|1|2|Costa Rica| </v>
      </c>
    </row>
    <row r="446" spans="1:13" hidden="1" x14ac:dyDescent="0.2">
      <c r="A446" s="1">
        <v>1990</v>
      </c>
      <c r="B446" s="2" t="d">
        <v>1990-06-21</v>
      </c>
      <c r="C446" s="1" t="s">
        <v>79</v>
      </c>
      <c r="D446" s="1" t="s">
        <v>317</v>
      </c>
      <c r="E446" s="1" t="s">
        <v>348</v>
      </c>
      <c r="F446" s="1" t="s">
        <v>346</v>
      </c>
      <c r="G446" s="1" t="s">
        <v>49</v>
      </c>
      <c r="H446" s="1" t="s">
        <v>135</v>
      </c>
      <c r="I446" s="1">
        <v>0</v>
      </c>
      <c r="J446" s="1">
        <v>1</v>
      </c>
      <c r="K446" s="1" t="s">
        <v>16</v>
      </c>
      <c r="L446" s="1" t="s">
        <v>19</v>
      </c>
      <c r="M446" s="1" t="str">
        <f t="shared" si="6"/>
        <v xml:space="preserve">1990|33045| 17:00 |Group E|Friuli|Udine |Italy|Korea Republic|0|1|Uruguay| </v>
      </c>
    </row>
    <row r="447" spans="1:13" hidden="1" x14ac:dyDescent="0.2">
      <c r="A447" s="1">
        <v>1990</v>
      </c>
      <c r="B447" s="2" t="d">
        <v>1990-06-21</v>
      </c>
      <c r="C447" s="1" t="s">
        <v>79</v>
      </c>
      <c r="D447" s="1" t="s">
        <v>317</v>
      </c>
      <c r="E447" s="1" t="s">
        <v>341</v>
      </c>
      <c r="F447" s="1" t="s">
        <v>342</v>
      </c>
      <c r="G447" s="1" t="s">
        <v>49</v>
      </c>
      <c r="H447" s="1" t="s">
        <v>23</v>
      </c>
      <c r="I447" s="1">
        <v>1</v>
      </c>
      <c r="J447" s="1">
        <v>2</v>
      </c>
      <c r="K447" s="1" t="s">
        <v>68</v>
      </c>
      <c r="L447" s="1" t="s">
        <v>19</v>
      </c>
      <c r="M447" s="1" t="str">
        <f t="shared" si="6"/>
        <v xml:space="preserve">1990|33045| 17:00 |Group E|Marc Antonio Bentegodi|Verona |Italy|Belgium|1|2|Spain| </v>
      </c>
    </row>
    <row r="448" spans="1:13" hidden="1" x14ac:dyDescent="0.2">
      <c r="A448" s="1">
        <v>1990</v>
      </c>
      <c r="B448" s="2" t="d">
        <v>1990-06-21</v>
      </c>
      <c r="C448" s="1" t="s">
        <v>268</v>
      </c>
      <c r="D448" s="1" t="s">
        <v>310</v>
      </c>
      <c r="E448" s="1" t="s">
        <v>343</v>
      </c>
      <c r="F448" s="1" t="s">
        <v>344</v>
      </c>
      <c r="G448" s="1" t="s">
        <v>49</v>
      </c>
      <c r="H448" s="1" t="s">
        <v>340</v>
      </c>
      <c r="I448" s="1">
        <v>1</v>
      </c>
      <c r="J448" s="1">
        <v>1</v>
      </c>
      <c r="K448" s="1" t="s">
        <v>59</v>
      </c>
      <c r="L448" s="1" t="s">
        <v>19</v>
      </c>
      <c r="M448" s="1" t="str">
        <f t="shared" si="6"/>
        <v xml:space="preserve">1990|33045| 21:00 |Group F|Della Favorita|Palermo |Italy|Republic of Ireland|1|1|Netherlands| </v>
      </c>
    </row>
    <row r="449" spans="1:13" hidden="1" x14ac:dyDescent="0.2">
      <c r="A449" s="1">
        <v>1990</v>
      </c>
      <c r="B449" s="2" t="d">
        <v>1990-06-21</v>
      </c>
      <c r="C449" s="1" t="s">
        <v>268</v>
      </c>
      <c r="D449" s="1" t="s">
        <v>310</v>
      </c>
      <c r="E449" s="1" t="s">
        <v>338</v>
      </c>
      <c r="F449" s="1" t="s">
        <v>339</v>
      </c>
      <c r="G449" s="1" t="s">
        <v>49</v>
      </c>
      <c r="H449" s="1" t="s">
        <v>110</v>
      </c>
      <c r="I449" s="1">
        <v>1</v>
      </c>
      <c r="J449" s="1">
        <v>0</v>
      </c>
      <c r="K449" s="1" t="s">
        <v>55</v>
      </c>
      <c r="L449" s="1" t="s">
        <v>19</v>
      </c>
      <c r="M449" s="1" t="str">
        <f t="shared" si="6"/>
        <v xml:space="preserve">1990|33045| 21:00 |Group F|Sant Elia|Cagliari |Italy|England|1|0|Egypt| </v>
      </c>
    </row>
    <row r="450" spans="1:13" hidden="1" x14ac:dyDescent="0.2">
      <c r="A450" s="1">
        <v>1990</v>
      </c>
      <c r="B450" s="2" t="d">
        <v>1990-06-23</v>
      </c>
      <c r="C450" s="1" t="s">
        <v>79</v>
      </c>
      <c r="D450" s="12" t="s">
        <v>323</v>
      </c>
      <c r="E450" s="1" t="s">
        <v>347</v>
      </c>
      <c r="F450" s="1" t="s">
        <v>53</v>
      </c>
      <c r="G450" s="1" t="s">
        <v>49</v>
      </c>
      <c r="H450" s="1" t="s">
        <v>273</v>
      </c>
      <c r="I450" s="1">
        <v>2</v>
      </c>
      <c r="J450" s="1">
        <v>1</v>
      </c>
      <c r="K450" s="1" t="s">
        <v>177</v>
      </c>
      <c r="L450" s="1" t="s">
        <v>349</v>
      </c>
      <c r="M450" s="1" t="str">
        <f t="shared" si="6"/>
        <v xml:space="preserve">1990|33047| 17:00 |Round of 16|San Paolo|Naples |Italy|Cameroon|2|1|Colombia|Cameroon win after extra time </v>
      </c>
    </row>
    <row r="451" spans="1:13" hidden="1" x14ac:dyDescent="0.2">
      <c r="A451" s="1">
        <v>1990</v>
      </c>
      <c r="B451" s="2" t="d">
        <v>1990-06-23</v>
      </c>
      <c r="C451" s="1" t="s">
        <v>268</v>
      </c>
      <c r="D451" s="12" t="s">
        <v>323</v>
      </c>
      <c r="E451" s="1" t="s">
        <v>330</v>
      </c>
      <c r="F451" s="1" t="s">
        <v>331</v>
      </c>
      <c r="G451" s="1" t="s">
        <v>49</v>
      </c>
      <c r="H451" s="1" t="s">
        <v>73</v>
      </c>
      <c r="I451" s="1">
        <v>4</v>
      </c>
      <c r="J451" s="1">
        <v>1</v>
      </c>
      <c r="K451" s="1" t="s">
        <v>337</v>
      </c>
      <c r="L451" s="1" t="s">
        <v>19</v>
      </c>
      <c r="M451" s="1" t="str">
        <f t="shared" ref="M451:M514" si="7">_xlfn.TEXTJOIN("|",TRUE,A451,B451,C451,D451,E451,F451,G451,H451,I451,J451,K451,L451)</f>
        <v xml:space="preserve">1990|33047| 21:00 |Round of 16|Stadio San Nicola|Bari |Italy|Czechoslovakia|4|1|Costa Rica| </v>
      </c>
    </row>
    <row r="452" spans="1:13" hidden="1" x14ac:dyDescent="0.2">
      <c r="A452" s="1">
        <v>1990</v>
      </c>
      <c r="B452" s="2" t="d">
        <v>1990-06-24</v>
      </c>
      <c r="C452" s="1" t="s">
        <v>79</v>
      </c>
      <c r="D452" s="12" t="s">
        <v>323</v>
      </c>
      <c r="E452" s="1" t="s">
        <v>336</v>
      </c>
      <c r="F452" s="1" t="s">
        <v>48</v>
      </c>
      <c r="G452" s="1" t="s">
        <v>49</v>
      </c>
      <c r="H452" s="1" t="s">
        <v>27</v>
      </c>
      <c r="I452" s="1">
        <v>0</v>
      </c>
      <c r="J452" s="1">
        <v>1</v>
      </c>
      <c r="K452" s="1" t="s">
        <v>33</v>
      </c>
      <c r="L452" s="1" t="s">
        <v>19</v>
      </c>
      <c r="M452" s="1" t="str">
        <f t="shared" si="7"/>
        <v xml:space="preserve">1990|33048| 17:00 |Round of 16|Stadio delle Alpi|Turin |Italy|Brazil|0|1|Argentina| </v>
      </c>
    </row>
    <row r="453" spans="1:13" x14ac:dyDescent="0.2">
      <c r="A453" s="1">
        <v>1990</v>
      </c>
      <c r="B453" s="2" t="d">
        <v>1990-06-24</v>
      </c>
      <c r="C453" s="1" t="s">
        <v>268</v>
      </c>
      <c r="D453" s="12" t="s">
        <v>323</v>
      </c>
      <c r="E453" s="1" t="s">
        <v>329</v>
      </c>
      <c r="F453" s="1" t="s">
        <v>57</v>
      </c>
      <c r="G453" s="1" t="s">
        <v>49</v>
      </c>
      <c r="H453" s="1" t="s">
        <v>133</v>
      </c>
      <c r="I453" s="1">
        <v>2</v>
      </c>
      <c r="J453" s="1">
        <v>1</v>
      </c>
      <c r="K453" s="1" t="s">
        <v>59</v>
      </c>
      <c r="L453" s="1" t="s">
        <v>19</v>
      </c>
      <c r="M453" s="1" t="str">
        <f t="shared" si="7"/>
        <v xml:space="preserve">1990|33048| 21:00 |Round of 16|Giuseppe Meazza|Milan |Italy|Germany FR|2|1|Netherlands| </v>
      </c>
    </row>
    <row r="454" spans="1:13" hidden="1" x14ac:dyDescent="0.2">
      <c r="A454" s="1">
        <v>1990</v>
      </c>
      <c r="B454" s="2" t="d">
        <v>1990-06-25</v>
      </c>
      <c r="C454" s="1" t="s">
        <v>79</v>
      </c>
      <c r="D454" s="12" t="s">
        <v>323</v>
      </c>
      <c r="E454" s="1" t="s">
        <v>66</v>
      </c>
      <c r="F454" s="1" t="s">
        <v>67</v>
      </c>
      <c r="G454" s="1" t="s">
        <v>49</v>
      </c>
      <c r="H454" s="1" t="s">
        <v>340</v>
      </c>
      <c r="I454" s="1">
        <v>0</v>
      </c>
      <c r="J454" s="1">
        <v>0</v>
      </c>
      <c r="K454" s="1" t="s">
        <v>30</v>
      </c>
      <c r="L454" s="1" t="s">
        <v>350</v>
      </c>
      <c r="M454" s="1" t="str">
        <f t="shared" si="7"/>
        <v xml:space="preserve">1990|33049| 17:00 |Round of 16|Luigi Ferraris|Genoa |Italy|Republic of Ireland|0|0|Romania|Republic of Ireland win on penalties (5 - 4) </v>
      </c>
    </row>
    <row r="455" spans="1:13" hidden="1" x14ac:dyDescent="0.2">
      <c r="A455" s="1">
        <v>1990</v>
      </c>
      <c r="B455" s="2" t="d">
        <v>1990-06-25</v>
      </c>
      <c r="C455" s="1" t="s">
        <v>268</v>
      </c>
      <c r="D455" s="12" t="s">
        <v>323</v>
      </c>
      <c r="E455" s="1" t="s">
        <v>334</v>
      </c>
      <c r="F455" s="1" t="s">
        <v>70</v>
      </c>
      <c r="G455" s="1" t="s">
        <v>49</v>
      </c>
      <c r="H455" s="1" t="s">
        <v>49</v>
      </c>
      <c r="I455" s="1">
        <v>2</v>
      </c>
      <c r="J455" s="1">
        <v>0</v>
      </c>
      <c r="K455" s="1" t="s">
        <v>16</v>
      </c>
      <c r="L455" s="1" t="s">
        <v>19</v>
      </c>
      <c r="M455" s="1" t="str">
        <f t="shared" si="7"/>
        <v xml:space="preserve">1990|33049| 21:00 |Round of 16|Stadio Olimpico|Rome |Italy|Italy|2|0|Uruguay| </v>
      </c>
    </row>
    <row r="456" spans="1:13" hidden="1" x14ac:dyDescent="0.2">
      <c r="A456" s="1">
        <v>1990</v>
      </c>
      <c r="B456" s="2" t="d">
        <v>1990-06-26</v>
      </c>
      <c r="C456" s="1" t="s">
        <v>79</v>
      </c>
      <c r="D456" s="12" t="s">
        <v>323</v>
      </c>
      <c r="E456" s="1" t="s">
        <v>341</v>
      </c>
      <c r="F456" s="1" t="s">
        <v>342</v>
      </c>
      <c r="G456" s="1" t="s">
        <v>49</v>
      </c>
      <c r="H456" s="1" t="s">
        <v>68</v>
      </c>
      <c r="I456" s="1">
        <v>1</v>
      </c>
      <c r="J456" s="1">
        <v>2</v>
      </c>
      <c r="K456" s="1" t="s">
        <v>26</v>
      </c>
      <c r="L456" s="1" t="s">
        <v>351</v>
      </c>
      <c r="M456" s="1" t="str">
        <f t="shared" si="7"/>
        <v xml:space="preserve">1990|33050| 17:00 |Round of 16|Marc Antonio Bentegodi|Verona |Italy|Spain|1|2|Yugoslavia|Yugoslavia win after extra time </v>
      </c>
    </row>
    <row r="457" spans="1:13" hidden="1" x14ac:dyDescent="0.2">
      <c r="A457" s="1">
        <v>1990</v>
      </c>
      <c r="B457" s="2" t="d">
        <v>1990-06-26</v>
      </c>
      <c r="C457" s="1" t="s">
        <v>268</v>
      </c>
      <c r="D457" s="12" t="s">
        <v>323</v>
      </c>
      <c r="E457" s="1" t="s">
        <v>332</v>
      </c>
      <c r="F457" s="1" t="s">
        <v>61</v>
      </c>
      <c r="G457" s="1" t="s">
        <v>49</v>
      </c>
      <c r="H457" s="1" t="s">
        <v>110</v>
      </c>
      <c r="I457" s="1">
        <v>1</v>
      </c>
      <c r="J457" s="1">
        <v>0</v>
      </c>
      <c r="K457" s="1" t="s">
        <v>23</v>
      </c>
      <c r="L457" s="1" t="s">
        <v>203</v>
      </c>
      <c r="M457" s="1" t="str">
        <f t="shared" si="7"/>
        <v xml:space="preserve">1990|33050| 21:00 |Round of 16|Renato Dall Ara|Bologna |Italy|England|1|0|Belgium|England win after extra time </v>
      </c>
    </row>
    <row r="458" spans="1:13" hidden="1" x14ac:dyDescent="0.2">
      <c r="A458" s="1">
        <v>1990</v>
      </c>
      <c r="B458" s="2" t="d">
        <v>1990-06-30</v>
      </c>
      <c r="C458" s="1" t="s">
        <v>79</v>
      </c>
      <c r="D458" s="12" t="s">
        <v>74</v>
      </c>
      <c r="E458" s="1" t="s">
        <v>335</v>
      </c>
      <c r="F458" s="1" t="s">
        <v>64</v>
      </c>
      <c r="G458" s="1" t="s">
        <v>49</v>
      </c>
      <c r="H458" s="1" t="s">
        <v>26</v>
      </c>
      <c r="I458" s="1">
        <v>0</v>
      </c>
      <c r="J458" s="1">
        <v>0</v>
      </c>
      <c r="K458" s="1" t="s">
        <v>33</v>
      </c>
      <c r="L458" s="1" t="s">
        <v>352</v>
      </c>
      <c r="M458" s="1" t="str">
        <f t="shared" si="7"/>
        <v xml:space="preserve">1990|33054| 17:00 |Quarter-finals|Comunale|Florence |Italy|Yugoslavia|0|0|Argentina| win on penalties (2 - 3) </v>
      </c>
    </row>
    <row r="459" spans="1:13" hidden="1" x14ac:dyDescent="0.2">
      <c r="A459" s="1">
        <v>1990</v>
      </c>
      <c r="B459" s="2" t="d">
        <v>1990-06-30</v>
      </c>
      <c r="C459" s="1" t="s">
        <v>268</v>
      </c>
      <c r="D459" s="12" t="s">
        <v>74</v>
      </c>
      <c r="E459" s="1" t="s">
        <v>334</v>
      </c>
      <c r="F459" s="1" t="s">
        <v>70</v>
      </c>
      <c r="G459" s="1" t="s">
        <v>49</v>
      </c>
      <c r="H459" s="1" t="s">
        <v>49</v>
      </c>
      <c r="I459" s="1">
        <v>1</v>
      </c>
      <c r="J459" s="1">
        <v>0</v>
      </c>
      <c r="K459" s="1" t="s">
        <v>340</v>
      </c>
      <c r="L459" s="1" t="s">
        <v>19</v>
      </c>
      <c r="M459" s="1" t="str">
        <f t="shared" si="7"/>
        <v xml:space="preserve">1990|33054| 21:00 |Quarter-finals|Stadio Olimpico|Rome |Italy|Italy|1|0|Republic of Ireland| </v>
      </c>
    </row>
    <row r="460" spans="1:13" x14ac:dyDescent="0.2">
      <c r="A460" s="1">
        <v>1990</v>
      </c>
      <c r="B460" s="2" t="d">
        <v>1990-07-01</v>
      </c>
      <c r="C460" s="1" t="s">
        <v>79</v>
      </c>
      <c r="D460" s="12" t="s">
        <v>74</v>
      </c>
      <c r="E460" s="1" t="s">
        <v>329</v>
      </c>
      <c r="F460" s="1" t="s">
        <v>57</v>
      </c>
      <c r="G460" s="1" t="s">
        <v>49</v>
      </c>
      <c r="H460" s="1" t="s">
        <v>133</v>
      </c>
      <c r="I460" s="1">
        <v>1</v>
      </c>
      <c r="J460" s="1">
        <v>0</v>
      </c>
      <c r="K460" s="1" t="s">
        <v>73</v>
      </c>
      <c r="L460" s="1" t="s">
        <v>19</v>
      </c>
      <c r="M460" s="1" t="str">
        <f t="shared" si="7"/>
        <v xml:space="preserve">1990|33055| 17:00 |Quarter-finals|Giuseppe Meazza|Milan |Italy|Germany FR|1|0|Czechoslovakia| </v>
      </c>
    </row>
    <row r="461" spans="1:13" hidden="1" x14ac:dyDescent="0.2">
      <c r="A461" s="1">
        <v>1990</v>
      </c>
      <c r="B461" s="2" t="d">
        <v>1990-07-01</v>
      </c>
      <c r="C461" s="1" t="s">
        <v>268</v>
      </c>
      <c r="D461" s="12" t="s">
        <v>74</v>
      </c>
      <c r="E461" s="1" t="s">
        <v>347</v>
      </c>
      <c r="F461" s="1" t="s">
        <v>53</v>
      </c>
      <c r="G461" s="1" t="s">
        <v>49</v>
      </c>
      <c r="H461" s="1" t="s">
        <v>110</v>
      </c>
      <c r="I461" s="1">
        <v>3</v>
      </c>
      <c r="J461" s="1">
        <v>2</v>
      </c>
      <c r="K461" s="1" t="s">
        <v>273</v>
      </c>
      <c r="L461" s="1" t="s">
        <v>203</v>
      </c>
      <c r="M461" s="1" t="str">
        <f t="shared" si="7"/>
        <v xml:space="preserve">1990|33055| 21:00 |Quarter-finals|San Paolo|Naples |Italy|England|3|2|Cameroon|England win after extra time </v>
      </c>
    </row>
    <row r="462" spans="1:13" hidden="1" x14ac:dyDescent="0.2">
      <c r="A462" s="1">
        <v>1990</v>
      </c>
      <c r="B462" s="2" t="d">
        <v>1990-07-03</v>
      </c>
      <c r="C462" s="1" t="s">
        <v>262</v>
      </c>
      <c r="D462" s="12" t="s">
        <v>42</v>
      </c>
      <c r="E462" s="1" t="s">
        <v>347</v>
      </c>
      <c r="F462" s="1" t="s">
        <v>53</v>
      </c>
      <c r="G462" s="1" t="s">
        <v>49</v>
      </c>
      <c r="H462" s="1" t="s">
        <v>49</v>
      </c>
      <c r="I462" s="1">
        <v>1</v>
      </c>
      <c r="J462" s="1">
        <v>1</v>
      </c>
      <c r="K462" s="1" t="s">
        <v>33</v>
      </c>
      <c r="L462" s="1" t="s">
        <v>353</v>
      </c>
      <c r="M462" s="1" t="str">
        <f t="shared" si="7"/>
        <v xml:space="preserve">1990|33057| 20:00 |Semi-finals|San Paolo|Naples |Italy|Italy|1|1|Argentina| win on penalties (3 - 4) </v>
      </c>
    </row>
    <row r="463" spans="1:13" x14ac:dyDescent="0.2">
      <c r="A463" s="1">
        <v>1990</v>
      </c>
      <c r="B463" s="2" t="d">
        <v>1990-07-04</v>
      </c>
      <c r="C463" s="1" t="s">
        <v>262</v>
      </c>
      <c r="D463" s="12" t="s">
        <v>42</v>
      </c>
      <c r="E463" s="1" t="s">
        <v>336</v>
      </c>
      <c r="F463" s="1" t="s">
        <v>48</v>
      </c>
      <c r="G463" s="1" t="s">
        <v>49</v>
      </c>
      <c r="H463" s="1" t="s">
        <v>133</v>
      </c>
      <c r="I463" s="1">
        <v>1</v>
      </c>
      <c r="J463" s="1">
        <v>1</v>
      </c>
      <c r="K463" s="1" t="s">
        <v>110</v>
      </c>
      <c r="L463" s="1" t="s">
        <v>354</v>
      </c>
      <c r="M463" s="1" t="str">
        <f t="shared" si="7"/>
        <v xml:space="preserve">1990|33058| 20:00 |Semi-finals|Stadio delle Alpi|Turin |Italy|Germany FR|1|1|England| win on penalties (4 - 3) </v>
      </c>
    </row>
    <row r="464" spans="1:13" hidden="1" x14ac:dyDescent="0.2">
      <c r="A464" s="1">
        <v>1990</v>
      </c>
      <c r="B464" s="2" t="d">
        <v>1990-07-07</v>
      </c>
      <c r="C464" s="1" t="s">
        <v>262</v>
      </c>
      <c r="D464" s="12" t="s">
        <v>76</v>
      </c>
      <c r="E464" s="1" t="s">
        <v>330</v>
      </c>
      <c r="F464" s="1" t="s">
        <v>331</v>
      </c>
      <c r="G464" s="1" t="s">
        <v>49</v>
      </c>
      <c r="H464" s="1" t="s">
        <v>49</v>
      </c>
      <c r="I464" s="1">
        <v>2</v>
      </c>
      <c r="J464" s="1">
        <v>1</v>
      </c>
      <c r="K464" s="1" t="s">
        <v>110</v>
      </c>
      <c r="L464" s="1" t="s">
        <v>19</v>
      </c>
      <c r="M464" s="1" t="str">
        <f t="shared" si="7"/>
        <v xml:space="preserve">1990|33061| 20:00 |Match for third place|Stadio San Nicola|Bari |Italy|Italy|2|1|England| </v>
      </c>
    </row>
    <row r="465" spans="1:13" x14ac:dyDescent="0.2">
      <c r="A465" s="1">
        <v>1990</v>
      </c>
      <c r="B465" s="2" t="d">
        <v>1990-07-08</v>
      </c>
      <c r="C465" s="1" t="s">
        <v>262</v>
      </c>
      <c r="D465" s="12" t="s">
        <v>44</v>
      </c>
      <c r="E465" s="1" t="s">
        <v>334</v>
      </c>
      <c r="F465" s="1" t="s">
        <v>70</v>
      </c>
      <c r="G465" s="1" t="s">
        <v>49</v>
      </c>
      <c r="H465" s="1" t="s">
        <v>133</v>
      </c>
      <c r="I465" s="1">
        <v>1</v>
      </c>
      <c r="J465" s="1">
        <v>0</v>
      </c>
      <c r="K465" s="1" t="s">
        <v>33</v>
      </c>
      <c r="L465" s="1" t="s">
        <v>19</v>
      </c>
      <c r="M465" s="1" t="str">
        <f t="shared" si="7"/>
        <v xml:space="preserve">1990|33062| 20:00 |Final|Stadio Olimpico|Rome |Italy|Germany FR|1|0|Argentina| </v>
      </c>
    </row>
    <row r="466" spans="1:13" hidden="1" x14ac:dyDescent="0.2">
      <c r="A466" s="1">
        <v>1994</v>
      </c>
      <c r="B466" s="2" t="d">
        <v>1994-06-17</v>
      </c>
      <c r="C466" s="1" t="s">
        <v>185</v>
      </c>
      <c r="D466" s="1" t="s">
        <v>304</v>
      </c>
      <c r="E466" s="1" t="s">
        <v>355</v>
      </c>
      <c r="F466" s="1" t="s">
        <v>356</v>
      </c>
      <c r="G466" s="1" t="s">
        <v>22</v>
      </c>
      <c r="H466" s="1" t="s">
        <v>68</v>
      </c>
      <c r="I466" s="1">
        <v>2</v>
      </c>
      <c r="J466" s="1">
        <v>2</v>
      </c>
      <c r="K466" s="1" t="s">
        <v>135</v>
      </c>
      <c r="L466" s="1" t="s">
        <v>19</v>
      </c>
      <c r="M466" s="1" t="str">
        <f t="shared" si="7"/>
        <v xml:space="preserve">1994|34502| 19:30 |Group C|Cotton Bowl|Dallas |USA|Spain|2|2|Korea Republic| </v>
      </c>
    </row>
    <row r="467" spans="1:13" x14ac:dyDescent="0.2">
      <c r="A467" s="1">
        <v>1994</v>
      </c>
      <c r="B467" s="2" t="d">
        <v>1994-06-17</v>
      </c>
      <c r="C467" s="1" t="s">
        <v>12</v>
      </c>
      <c r="D467" s="1" t="s">
        <v>304</v>
      </c>
      <c r="E467" s="1" t="s">
        <v>357</v>
      </c>
      <c r="F467" s="1" t="s">
        <v>358</v>
      </c>
      <c r="G467" s="1" t="s">
        <v>22</v>
      </c>
      <c r="H467" s="1" t="s">
        <v>65</v>
      </c>
      <c r="I467" s="1">
        <v>1</v>
      </c>
      <c r="J467" s="1">
        <v>0</v>
      </c>
      <c r="K467" s="1" t="s">
        <v>36</v>
      </c>
      <c r="L467" s="1" t="s">
        <v>19</v>
      </c>
      <c r="M467" s="1" t="str">
        <f t="shared" si="7"/>
        <v xml:space="preserve">1994|34502| 15:00 |Group C|Soldier Field|Chicago |USA|Germany|1|0|Bolivia| </v>
      </c>
    </row>
    <row r="468" spans="1:13" hidden="1" x14ac:dyDescent="0.2">
      <c r="A468" s="1">
        <v>1994</v>
      </c>
      <c r="B468" s="2" t="d">
        <v>1994-06-18</v>
      </c>
      <c r="C468" s="1" t="s">
        <v>359</v>
      </c>
      <c r="D468" s="1" t="s">
        <v>242</v>
      </c>
      <c r="E468" s="1" t="s">
        <v>360</v>
      </c>
      <c r="F468" s="1" t="s">
        <v>361</v>
      </c>
      <c r="G468" s="1" t="s">
        <v>22</v>
      </c>
      <c r="H468" s="1" t="s">
        <v>22</v>
      </c>
      <c r="I468" s="1">
        <v>1</v>
      </c>
      <c r="J468" s="1">
        <v>1</v>
      </c>
      <c r="K468" s="1" t="s">
        <v>58</v>
      </c>
      <c r="L468" s="1" t="s">
        <v>19</v>
      </c>
      <c r="M468" s="1" t="str">
        <f t="shared" si="7"/>
        <v xml:space="preserve">1994|34503| 11:30 |Group A|Pontiac Silverdome|Detroit |USA|USA|1|1|Switzerland| </v>
      </c>
    </row>
    <row r="469" spans="1:13" hidden="1" x14ac:dyDescent="0.2">
      <c r="A469" s="1">
        <v>1994</v>
      </c>
      <c r="B469" s="2" t="d">
        <v>1994-06-18</v>
      </c>
      <c r="C469" s="1" t="s">
        <v>32</v>
      </c>
      <c r="D469" s="1" t="s">
        <v>317</v>
      </c>
      <c r="E469" s="1" t="s">
        <v>362</v>
      </c>
      <c r="F469" s="1" t="s">
        <v>363</v>
      </c>
      <c r="G469" s="1" t="s">
        <v>22</v>
      </c>
      <c r="H469" s="1" t="s">
        <v>49</v>
      </c>
      <c r="I469" s="1">
        <v>0</v>
      </c>
      <c r="J469" s="1">
        <v>1</v>
      </c>
      <c r="K469" s="1" t="s">
        <v>340</v>
      </c>
      <c r="L469" s="1" t="s">
        <v>19</v>
      </c>
      <c r="M469" s="1" t="str">
        <f t="shared" si="7"/>
        <v xml:space="preserve">1994|34503| 16:00 |Group E|Giants Stadium|New York/New Jersey |USA|Italy|0|1|Republic of Ireland| </v>
      </c>
    </row>
    <row r="470" spans="1:13" hidden="1" x14ac:dyDescent="0.2">
      <c r="A470" s="1">
        <v>1994</v>
      </c>
      <c r="B470" s="2" t="d">
        <v>1994-06-18</v>
      </c>
      <c r="C470" s="1" t="s">
        <v>185</v>
      </c>
      <c r="D470" s="1" t="s">
        <v>242</v>
      </c>
      <c r="E470" s="1" t="s">
        <v>364</v>
      </c>
      <c r="F470" s="1" t="s">
        <v>365</v>
      </c>
      <c r="G470" s="1" t="s">
        <v>22</v>
      </c>
      <c r="H470" s="1" t="s">
        <v>177</v>
      </c>
      <c r="I470" s="1">
        <v>1</v>
      </c>
      <c r="J470" s="1">
        <v>3</v>
      </c>
      <c r="K470" s="1" t="s">
        <v>30</v>
      </c>
      <c r="L470" s="1" t="s">
        <v>19</v>
      </c>
      <c r="M470" s="1" t="str">
        <f t="shared" si="7"/>
        <v xml:space="preserve">1994|34503| 19:30 |Group A|Rose Bowl|Los Angeles |USA|Colombia|1|3|Romania| </v>
      </c>
    </row>
    <row r="471" spans="1:13" hidden="1" x14ac:dyDescent="0.2">
      <c r="A471" s="1">
        <v>1994</v>
      </c>
      <c r="B471" s="2" t="d">
        <v>1994-06-19</v>
      </c>
      <c r="C471" s="1" t="s">
        <v>366</v>
      </c>
      <c r="D471" s="1" t="s">
        <v>310</v>
      </c>
      <c r="E471" s="1" t="s">
        <v>367</v>
      </c>
      <c r="F471" s="1" t="s">
        <v>368</v>
      </c>
      <c r="G471" s="1" t="s">
        <v>22</v>
      </c>
      <c r="H471" s="1" t="s">
        <v>23</v>
      </c>
      <c r="I471" s="1">
        <v>1</v>
      </c>
      <c r="J471" s="1">
        <v>0</v>
      </c>
      <c r="K471" s="1" t="s">
        <v>216</v>
      </c>
      <c r="L471" s="1" t="s">
        <v>19</v>
      </c>
      <c r="M471" s="1" t="str">
        <f t="shared" si="7"/>
        <v xml:space="preserve">1994|34504| 12:30 |Group F|Citrus Bowl|Orlando |USA|Belgium|1|0|Morocco| </v>
      </c>
    </row>
    <row r="472" spans="1:13" hidden="1" x14ac:dyDescent="0.2">
      <c r="A472" s="1">
        <v>1994</v>
      </c>
      <c r="B472" s="2" t="d">
        <v>1994-06-19</v>
      </c>
      <c r="C472" s="1" t="s">
        <v>32</v>
      </c>
      <c r="D472" s="1" t="s">
        <v>317</v>
      </c>
      <c r="E472" s="1" t="s">
        <v>369</v>
      </c>
      <c r="F472" s="1" t="s">
        <v>370</v>
      </c>
      <c r="G472" s="1" t="s">
        <v>22</v>
      </c>
      <c r="H472" s="1" t="s">
        <v>93</v>
      </c>
      <c r="I472" s="1">
        <v>1</v>
      </c>
      <c r="J472" s="1">
        <v>0</v>
      </c>
      <c r="K472" s="1" t="s">
        <v>18</v>
      </c>
      <c r="L472" s="1" t="s">
        <v>19</v>
      </c>
      <c r="M472" s="1" t="str">
        <f t="shared" si="7"/>
        <v xml:space="preserve">1994|34504| 16:00 |Group E|RFK Stadium|Washington Dc |USA|Norway|1|0|Mexico| </v>
      </c>
    </row>
    <row r="473" spans="1:13" hidden="1" x14ac:dyDescent="0.2">
      <c r="A473" s="1">
        <v>1994</v>
      </c>
      <c r="B473" s="2" t="d">
        <v>1994-06-19</v>
      </c>
      <c r="C473" s="1" t="s">
        <v>185</v>
      </c>
      <c r="D473" s="1" t="s">
        <v>241</v>
      </c>
      <c r="E473" s="1" t="s">
        <v>364</v>
      </c>
      <c r="F473" s="1" t="s">
        <v>365</v>
      </c>
      <c r="G473" s="1" t="s">
        <v>22</v>
      </c>
      <c r="H473" s="1" t="s">
        <v>273</v>
      </c>
      <c r="I473" s="1">
        <v>2</v>
      </c>
      <c r="J473" s="1">
        <v>2</v>
      </c>
      <c r="K473" s="1" t="s">
        <v>62</v>
      </c>
      <c r="L473" s="1" t="s">
        <v>19</v>
      </c>
      <c r="M473" s="1" t="str">
        <f t="shared" si="7"/>
        <v xml:space="preserve">1994|34504| 19:30 |Group B|Rose Bowl|Los Angeles |USA|Cameroon|2|2|Sweden| </v>
      </c>
    </row>
    <row r="474" spans="1:13" hidden="1" x14ac:dyDescent="0.2">
      <c r="A474" s="1">
        <v>1994</v>
      </c>
      <c r="B474" s="2" t="d">
        <v>1994-06-20</v>
      </c>
      <c r="C474" s="1" t="s">
        <v>185</v>
      </c>
      <c r="D474" s="1" t="s">
        <v>310</v>
      </c>
      <c r="E474" s="1" t="s">
        <v>369</v>
      </c>
      <c r="F474" s="1" t="s">
        <v>370</v>
      </c>
      <c r="G474" s="1" t="s">
        <v>22</v>
      </c>
      <c r="H474" s="1" t="s">
        <v>59</v>
      </c>
      <c r="I474" s="1">
        <v>2</v>
      </c>
      <c r="J474" s="1">
        <v>1</v>
      </c>
      <c r="K474" s="1" t="s">
        <v>371</v>
      </c>
      <c r="L474" s="1" t="s">
        <v>19</v>
      </c>
      <c r="M474" s="1" t="str">
        <f t="shared" si="7"/>
        <v xml:space="preserve">1994|34505| 19:30 |Group F|RFK Stadium|Washington Dc |USA|Netherlands|2|1|Saudi Arabia| </v>
      </c>
    </row>
    <row r="475" spans="1:13" hidden="1" x14ac:dyDescent="0.2">
      <c r="A475" s="1">
        <v>1994</v>
      </c>
      <c r="B475" s="2" t="d">
        <v>1994-06-20</v>
      </c>
      <c r="C475" s="1" t="s">
        <v>32</v>
      </c>
      <c r="D475" s="1" t="s">
        <v>241</v>
      </c>
      <c r="E475" s="1" t="s">
        <v>372</v>
      </c>
      <c r="F475" s="1" t="s">
        <v>373</v>
      </c>
      <c r="G475" s="1" t="s">
        <v>22</v>
      </c>
      <c r="H475" s="1" t="s">
        <v>27</v>
      </c>
      <c r="I475" s="1">
        <v>2</v>
      </c>
      <c r="J475" s="1">
        <v>0</v>
      </c>
      <c r="K475" s="1" t="s">
        <v>374</v>
      </c>
      <c r="L475" s="1" t="s">
        <v>19</v>
      </c>
      <c r="M475" s="1" t="str">
        <f t="shared" si="7"/>
        <v xml:space="preserve">1994|34505| 16:00 |Group B|Stanford Stadium|San Francisco |USA|Brazil|2|0|Russia| </v>
      </c>
    </row>
    <row r="476" spans="1:13" hidden="1" x14ac:dyDescent="0.2">
      <c r="A476" s="1">
        <v>1994</v>
      </c>
      <c r="B476" s="2" t="d">
        <v>1994-06-21</v>
      </c>
      <c r="C476" s="1" t="s">
        <v>366</v>
      </c>
      <c r="D476" s="1" t="s">
        <v>306</v>
      </c>
      <c r="E476" s="1" t="s">
        <v>375</v>
      </c>
      <c r="F476" s="1" t="s">
        <v>376</v>
      </c>
      <c r="G476" s="1" t="s">
        <v>22</v>
      </c>
      <c r="H476" s="1" t="s">
        <v>33</v>
      </c>
      <c r="I476" s="1">
        <v>4</v>
      </c>
      <c r="J476" s="1">
        <v>0</v>
      </c>
      <c r="K476" s="1" t="s">
        <v>377</v>
      </c>
      <c r="L476" s="1" t="s">
        <v>19</v>
      </c>
      <c r="M476" s="1" t="str">
        <f t="shared" si="7"/>
        <v xml:space="preserve">1994|34506| 12:30 |Group D|Foxboro Stadium|Boston |USA|Argentina|4|0|Greece| </v>
      </c>
    </row>
    <row r="477" spans="1:13" hidden="1" x14ac:dyDescent="0.2">
      <c r="A477" s="1">
        <v>1994</v>
      </c>
      <c r="B477" s="2" t="d">
        <v>1994-06-21</v>
      </c>
      <c r="C477" s="1" t="s">
        <v>185</v>
      </c>
      <c r="D477" s="1" t="s">
        <v>306</v>
      </c>
      <c r="E477" s="1" t="s">
        <v>355</v>
      </c>
      <c r="F477" s="1" t="s">
        <v>356</v>
      </c>
      <c r="G477" s="1" t="s">
        <v>22</v>
      </c>
      <c r="H477" s="1" t="s">
        <v>378</v>
      </c>
      <c r="I477" s="1">
        <v>3</v>
      </c>
      <c r="J477" s="1">
        <v>0</v>
      </c>
      <c r="K477" s="1" t="s">
        <v>182</v>
      </c>
      <c r="L477" s="1" t="s">
        <v>19</v>
      </c>
      <c r="M477" s="1" t="str">
        <f t="shared" si="7"/>
        <v xml:space="preserve">1994|34506| 19:30 |Group D|Cotton Bowl|Dallas |USA|Nigeria|3|0|Bulgaria| </v>
      </c>
    </row>
    <row r="478" spans="1:13" x14ac:dyDescent="0.2">
      <c r="A478" s="1">
        <v>1994</v>
      </c>
      <c r="B478" s="2" t="d">
        <v>1994-06-21</v>
      </c>
      <c r="C478" s="1" t="s">
        <v>32</v>
      </c>
      <c r="D478" s="1" t="s">
        <v>304</v>
      </c>
      <c r="E478" s="1" t="s">
        <v>357</v>
      </c>
      <c r="F478" s="1" t="s">
        <v>358</v>
      </c>
      <c r="G478" s="1" t="s">
        <v>22</v>
      </c>
      <c r="H478" s="1" t="s">
        <v>65</v>
      </c>
      <c r="I478" s="1">
        <v>1</v>
      </c>
      <c r="J478" s="1">
        <v>1</v>
      </c>
      <c r="K478" s="1" t="s">
        <v>68</v>
      </c>
      <c r="L478" s="1" t="s">
        <v>19</v>
      </c>
      <c r="M478" s="1" t="str">
        <f t="shared" si="7"/>
        <v xml:space="preserve">1994|34506| 16:00 |Group C|Soldier Field|Chicago |USA|Germany|1|1|Spain| </v>
      </c>
    </row>
    <row r="479" spans="1:13" hidden="1" x14ac:dyDescent="0.2">
      <c r="A479" s="1">
        <v>1994</v>
      </c>
      <c r="B479" s="2" t="d">
        <v>1994-06-22</v>
      </c>
      <c r="C479" s="1" t="s">
        <v>32</v>
      </c>
      <c r="D479" s="1" t="s">
        <v>242</v>
      </c>
      <c r="E479" s="1" t="s">
        <v>360</v>
      </c>
      <c r="F479" s="1" t="s">
        <v>361</v>
      </c>
      <c r="G479" s="1" t="s">
        <v>22</v>
      </c>
      <c r="H479" s="1" t="s">
        <v>30</v>
      </c>
      <c r="I479" s="1">
        <v>1</v>
      </c>
      <c r="J479" s="1">
        <v>4</v>
      </c>
      <c r="K479" s="1" t="s">
        <v>58</v>
      </c>
      <c r="L479" s="1" t="s">
        <v>19</v>
      </c>
      <c r="M479" s="1" t="str">
        <f t="shared" si="7"/>
        <v xml:space="preserve">1994|34507| 16:00 |Group A|Pontiac Silverdome|Detroit |USA|Romania|1|4|Switzerland| </v>
      </c>
    </row>
    <row r="480" spans="1:13" hidden="1" x14ac:dyDescent="0.2">
      <c r="A480" s="1">
        <v>1994</v>
      </c>
      <c r="B480" s="2" t="d">
        <v>1994-06-22</v>
      </c>
      <c r="C480" s="1" t="s">
        <v>185</v>
      </c>
      <c r="D480" s="1" t="s">
        <v>242</v>
      </c>
      <c r="E480" s="1" t="s">
        <v>364</v>
      </c>
      <c r="F480" s="1" t="s">
        <v>365</v>
      </c>
      <c r="G480" s="1" t="s">
        <v>22</v>
      </c>
      <c r="H480" s="1" t="s">
        <v>22</v>
      </c>
      <c r="I480" s="1">
        <v>2</v>
      </c>
      <c r="J480" s="1">
        <v>1</v>
      </c>
      <c r="K480" s="1" t="s">
        <v>177</v>
      </c>
      <c r="L480" s="1" t="s">
        <v>19</v>
      </c>
      <c r="M480" s="1" t="str">
        <f t="shared" si="7"/>
        <v xml:space="preserve">1994|34507| 19:30 |Group A|Rose Bowl|Los Angeles |USA|USA|2|1|Colombia| </v>
      </c>
    </row>
    <row r="481" spans="1:13" hidden="1" x14ac:dyDescent="0.2">
      <c r="A481" s="1">
        <v>1994</v>
      </c>
      <c r="B481" s="2" t="d">
        <v>1994-06-23</v>
      </c>
      <c r="C481" s="1" t="s">
        <v>32</v>
      </c>
      <c r="D481" s="1" t="s">
        <v>317</v>
      </c>
      <c r="E481" s="1" t="s">
        <v>362</v>
      </c>
      <c r="F481" s="1" t="s">
        <v>363</v>
      </c>
      <c r="G481" s="1" t="s">
        <v>22</v>
      </c>
      <c r="H481" s="1" t="s">
        <v>49</v>
      </c>
      <c r="I481" s="1">
        <v>1</v>
      </c>
      <c r="J481" s="1">
        <v>0</v>
      </c>
      <c r="K481" s="1" t="s">
        <v>93</v>
      </c>
      <c r="L481" s="1" t="s">
        <v>19</v>
      </c>
      <c r="M481" s="1" t="str">
        <f t="shared" si="7"/>
        <v xml:space="preserve">1994|34508| 16:00 |Group E|Giants Stadium|New York/New Jersey |USA|Italy|1|0|Norway| </v>
      </c>
    </row>
    <row r="482" spans="1:13" hidden="1" x14ac:dyDescent="0.2">
      <c r="A482" s="1">
        <v>1994</v>
      </c>
      <c r="B482" s="2" t="d">
        <v>1994-06-23</v>
      </c>
      <c r="C482" s="1" t="s">
        <v>185</v>
      </c>
      <c r="D482" s="1" t="s">
        <v>304</v>
      </c>
      <c r="E482" s="1" t="s">
        <v>375</v>
      </c>
      <c r="F482" s="1" t="s">
        <v>376</v>
      </c>
      <c r="G482" s="1" t="s">
        <v>22</v>
      </c>
      <c r="H482" s="1" t="s">
        <v>135</v>
      </c>
      <c r="I482" s="1">
        <v>0</v>
      </c>
      <c r="J482" s="1">
        <v>0</v>
      </c>
      <c r="K482" s="1" t="s">
        <v>36</v>
      </c>
      <c r="L482" s="1" t="s">
        <v>19</v>
      </c>
      <c r="M482" s="1" t="str">
        <f t="shared" si="7"/>
        <v xml:space="preserve">1994|34508| 19:30 |Group C|Foxboro Stadium|Boston |USA|Korea Republic|0|0|Bolivia| </v>
      </c>
    </row>
    <row r="483" spans="1:13" hidden="1" x14ac:dyDescent="0.2">
      <c r="A483" s="1">
        <v>1994</v>
      </c>
      <c r="B483" s="2" t="d">
        <v>1994-06-24</v>
      </c>
      <c r="C483" s="1" t="s">
        <v>366</v>
      </c>
      <c r="D483" s="1" t="s">
        <v>317</v>
      </c>
      <c r="E483" s="1" t="s">
        <v>367</v>
      </c>
      <c r="F483" s="1" t="s">
        <v>368</v>
      </c>
      <c r="G483" s="1" t="s">
        <v>22</v>
      </c>
      <c r="H483" s="1" t="s">
        <v>18</v>
      </c>
      <c r="I483" s="1">
        <v>2</v>
      </c>
      <c r="J483" s="1">
        <v>1</v>
      </c>
      <c r="K483" s="1" t="s">
        <v>340</v>
      </c>
      <c r="L483" s="1" t="s">
        <v>19</v>
      </c>
      <c r="M483" s="1" t="str">
        <f t="shared" si="7"/>
        <v xml:space="preserve">1994|34509| 12:30 |Group E|Citrus Bowl|Orlando |USA|Mexico|2|1|Republic of Ireland| </v>
      </c>
    </row>
    <row r="484" spans="1:13" hidden="1" x14ac:dyDescent="0.2">
      <c r="A484" s="1">
        <v>1994</v>
      </c>
      <c r="B484" s="2" t="d">
        <v>1994-06-24</v>
      </c>
      <c r="C484" s="1" t="s">
        <v>185</v>
      </c>
      <c r="D484" s="1" t="s">
        <v>241</v>
      </c>
      <c r="E484" s="1" t="s">
        <v>360</v>
      </c>
      <c r="F484" s="1" t="s">
        <v>361</v>
      </c>
      <c r="G484" s="1" t="s">
        <v>22</v>
      </c>
      <c r="H484" s="1" t="s">
        <v>62</v>
      </c>
      <c r="I484" s="1">
        <v>3</v>
      </c>
      <c r="J484" s="1">
        <v>1</v>
      </c>
      <c r="K484" s="1" t="s">
        <v>374</v>
      </c>
      <c r="L484" s="1" t="s">
        <v>19</v>
      </c>
      <c r="M484" s="1" t="str">
        <f t="shared" si="7"/>
        <v xml:space="preserve">1994|34509| 19:30 |Group B|Pontiac Silverdome|Detroit |USA|Sweden|3|1|Russia| </v>
      </c>
    </row>
    <row r="485" spans="1:13" hidden="1" x14ac:dyDescent="0.2">
      <c r="A485" s="1">
        <v>1994</v>
      </c>
      <c r="B485" s="2" t="d">
        <v>1994-06-24</v>
      </c>
      <c r="C485" s="1" t="s">
        <v>32</v>
      </c>
      <c r="D485" s="1" t="s">
        <v>241</v>
      </c>
      <c r="E485" s="1" t="s">
        <v>372</v>
      </c>
      <c r="F485" s="1" t="s">
        <v>373</v>
      </c>
      <c r="G485" s="1" t="s">
        <v>22</v>
      </c>
      <c r="H485" s="1" t="s">
        <v>27</v>
      </c>
      <c r="I485" s="1">
        <v>3</v>
      </c>
      <c r="J485" s="1">
        <v>0</v>
      </c>
      <c r="K485" s="1" t="s">
        <v>273</v>
      </c>
      <c r="L485" s="1" t="s">
        <v>19</v>
      </c>
      <c r="M485" s="1" t="str">
        <f t="shared" si="7"/>
        <v xml:space="preserve">1994|34509| 16:00 |Group B|Stanford Stadium|San Francisco |USA|Brazil|3|0|Cameroon| </v>
      </c>
    </row>
    <row r="486" spans="1:13" hidden="1" x14ac:dyDescent="0.2">
      <c r="A486" s="1">
        <v>1994</v>
      </c>
      <c r="B486" s="2" t="d">
        <v>1994-06-25</v>
      </c>
      <c r="C486" s="1" t="s">
        <v>366</v>
      </c>
      <c r="D486" s="1" t="s">
        <v>310</v>
      </c>
      <c r="E486" s="1" t="s">
        <v>367</v>
      </c>
      <c r="F486" s="1" t="s">
        <v>368</v>
      </c>
      <c r="G486" s="1" t="s">
        <v>22</v>
      </c>
      <c r="H486" s="1" t="s">
        <v>23</v>
      </c>
      <c r="I486" s="1">
        <v>1</v>
      </c>
      <c r="J486" s="1">
        <v>0</v>
      </c>
      <c r="K486" s="1" t="s">
        <v>59</v>
      </c>
      <c r="L486" s="1" t="s">
        <v>19</v>
      </c>
      <c r="M486" s="1" t="str">
        <f t="shared" si="7"/>
        <v xml:space="preserve">1994|34510| 12:30 |Group F|Citrus Bowl|Orlando |USA|Belgium|1|0|Netherlands| </v>
      </c>
    </row>
    <row r="487" spans="1:13" hidden="1" x14ac:dyDescent="0.2">
      <c r="A487" s="1">
        <v>1994</v>
      </c>
      <c r="B487" s="2" t="d">
        <v>1994-06-25</v>
      </c>
      <c r="C487" s="1" t="s">
        <v>366</v>
      </c>
      <c r="D487" s="1" t="s">
        <v>310</v>
      </c>
      <c r="E487" s="1" t="s">
        <v>362</v>
      </c>
      <c r="F487" s="1" t="s">
        <v>363</v>
      </c>
      <c r="G487" s="1" t="s">
        <v>22</v>
      </c>
      <c r="H487" s="1" t="s">
        <v>371</v>
      </c>
      <c r="I487" s="1">
        <v>2</v>
      </c>
      <c r="J487" s="1">
        <v>1</v>
      </c>
      <c r="K487" s="1" t="s">
        <v>216</v>
      </c>
      <c r="L487" s="1" t="s">
        <v>19</v>
      </c>
      <c r="M487" s="1" t="str">
        <f t="shared" si="7"/>
        <v xml:space="preserve">1994|34510| 12:30 |Group F|Giants Stadium|New York/New Jersey |USA|Saudi Arabia|2|1|Morocco| </v>
      </c>
    </row>
    <row r="488" spans="1:13" hidden="1" x14ac:dyDescent="0.2">
      <c r="A488" s="1">
        <v>1994</v>
      </c>
      <c r="B488" s="2" t="d">
        <v>1994-06-25</v>
      </c>
      <c r="C488" s="1" t="s">
        <v>32</v>
      </c>
      <c r="D488" s="1" t="s">
        <v>306</v>
      </c>
      <c r="E488" s="1" t="s">
        <v>375</v>
      </c>
      <c r="F488" s="1" t="s">
        <v>376</v>
      </c>
      <c r="G488" s="1" t="s">
        <v>22</v>
      </c>
      <c r="H488" s="1" t="s">
        <v>33</v>
      </c>
      <c r="I488" s="1">
        <v>2</v>
      </c>
      <c r="J488" s="1">
        <v>1</v>
      </c>
      <c r="K488" s="1" t="s">
        <v>378</v>
      </c>
      <c r="L488" s="1" t="s">
        <v>19</v>
      </c>
      <c r="M488" s="1" t="str">
        <f t="shared" si="7"/>
        <v xml:space="preserve">1994|34510| 16:00 |Group D|Foxboro Stadium|Boston |USA|Argentina|2|1|Nigeria| </v>
      </c>
    </row>
    <row r="489" spans="1:13" hidden="1" x14ac:dyDescent="0.2">
      <c r="A489" s="1">
        <v>1994</v>
      </c>
      <c r="B489" s="2" t="d">
        <v>1994-06-26</v>
      </c>
      <c r="C489" s="1" t="s">
        <v>366</v>
      </c>
      <c r="D489" s="1" t="s">
        <v>306</v>
      </c>
      <c r="E489" s="1" t="s">
        <v>357</v>
      </c>
      <c r="F489" s="1" t="s">
        <v>358</v>
      </c>
      <c r="G489" s="1" t="s">
        <v>22</v>
      </c>
      <c r="H489" s="1" t="s">
        <v>182</v>
      </c>
      <c r="I489" s="1">
        <v>4</v>
      </c>
      <c r="J489" s="1">
        <v>0</v>
      </c>
      <c r="K489" s="1" t="s">
        <v>377</v>
      </c>
      <c r="L489" s="1" t="s">
        <v>19</v>
      </c>
      <c r="M489" s="1" t="str">
        <f t="shared" si="7"/>
        <v xml:space="preserve">1994|34511| 12:30 |Group D|Soldier Field|Chicago |USA|Bulgaria|4|0|Greece| </v>
      </c>
    </row>
    <row r="490" spans="1:13" hidden="1" x14ac:dyDescent="0.2">
      <c r="A490" s="1">
        <v>1994</v>
      </c>
      <c r="B490" s="2" t="d">
        <v>1994-06-26</v>
      </c>
      <c r="C490" s="1" t="s">
        <v>32</v>
      </c>
      <c r="D490" s="1" t="s">
        <v>242</v>
      </c>
      <c r="E490" s="1" t="s">
        <v>364</v>
      </c>
      <c r="F490" s="1" t="s">
        <v>365</v>
      </c>
      <c r="G490" s="1" t="s">
        <v>22</v>
      </c>
      <c r="H490" s="1" t="s">
        <v>22</v>
      </c>
      <c r="I490" s="1">
        <v>0</v>
      </c>
      <c r="J490" s="1">
        <v>1</v>
      </c>
      <c r="K490" s="1" t="s">
        <v>30</v>
      </c>
      <c r="L490" s="1" t="s">
        <v>19</v>
      </c>
      <c r="M490" s="1" t="str">
        <f t="shared" si="7"/>
        <v xml:space="preserve">1994|34511| 16:00 |Group A|Rose Bowl|Los Angeles |USA|USA|0|1|Romania| </v>
      </c>
    </row>
    <row r="491" spans="1:13" hidden="1" x14ac:dyDescent="0.2">
      <c r="A491" s="1">
        <v>1994</v>
      </c>
      <c r="B491" s="2" t="d">
        <v>1994-06-26</v>
      </c>
      <c r="C491" s="1" t="s">
        <v>32</v>
      </c>
      <c r="D491" s="1" t="s">
        <v>242</v>
      </c>
      <c r="E491" s="1" t="s">
        <v>372</v>
      </c>
      <c r="F491" s="1" t="s">
        <v>373</v>
      </c>
      <c r="G491" s="1" t="s">
        <v>22</v>
      </c>
      <c r="H491" s="1" t="s">
        <v>58</v>
      </c>
      <c r="I491" s="1">
        <v>0</v>
      </c>
      <c r="J491" s="1">
        <v>2</v>
      </c>
      <c r="K491" s="1" t="s">
        <v>177</v>
      </c>
      <c r="L491" s="1" t="s">
        <v>19</v>
      </c>
      <c r="M491" s="1" t="str">
        <f t="shared" si="7"/>
        <v xml:space="preserve">1994|34511| 16:00 |Group A|Stanford Stadium|San Francisco |USA|Switzerland|0|2|Colombia| </v>
      </c>
    </row>
    <row r="492" spans="1:13" x14ac:dyDescent="0.2">
      <c r="A492" s="1">
        <v>1994</v>
      </c>
      <c r="B492" s="2" t="d">
        <v>1994-06-27</v>
      </c>
      <c r="C492" s="1" t="s">
        <v>32</v>
      </c>
      <c r="D492" s="1" t="s">
        <v>304</v>
      </c>
      <c r="E492" s="1" t="s">
        <v>355</v>
      </c>
      <c r="F492" s="1" t="s">
        <v>356</v>
      </c>
      <c r="G492" s="1" t="s">
        <v>22</v>
      </c>
      <c r="H492" s="1" t="s">
        <v>65</v>
      </c>
      <c r="I492" s="1">
        <v>3</v>
      </c>
      <c r="J492" s="1">
        <v>2</v>
      </c>
      <c r="K492" s="1" t="s">
        <v>135</v>
      </c>
      <c r="L492" s="1" t="s">
        <v>19</v>
      </c>
      <c r="M492" s="1" t="str">
        <f t="shared" si="7"/>
        <v xml:space="preserve">1994|34512| 16:00 |Group C|Cotton Bowl|Dallas |USA|Germany|3|2|Korea Republic| </v>
      </c>
    </row>
    <row r="493" spans="1:13" hidden="1" x14ac:dyDescent="0.2">
      <c r="A493" s="1">
        <v>1994</v>
      </c>
      <c r="B493" s="2" t="d">
        <v>1994-06-27</v>
      </c>
      <c r="C493" s="1" t="s">
        <v>32</v>
      </c>
      <c r="D493" s="1" t="s">
        <v>304</v>
      </c>
      <c r="E493" s="1" t="s">
        <v>357</v>
      </c>
      <c r="F493" s="1" t="s">
        <v>358</v>
      </c>
      <c r="G493" s="1" t="s">
        <v>22</v>
      </c>
      <c r="H493" s="1" t="s">
        <v>36</v>
      </c>
      <c r="I493" s="1">
        <v>1</v>
      </c>
      <c r="J493" s="1">
        <v>3</v>
      </c>
      <c r="K493" s="1" t="s">
        <v>68</v>
      </c>
      <c r="L493" s="1" t="s">
        <v>19</v>
      </c>
      <c r="M493" s="1" t="str">
        <f t="shared" si="7"/>
        <v xml:space="preserve">1994|34512| 16:00 |Group C|Soldier Field|Chicago |USA|Bolivia|1|3|Spain| </v>
      </c>
    </row>
    <row r="494" spans="1:13" hidden="1" x14ac:dyDescent="0.2">
      <c r="A494" s="1">
        <v>1994</v>
      </c>
      <c r="B494" s="2" t="d">
        <v>1994-06-28</v>
      </c>
      <c r="C494" s="1" t="s">
        <v>366</v>
      </c>
      <c r="D494" s="1" t="s">
        <v>317</v>
      </c>
      <c r="E494" s="1" t="s">
        <v>362</v>
      </c>
      <c r="F494" s="1" t="s">
        <v>363</v>
      </c>
      <c r="G494" s="1" t="s">
        <v>22</v>
      </c>
      <c r="H494" s="1" t="s">
        <v>340</v>
      </c>
      <c r="I494" s="1">
        <v>0</v>
      </c>
      <c r="J494" s="1">
        <v>0</v>
      </c>
      <c r="K494" s="1" t="s">
        <v>93</v>
      </c>
      <c r="L494" s="1" t="s">
        <v>19</v>
      </c>
      <c r="M494" s="1" t="str">
        <f t="shared" si="7"/>
        <v xml:space="preserve">1994|34513| 12:30 |Group E|Giants Stadium|New York/New Jersey |USA|Republic of Ireland|0|0|Norway| </v>
      </c>
    </row>
    <row r="495" spans="1:13" hidden="1" x14ac:dyDescent="0.2">
      <c r="A495" s="1">
        <v>1994</v>
      </c>
      <c r="B495" s="2" t="d">
        <v>1994-06-28</v>
      </c>
      <c r="C495" s="1" t="s">
        <v>32</v>
      </c>
      <c r="D495" s="1" t="s">
        <v>241</v>
      </c>
      <c r="E495" s="1" t="s">
        <v>360</v>
      </c>
      <c r="F495" s="1" t="s">
        <v>361</v>
      </c>
      <c r="G495" s="1" t="s">
        <v>22</v>
      </c>
      <c r="H495" s="1" t="s">
        <v>27</v>
      </c>
      <c r="I495" s="1">
        <v>1</v>
      </c>
      <c r="J495" s="1">
        <v>1</v>
      </c>
      <c r="K495" s="1" t="s">
        <v>62</v>
      </c>
      <c r="L495" s="1" t="s">
        <v>19</v>
      </c>
      <c r="M495" s="1" t="str">
        <f t="shared" si="7"/>
        <v xml:space="preserve">1994|34513| 16:00 |Group B|Pontiac Silverdome|Detroit |USA|Brazil|1|1|Sweden| </v>
      </c>
    </row>
    <row r="496" spans="1:13" hidden="1" x14ac:dyDescent="0.2">
      <c r="A496" s="1">
        <v>1994</v>
      </c>
      <c r="B496" s="2" t="d">
        <v>1994-06-28</v>
      </c>
      <c r="C496" s="1" t="s">
        <v>366</v>
      </c>
      <c r="D496" s="1" t="s">
        <v>317</v>
      </c>
      <c r="E496" s="1" t="s">
        <v>369</v>
      </c>
      <c r="F496" s="1" t="s">
        <v>370</v>
      </c>
      <c r="G496" s="1" t="s">
        <v>22</v>
      </c>
      <c r="H496" s="1" t="s">
        <v>49</v>
      </c>
      <c r="I496" s="1">
        <v>1</v>
      </c>
      <c r="J496" s="1">
        <v>1</v>
      </c>
      <c r="K496" s="1" t="s">
        <v>18</v>
      </c>
      <c r="L496" s="1" t="s">
        <v>19</v>
      </c>
      <c r="M496" s="1" t="str">
        <f t="shared" si="7"/>
        <v xml:space="preserve">1994|34513| 12:30 |Group E|RFK Stadium|Washington Dc |USA|Italy|1|1|Mexico| </v>
      </c>
    </row>
    <row r="497" spans="1:13" hidden="1" x14ac:dyDescent="0.2">
      <c r="A497" s="1">
        <v>1994</v>
      </c>
      <c r="B497" s="2" t="d">
        <v>1994-06-28</v>
      </c>
      <c r="C497" s="1" t="s">
        <v>32</v>
      </c>
      <c r="D497" s="1" t="s">
        <v>241</v>
      </c>
      <c r="E497" s="1" t="s">
        <v>372</v>
      </c>
      <c r="F497" s="1" t="s">
        <v>373</v>
      </c>
      <c r="G497" s="1" t="s">
        <v>22</v>
      </c>
      <c r="H497" s="1" t="s">
        <v>374</v>
      </c>
      <c r="I497" s="1">
        <v>6</v>
      </c>
      <c r="J497" s="1">
        <v>1</v>
      </c>
      <c r="K497" s="1" t="s">
        <v>273</v>
      </c>
      <c r="L497" s="1" t="s">
        <v>19</v>
      </c>
      <c r="M497" s="1" t="str">
        <f t="shared" si="7"/>
        <v xml:space="preserve">1994|34513| 16:00 |Group B|Stanford Stadium|San Francisco |USA|Russia|6|1|Cameroon| </v>
      </c>
    </row>
    <row r="498" spans="1:13" hidden="1" x14ac:dyDescent="0.2">
      <c r="A498" s="1">
        <v>1994</v>
      </c>
      <c r="B498" s="2" t="d">
        <v>1994-06-29</v>
      </c>
      <c r="C498" s="1" t="s">
        <v>366</v>
      </c>
      <c r="D498" s="1" t="s">
        <v>310</v>
      </c>
      <c r="E498" s="1" t="s">
        <v>367</v>
      </c>
      <c r="F498" s="1" t="s">
        <v>368</v>
      </c>
      <c r="G498" s="1" t="s">
        <v>22</v>
      </c>
      <c r="H498" s="1" t="s">
        <v>216</v>
      </c>
      <c r="I498" s="1">
        <v>1</v>
      </c>
      <c r="J498" s="1">
        <v>2</v>
      </c>
      <c r="K498" s="1" t="s">
        <v>59</v>
      </c>
      <c r="L498" s="1" t="s">
        <v>19</v>
      </c>
      <c r="M498" s="1" t="str">
        <f t="shared" si="7"/>
        <v xml:space="preserve">1994|34514| 12:30 |Group F|Citrus Bowl|Orlando |USA|Morocco|1|2|Netherlands| </v>
      </c>
    </row>
    <row r="499" spans="1:13" hidden="1" x14ac:dyDescent="0.2">
      <c r="A499" s="1">
        <v>1994</v>
      </c>
      <c r="B499" s="2" t="d">
        <v>1994-06-29</v>
      </c>
      <c r="C499" s="1" t="s">
        <v>366</v>
      </c>
      <c r="D499" s="1" t="s">
        <v>310</v>
      </c>
      <c r="E499" s="1" t="s">
        <v>369</v>
      </c>
      <c r="F499" s="1" t="s">
        <v>370</v>
      </c>
      <c r="G499" s="1" t="s">
        <v>22</v>
      </c>
      <c r="H499" s="1" t="s">
        <v>23</v>
      </c>
      <c r="I499" s="1">
        <v>0</v>
      </c>
      <c r="J499" s="1">
        <v>1</v>
      </c>
      <c r="K499" s="1" t="s">
        <v>371</v>
      </c>
      <c r="L499" s="1" t="s">
        <v>19</v>
      </c>
      <c r="M499" s="1" t="str">
        <f t="shared" si="7"/>
        <v xml:space="preserve">1994|34514| 12:30 |Group F|RFK Stadium|Washington Dc |USA|Belgium|0|1|Saudi Arabia| </v>
      </c>
    </row>
    <row r="500" spans="1:13" hidden="1" x14ac:dyDescent="0.2">
      <c r="A500" s="1">
        <v>1994</v>
      </c>
      <c r="B500" s="2" t="d">
        <v>1994-06-30</v>
      </c>
      <c r="C500" s="1" t="s">
        <v>185</v>
      </c>
      <c r="D500" s="1" t="s">
        <v>306</v>
      </c>
      <c r="E500" s="1" t="s">
        <v>375</v>
      </c>
      <c r="F500" s="1" t="s">
        <v>376</v>
      </c>
      <c r="G500" s="1" t="s">
        <v>22</v>
      </c>
      <c r="H500" s="1" t="s">
        <v>377</v>
      </c>
      <c r="I500" s="1">
        <v>0</v>
      </c>
      <c r="J500" s="1">
        <v>2</v>
      </c>
      <c r="K500" s="1" t="s">
        <v>378</v>
      </c>
      <c r="L500" s="1" t="s">
        <v>19</v>
      </c>
      <c r="M500" s="1" t="str">
        <f t="shared" si="7"/>
        <v xml:space="preserve">1994|34515| 19:30 |Group D|Foxboro Stadium|Boston |USA|Greece|0|2|Nigeria| </v>
      </c>
    </row>
    <row r="501" spans="1:13" hidden="1" x14ac:dyDescent="0.2">
      <c r="A501" s="1">
        <v>1994</v>
      </c>
      <c r="B501" s="2" t="d">
        <v>1994-06-30</v>
      </c>
      <c r="C501" s="1" t="s">
        <v>185</v>
      </c>
      <c r="D501" s="1" t="s">
        <v>306</v>
      </c>
      <c r="E501" s="1" t="s">
        <v>355</v>
      </c>
      <c r="F501" s="1" t="s">
        <v>356</v>
      </c>
      <c r="G501" s="1" t="s">
        <v>22</v>
      </c>
      <c r="H501" s="1" t="s">
        <v>33</v>
      </c>
      <c r="I501" s="1">
        <v>0</v>
      </c>
      <c r="J501" s="1">
        <v>2</v>
      </c>
      <c r="K501" s="1" t="s">
        <v>182</v>
      </c>
      <c r="L501" s="1" t="s">
        <v>19</v>
      </c>
      <c r="M501" s="1" t="str">
        <f t="shared" si="7"/>
        <v xml:space="preserve">1994|34515| 19:30 |Group D|Cotton Bowl|Dallas |USA|Argentina|0|2|Bulgaria| </v>
      </c>
    </row>
    <row r="502" spans="1:13" x14ac:dyDescent="0.2">
      <c r="A502" s="1">
        <v>1994</v>
      </c>
      <c r="B502" s="2" t="d">
        <v>1994-07-02</v>
      </c>
      <c r="C502" s="1" t="s">
        <v>204</v>
      </c>
      <c r="D502" s="12" t="s">
        <v>323</v>
      </c>
      <c r="E502" s="1" t="s">
        <v>357</v>
      </c>
      <c r="F502" s="1" t="s">
        <v>358</v>
      </c>
      <c r="G502" s="1" t="s">
        <v>22</v>
      </c>
      <c r="H502" s="1" t="s">
        <v>65</v>
      </c>
      <c r="I502" s="1">
        <v>3</v>
      </c>
      <c r="J502" s="1">
        <v>2</v>
      </c>
      <c r="K502" s="1" t="s">
        <v>23</v>
      </c>
      <c r="L502" s="1" t="s">
        <v>19</v>
      </c>
      <c r="M502" s="1" t="str">
        <f t="shared" si="7"/>
        <v xml:space="preserve">1994|34517| 12:00 |Round of 16|Soldier Field|Chicago |USA|Germany|3|2|Belgium| </v>
      </c>
    </row>
    <row r="503" spans="1:13" hidden="1" x14ac:dyDescent="0.2">
      <c r="A503" s="1">
        <v>1994</v>
      </c>
      <c r="B503" s="2" t="d">
        <v>1994-07-02</v>
      </c>
      <c r="C503" s="1" t="s">
        <v>45</v>
      </c>
      <c r="D503" s="12" t="s">
        <v>323</v>
      </c>
      <c r="E503" s="1" t="s">
        <v>369</v>
      </c>
      <c r="F503" s="1" t="s">
        <v>370</v>
      </c>
      <c r="G503" s="1" t="s">
        <v>22</v>
      </c>
      <c r="H503" s="1" t="s">
        <v>68</v>
      </c>
      <c r="I503" s="1">
        <v>3</v>
      </c>
      <c r="J503" s="1">
        <v>0</v>
      </c>
      <c r="K503" s="1" t="s">
        <v>58</v>
      </c>
      <c r="L503" s="1" t="s">
        <v>19</v>
      </c>
      <c r="M503" s="1" t="str">
        <f t="shared" si="7"/>
        <v xml:space="preserve">1994|34517| 16:30 |Round of 16|RFK Stadium|Washington Dc |USA|Spain|3|0|Switzerland| </v>
      </c>
    </row>
    <row r="504" spans="1:13" hidden="1" x14ac:dyDescent="0.2">
      <c r="A504" s="1">
        <v>1994</v>
      </c>
      <c r="B504" s="2" t="d">
        <v>1994-07-03</v>
      </c>
      <c r="C504" s="1" t="s">
        <v>204</v>
      </c>
      <c r="D504" s="12" t="s">
        <v>323</v>
      </c>
      <c r="E504" s="1" t="s">
        <v>355</v>
      </c>
      <c r="F504" s="1" t="s">
        <v>356</v>
      </c>
      <c r="G504" s="1" t="s">
        <v>22</v>
      </c>
      <c r="H504" s="1" t="s">
        <v>371</v>
      </c>
      <c r="I504" s="1">
        <v>1</v>
      </c>
      <c r="J504" s="1">
        <v>3</v>
      </c>
      <c r="K504" s="1" t="s">
        <v>62</v>
      </c>
      <c r="L504" s="1" t="s">
        <v>19</v>
      </c>
      <c r="M504" s="1" t="str">
        <f t="shared" si="7"/>
        <v xml:space="preserve">1994|34518| 12:00 |Round of 16|Cotton Bowl|Dallas |USA|Saudi Arabia|1|3|Sweden| </v>
      </c>
    </row>
    <row r="505" spans="1:13" hidden="1" x14ac:dyDescent="0.2">
      <c r="A505" s="1">
        <v>1994</v>
      </c>
      <c r="B505" s="2" t="d">
        <v>1994-07-03</v>
      </c>
      <c r="C505" s="1" t="s">
        <v>379</v>
      </c>
      <c r="D505" s="12" t="s">
        <v>323</v>
      </c>
      <c r="E505" s="1" t="s">
        <v>364</v>
      </c>
      <c r="F505" s="1" t="s">
        <v>365</v>
      </c>
      <c r="G505" s="1" t="s">
        <v>22</v>
      </c>
      <c r="H505" s="1" t="s">
        <v>30</v>
      </c>
      <c r="I505" s="1">
        <v>3</v>
      </c>
      <c r="J505" s="1">
        <v>2</v>
      </c>
      <c r="K505" s="1" t="s">
        <v>33</v>
      </c>
      <c r="L505" s="1" t="s">
        <v>19</v>
      </c>
      <c r="M505" s="1" t="str">
        <f t="shared" si="7"/>
        <v xml:space="preserve">1994|34518| 13:30 |Round of 16|Rose Bowl|Los Angeles |USA|Romania|3|2|Argentina| </v>
      </c>
    </row>
    <row r="506" spans="1:13" hidden="1" x14ac:dyDescent="0.2">
      <c r="A506" s="1">
        <v>1994</v>
      </c>
      <c r="B506" s="2" t="d">
        <v>1994-07-04</v>
      </c>
      <c r="C506" s="1" t="s">
        <v>204</v>
      </c>
      <c r="D506" s="12" t="s">
        <v>323</v>
      </c>
      <c r="E506" s="1" t="s">
        <v>367</v>
      </c>
      <c r="F506" s="1" t="s">
        <v>368</v>
      </c>
      <c r="G506" s="1" t="s">
        <v>22</v>
      </c>
      <c r="H506" s="1" t="s">
        <v>59</v>
      </c>
      <c r="I506" s="1">
        <v>2</v>
      </c>
      <c r="J506" s="1">
        <v>0</v>
      </c>
      <c r="K506" s="1" t="s">
        <v>340</v>
      </c>
      <c r="L506" s="1" t="s">
        <v>19</v>
      </c>
      <c r="M506" s="1" t="str">
        <f t="shared" si="7"/>
        <v xml:space="preserve">1994|34519| 12:00 |Round of 16|Citrus Bowl|Orlando |USA|Netherlands|2|0|Republic of Ireland| </v>
      </c>
    </row>
    <row r="507" spans="1:13" hidden="1" x14ac:dyDescent="0.2">
      <c r="A507" s="1">
        <v>1994</v>
      </c>
      <c r="B507" s="2" t="d">
        <v>1994-07-04</v>
      </c>
      <c r="C507" s="1" t="s">
        <v>366</v>
      </c>
      <c r="D507" s="12" t="s">
        <v>323</v>
      </c>
      <c r="E507" s="1" t="s">
        <v>372</v>
      </c>
      <c r="F507" s="1" t="s">
        <v>373</v>
      </c>
      <c r="G507" s="1" t="s">
        <v>22</v>
      </c>
      <c r="H507" s="1" t="s">
        <v>27</v>
      </c>
      <c r="I507" s="1">
        <v>1</v>
      </c>
      <c r="J507" s="1">
        <v>0</v>
      </c>
      <c r="K507" s="1" t="s">
        <v>22</v>
      </c>
      <c r="L507" s="1" t="s">
        <v>19</v>
      </c>
      <c r="M507" s="1" t="str">
        <f t="shared" si="7"/>
        <v xml:space="preserve">1994|34519| 12:30 |Round of 16|Stanford Stadium|San Francisco |USA|Brazil|1|0|USA| </v>
      </c>
    </row>
    <row r="508" spans="1:13" hidden="1" x14ac:dyDescent="0.2">
      <c r="A508" s="1">
        <v>1994</v>
      </c>
      <c r="B508" s="2" t="d">
        <v>1994-07-05</v>
      </c>
      <c r="C508" s="1" t="s">
        <v>41</v>
      </c>
      <c r="D508" s="12" t="s">
        <v>323</v>
      </c>
      <c r="E508" s="1" t="s">
        <v>375</v>
      </c>
      <c r="F508" s="1" t="s">
        <v>376</v>
      </c>
      <c r="G508" s="1" t="s">
        <v>22</v>
      </c>
      <c r="H508" s="1" t="s">
        <v>378</v>
      </c>
      <c r="I508" s="1">
        <v>1</v>
      </c>
      <c r="J508" s="1">
        <v>2</v>
      </c>
      <c r="K508" s="1" t="s">
        <v>49</v>
      </c>
      <c r="L508" s="1" t="s">
        <v>78</v>
      </c>
      <c r="M508" s="1" t="str">
        <f t="shared" si="7"/>
        <v xml:space="preserve">1994|34520| 13:00 |Round of 16|Foxboro Stadium|Boston |USA|Nigeria|1|2|Italy|Italy win after extra time </v>
      </c>
    </row>
    <row r="509" spans="1:13" hidden="1" x14ac:dyDescent="0.2">
      <c r="A509" s="1">
        <v>1994</v>
      </c>
      <c r="B509" s="2" t="d">
        <v>1994-07-05</v>
      </c>
      <c r="C509" s="1" t="s">
        <v>45</v>
      </c>
      <c r="D509" s="12" t="s">
        <v>323</v>
      </c>
      <c r="E509" s="1" t="s">
        <v>362</v>
      </c>
      <c r="F509" s="1" t="s">
        <v>363</v>
      </c>
      <c r="G509" s="1" t="s">
        <v>22</v>
      </c>
      <c r="H509" s="1" t="s">
        <v>18</v>
      </c>
      <c r="I509" s="1">
        <v>1</v>
      </c>
      <c r="J509" s="1">
        <v>1</v>
      </c>
      <c r="K509" s="1" t="s">
        <v>182</v>
      </c>
      <c r="L509" s="1" t="s">
        <v>380</v>
      </c>
      <c r="M509" s="1" t="str">
        <f t="shared" si="7"/>
        <v xml:space="preserve">1994|34520| 16:30 |Round of 16|Giants Stadium|New York/New Jersey |USA|Mexico|1|1|Bulgaria|Bulgaria win on penalties (1 - 3) </v>
      </c>
    </row>
    <row r="510" spans="1:13" hidden="1" x14ac:dyDescent="0.2">
      <c r="A510" s="1">
        <v>1994</v>
      </c>
      <c r="B510" s="2" t="d">
        <v>1994-07-09</v>
      </c>
      <c r="C510" s="1" t="s">
        <v>204</v>
      </c>
      <c r="D510" s="12" t="s">
        <v>74</v>
      </c>
      <c r="E510" s="1" t="s">
        <v>375</v>
      </c>
      <c r="F510" s="1" t="s">
        <v>376</v>
      </c>
      <c r="G510" s="1" t="s">
        <v>22</v>
      </c>
      <c r="H510" s="1" t="s">
        <v>49</v>
      </c>
      <c r="I510" s="1">
        <v>2</v>
      </c>
      <c r="J510" s="1">
        <v>1</v>
      </c>
      <c r="K510" s="1" t="s">
        <v>68</v>
      </c>
      <c r="L510" s="1" t="s">
        <v>19</v>
      </c>
      <c r="M510" s="1" t="str">
        <f t="shared" si="7"/>
        <v xml:space="preserve">1994|34524| 12:00 |Quarter-finals|Foxboro Stadium|Boston |USA|Italy|2|1|Spain| </v>
      </c>
    </row>
    <row r="511" spans="1:13" hidden="1" x14ac:dyDescent="0.2">
      <c r="A511" s="1">
        <v>1994</v>
      </c>
      <c r="B511" s="2" t="d">
        <v>1994-07-09</v>
      </c>
      <c r="C511" s="1" t="s">
        <v>38</v>
      </c>
      <c r="D511" s="12" t="s">
        <v>74</v>
      </c>
      <c r="E511" s="1" t="s">
        <v>355</v>
      </c>
      <c r="F511" s="1" t="s">
        <v>356</v>
      </c>
      <c r="G511" s="1" t="s">
        <v>22</v>
      </c>
      <c r="H511" s="1" t="s">
        <v>59</v>
      </c>
      <c r="I511" s="1">
        <v>2</v>
      </c>
      <c r="J511" s="1">
        <v>3</v>
      </c>
      <c r="K511" s="1" t="s">
        <v>27</v>
      </c>
      <c r="L511" s="1" t="s">
        <v>19</v>
      </c>
      <c r="M511" s="1" t="str">
        <f t="shared" si="7"/>
        <v xml:space="preserve">1994|34524| 14:30 |Quarter-finals|Cotton Bowl|Dallas |USA|Netherlands|2|3|Brazil| </v>
      </c>
    </row>
    <row r="512" spans="1:13" hidden="1" x14ac:dyDescent="0.2">
      <c r="A512" s="1">
        <v>1994</v>
      </c>
      <c r="B512" s="2" t="d">
        <v>1994-07-10</v>
      </c>
      <c r="C512" s="1" t="s">
        <v>204</v>
      </c>
      <c r="D512" s="12" t="s">
        <v>74</v>
      </c>
      <c r="E512" s="1" t="s">
        <v>362</v>
      </c>
      <c r="F512" s="1" t="s">
        <v>363</v>
      </c>
      <c r="G512" s="1" t="s">
        <v>22</v>
      </c>
      <c r="H512" s="1" t="s">
        <v>182</v>
      </c>
      <c r="I512" s="1">
        <v>2</v>
      </c>
      <c r="J512" s="1">
        <v>1</v>
      </c>
      <c r="K512" s="1" t="s">
        <v>65</v>
      </c>
      <c r="L512" s="1" t="s">
        <v>19</v>
      </c>
      <c r="M512" s="1" t="str">
        <f t="shared" si="7"/>
        <v xml:space="preserve">1994|34525| 12:00 |Quarter-finals|Giants Stadium|New York/New Jersey |USA|Bulgaria|2|1|Germany| </v>
      </c>
    </row>
    <row r="513" spans="1:13" hidden="1" x14ac:dyDescent="0.2">
      <c r="A513" s="1">
        <v>1994</v>
      </c>
      <c r="B513" s="2" t="d">
        <v>1994-07-10</v>
      </c>
      <c r="C513" s="1" t="s">
        <v>366</v>
      </c>
      <c r="D513" s="12" t="s">
        <v>74</v>
      </c>
      <c r="E513" s="1" t="s">
        <v>372</v>
      </c>
      <c r="F513" s="1" t="s">
        <v>373</v>
      </c>
      <c r="G513" s="1" t="s">
        <v>22</v>
      </c>
      <c r="H513" s="1" t="s">
        <v>30</v>
      </c>
      <c r="I513" s="1">
        <v>2</v>
      </c>
      <c r="J513" s="1">
        <v>2</v>
      </c>
      <c r="K513" s="1" t="s">
        <v>62</v>
      </c>
      <c r="L513" s="1" t="s">
        <v>381</v>
      </c>
      <c r="M513" s="1" t="str">
        <f t="shared" si="7"/>
        <v xml:space="preserve">1994|34525| 12:30 |Quarter-finals|Stanford Stadium|San Francisco |USA|Romania|2|2|Sweden|Sweden win on penalties (4 - 5) </v>
      </c>
    </row>
    <row r="514" spans="1:13" hidden="1" x14ac:dyDescent="0.2">
      <c r="A514" s="1">
        <v>1994</v>
      </c>
      <c r="B514" s="2" t="d">
        <v>1994-07-13</v>
      </c>
      <c r="C514" s="1" t="s">
        <v>32</v>
      </c>
      <c r="D514" s="12" t="s">
        <v>42</v>
      </c>
      <c r="E514" s="1" t="s">
        <v>362</v>
      </c>
      <c r="F514" s="1" t="s">
        <v>363</v>
      </c>
      <c r="G514" s="1" t="s">
        <v>22</v>
      </c>
      <c r="H514" s="1" t="s">
        <v>182</v>
      </c>
      <c r="I514" s="1">
        <v>1</v>
      </c>
      <c r="J514" s="1">
        <v>2</v>
      </c>
      <c r="K514" s="1" t="s">
        <v>49</v>
      </c>
      <c r="L514" s="1" t="s">
        <v>19</v>
      </c>
      <c r="M514" s="1" t="str">
        <f t="shared" si="7"/>
        <v xml:space="preserve">1994|34528| 16:00 |Semi-finals|Giants Stadium|New York/New Jersey |USA|Bulgaria|1|2|Italy| </v>
      </c>
    </row>
    <row r="515" spans="1:13" hidden="1" x14ac:dyDescent="0.2">
      <c r="A515" s="1">
        <v>1994</v>
      </c>
      <c r="B515" s="2" t="d">
        <v>1994-07-13</v>
      </c>
      <c r="C515" s="1" t="s">
        <v>45</v>
      </c>
      <c r="D515" s="12" t="s">
        <v>42</v>
      </c>
      <c r="E515" s="1" t="s">
        <v>364</v>
      </c>
      <c r="F515" s="1" t="s">
        <v>365</v>
      </c>
      <c r="G515" s="1" t="s">
        <v>22</v>
      </c>
      <c r="H515" s="1" t="s">
        <v>62</v>
      </c>
      <c r="I515" s="1">
        <v>0</v>
      </c>
      <c r="J515" s="1">
        <v>1</v>
      </c>
      <c r="K515" s="1" t="s">
        <v>27</v>
      </c>
      <c r="L515" s="1" t="s">
        <v>19</v>
      </c>
      <c r="M515" s="1" t="str">
        <f t="shared" ref="M515:M578" si="8">_xlfn.TEXTJOIN("|",TRUE,A515,B515,C515,D515,E515,F515,G515,H515,I515,J515,K515,L515)</f>
        <v xml:space="preserve">1994|34528| 16:30 |Semi-finals|Rose Bowl|Los Angeles |USA|Sweden|0|1|Brazil| </v>
      </c>
    </row>
    <row r="516" spans="1:13" hidden="1" x14ac:dyDescent="0.2">
      <c r="A516" s="1">
        <v>1994</v>
      </c>
      <c r="B516" s="2" t="d">
        <v>1994-07-16</v>
      </c>
      <c r="C516" s="1" t="s">
        <v>366</v>
      </c>
      <c r="D516" s="12" t="s">
        <v>76</v>
      </c>
      <c r="E516" s="1" t="s">
        <v>364</v>
      </c>
      <c r="F516" s="1" t="s">
        <v>365</v>
      </c>
      <c r="G516" s="1" t="s">
        <v>22</v>
      </c>
      <c r="H516" s="1" t="s">
        <v>62</v>
      </c>
      <c r="I516" s="1">
        <v>4</v>
      </c>
      <c r="J516" s="1">
        <v>0</v>
      </c>
      <c r="K516" s="1" t="s">
        <v>182</v>
      </c>
      <c r="L516" s="1" t="s">
        <v>19</v>
      </c>
      <c r="M516" s="1" t="str">
        <f t="shared" si="8"/>
        <v xml:space="preserve">1994|34531| 12:30 |Match for third place|Rose Bowl|Los Angeles |USA|Sweden|4|0|Bulgaria| </v>
      </c>
    </row>
    <row r="517" spans="1:13" hidden="1" x14ac:dyDescent="0.2">
      <c r="A517" s="1">
        <v>1994</v>
      </c>
      <c r="B517" s="2" t="d">
        <v>1994-07-17</v>
      </c>
      <c r="C517" s="1" t="s">
        <v>366</v>
      </c>
      <c r="D517" s="12" t="s">
        <v>44</v>
      </c>
      <c r="E517" s="1" t="s">
        <v>364</v>
      </c>
      <c r="F517" s="1" t="s">
        <v>365</v>
      </c>
      <c r="G517" s="1" t="s">
        <v>22</v>
      </c>
      <c r="H517" s="1" t="s">
        <v>27</v>
      </c>
      <c r="I517" s="1">
        <v>0</v>
      </c>
      <c r="J517" s="1">
        <v>0</v>
      </c>
      <c r="K517" s="1" t="s">
        <v>49</v>
      </c>
      <c r="L517" s="1" t="s">
        <v>382</v>
      </c>
      <c r="M517" s="1" t="str">
        <f t="shared" si="8"/>
        <v xml:space="preserve">1994|34532| 12:30 |Final|Rose Bowl|Los Angeles |USA|Brazil|0|0|Italy|Brazil win on penalties (3 - 2) </v>
      </c>
    </row>
    <row r="518" spans="1:13" hidden="1" x14ac:dyDescent="0.2">
      <c r="A518" s="1">
        <v>1998</v>
      </c>
      <c r="B518" s="2" t="d">
        <v>1998-06-10</v>
      </c>
      <c r="C518" s="1" t="s">
        <v>77</v>
      </c>
      <c r="D518" s="1" t="s">
        <v>242</v>
      </c>
      <c r="E518" s="1" t="s">
        <v>383</v>
      </c>
      <c r="F518" s="1" t="s">
        <v>384</v>
      </c>
      <c r="G518" s="1" t="s">
        <v>17</v>
      </c>
      <c r="H518" s="1" t="s">
        <v>27</v>
      </c>
      <c r="I518" s="1">
        <v>2</v>
      </c>
      <c r="J518" s="1">
        <v>1</v>
      </c>
      <c r="K518" s="1" t="s">
        <v>128</v>
      </c>
      <c r="L518" s="1" t="s">
        <v>19</v>
      </c>
      <c r="M518" s="1" t="str">
        <f t="shared" si="8"/>
        <v xml:space="preserve">1998|35956| 17:30 |Group A|Stade de France|Saint-Denis |France|Brazil|2|1|Scotland| </v>
      </c>
    </row>
    <row r="519" spans="1:13" hidden="1" x14ac:dyDescent="0.2">
      <c r="A519" s="1">
        <v>1998</v>
      </c>
      <c r="B519" s="2" t="d">
        <v>1998-06-10</v>
      </c>
      <c r="C519" s="1" t="s">
        <v>268</v>
      </c>
      <c r="D519" s="1" t="s">
        <v>242</v>
      </c>
      <c r="E519" s="1" t="s">
        <v>385</v>
      </c>
      <c r="F519" s="1" t="s">
        <v>386</v>
      </c>
      <c r="G519" s="1" t="s">
        <v>17</v>
      </c>
      <c r="H519" s="1" t="s">
        <v>216</v>
      </c>
      <c r="I519" s="1">
        <v>2</v>
      </c>
      <c r="J519" s="1">
        <v>2</v>
      </c>
      <c r="K519" s="1" t="s">
        <v>93</v>
      </c>
      <c r="L519" s="1" t="s">
        <v>19</v>
      </c>
      <c r="M519" s="1" t="str">
        <f t="shared" si="8"/>
        <v xml:space="preserve">1998|35956| 21:00 |Group A|La Mosson|Montpellier |France|Morocco|2|2|Norway| </v>
      </c>
    </row>
    <row r="520" spans="1:13" hidden="1" x14ac:dyDescent="0.2">
      <c r="A520" s="1">
        <v>1998</v>
      </c>
      <c r="B520" s="2" t="d">
        <v>1998-06-11</v>
      </c>
      <c r="C520" s="1" t="s">
        <v>77</v>
      </c>
      <c r="D520" s="1" t="s">
        <v>241</v>
      </c>
      <c r="E520" s="1" t="s">
        <v>102</v>
      </c>
      <c r="F520" s="1" t="s">
        <v>103</v>
      </c>
      <c r="G520" s="1" t="s">
        <v>17</v>
      </c>
      <c r="H520" s="1" t="s">
        <v>49</v>
      </c>
      <c r="I520" s="1">
        <v>2</v>
      </c>
      <c r="J520" s="1">
        <v>2</v>
      </c>
      <c r="K520" s="1" t="s">
        <v>35</v>
      </c>
      <c r="L520" s="1" t="s">
        <v>19</v>
      </c>
      <c r="M520" s="1" t="str">
        <f t="shared" si="8"/>
        <v xml:space="preserve">1998|35957| 17:30 |Group B|Stade du Parc Lescure|Bordeaux |France|Italy|2|2|Chile| </v>
      </c>
    </row>
    <row r="521" spans="1:13" hidden="1" x14ac:dyDescent="0.2">
      <c r="A521" s="1">
        <v>1998</v>
      </c>
      <c r="B521" s="2" t="d">
        <v>1998-06-11</v>
      </c>
      <c r="C521" s="1" t="s">
        <v>268</v>
      </c>
      <c r="D521" s="1" t="s">
        <v>241</v>
      </c>
      <c r="E521" s="1" t="s">
        <v>88</v>
      </c>
      <c r="F521" s="1" t="s">
        <v>89</v>
      </c>
      <c r="G521" s="1" t="s">
        <v>17</v>
      </c>
      <c r="H521" s="1" t="s">
        <v>273</v>
      </c>
      <c r="I521" s="1">
        <v>1</v>
      </c>
      <c r="J521" s="1">
        <v>1</v>
      </c>
      <c r="K521" s="1" t="s">
        <v>50</v>
      </c>
      <c r="L521" s="1" t="s">
        <v>19</v>
      </c>
      <c r="M521" s="1" t="str">
        <f t="shared" si="8"/>
        <v xml:space="preserve">1998|35957| 21:00 |Group B|Stade Municipal|Toulouse |France|Cameroon|1|1|Austria| </v>
      </c>
    </row>
    <row r="522" spans="1:13" hidden="1" x14ac:dyDescent="0.2">
      <c r="A522" s="1">
        <v>1998</v>
      </c>
      <c r="B522" s="2" t="d">
        <v>1998-06-12</v>
      </c>
      <c r="C522" s="1" t="s">
        <v>38</v>
      </c>
      <c r="D522" s="1" t="s">
        <v>306</v>
      </c>
      <c r="E522" s="1" t="s">
        <v>385</v>
      </c>
      <c r="F522" s="1" t="s">
        <v>386</v>
      </c>
      <c r="G522" s="1" t="s">
        <v>17</v>
      </c>
      <c r="H522" s="1" t="s">
        <v>37</v>
      </c>
      <c r="I522" s="1">
        <v>0</v>
      </c>
      <c r="J522" s="1">
        <v>0</v>
      </c>
      <c r="K522" s="1" t="s">
        <v>182</v>
      </c>
      <c r="L522" s="1" t="s">
        <v>19</v>
      </c>
      <c r="M522" s="1" t="str">
        <f t="shared" si="8"/>
        <v xml:space="preserve">1998|35958| 14:30 |Group D|La Mosson|Montpellier |France|Paraguay|0|0|Bulgaria| </v>
      </c>
    </row>
    <row r="523" spans="1:13" hidden="1" x14ac:dyDescent="0.2">
      <c r="A523" s="1">
        <v>1998</v>
      </c>
      <c r="B523" s="2" t="d">
        <v>1998-06-12</v>
      </c>
      <c r="C523" s="1" t="s">
        <v>77</v>
      </c>
      <c r="D523" s="1" t="s">
        <v>304</v>
      </c>
      <c r="E523" s="1" t="s">
        <v>387</v>
      </c>
      <c r="F523" s="1" t="s">
        <v>388</v>
      </c>
      <c r="G523" s="1" t="s">
        <v>17</v>
      </c>
      <c r="H523" s="1" t="s">
        <v>371</v>
      </c>
      <c r="I523" s="1">
        <v>0</v>
      </c>
      <c r="J523" s="1">
        <v>1</v>
      </c>
      <c r="K523" s="1" t="s">
        <v>320</v>
      </c>
      <c r="L523" s="1" t="s">
        <v>19</v>
      </c>
      <c r="M523" s="1" t="str">
        <f t="shared" si="8"/>
        <v xml:space="preserve">1998|35958| 17:30 |Group C|Stade Felix Bollaert|Lens |France|Saudi Arabia|0|1|Denmark| </v>
      </c>
    </row>
    <row r="524" spans="1:13" hidden="1" x14ac:dyDescent="0.2">
      <c r="A524" s="1">
        <v>1998</v>
      </c>
      <c r="B524" s="2" t="d">
        <v>1998-06-12</v>
      </c>
      <c r="C524" s="1" t="s">
        <v>268</v>
      </c>
      <c r="D524" s="1" t="s">
        <v>304</v>
      </c>
      <c r="E524" s="1" t="s">
        <v>91</v>
      </c>
      <c r="F524" s="1" t="s">
        <v>92</v>
      </c>
      <c r="G524" s="1" t="s">
        <v>17</v>
      </c>
      <c r="H524" s="1" t="s">
        <v>17</v>
      </c>
      <c r="I524" s="1">
        <v>3</v>
      </c>
      <c r="J524" s="1">
        <v>0</v>
      </c>
      <c r="K524" s="1" t="s">
        <v>389</v>
      </c>
      <c r="L524" s="1" t="s">
        <v>19</v>
      </c>
      <c r="M524" s="1" t="str">
        <f t="shared" si="8"/>
        <v xml:space="preserve">1998|35958| 21:00 |Group C|Stade Vï¿½lodrome|Marseilles |France|France|3|0|South Africa| </v>
      </c>
    </row>
    <row r="525" spans="1:13" hidden="1" x14ac:dyDescent="0.2">
      <c r="A525" s="1">
        <v>1998</v>
      </c>
      <c r="B525" s="2" t="d">
        <v>1998-06-13</v>
      </c>
      <c r="C525" s="1" t="s">
        <v>38</v>
      </c>
      <c r="D525" s="1" t="s">
        <v>306</v>
      </c>
      <c r="E525" s="1" t="s">
        <v>390</v>
      </c>
      <c r="F525" s="1" t="s">
        <v>391</v>
      </c>
      <c r="G525" s="1" t="s">
        <v>17</v>
      </c>
      <c r="H525" s="1" t="s">
        <v>68</v>
      </c>
      <c r="I525" s="1">
        <v>2</v>
      </c>
      <c r="J525" s="1">
        <v>3</v>
      </c>
      <c r="K525" s="1" t="s">
        <v>378</v>
      </c>
      <c r="L525" s="1" t="s">
        <v>19</v>
      </c>
      <c r="M525" s="1" t="str">
        <f t="shared" si="8"/>
        <v xml:space="preserve">1998|35959| 14:30 |Group D|La Beaujoire|Nantes |France|Spain|2|3|Nigeria| </v>
      </c>
    </row>
    <row r="526" spans="1:13" hidden="1" x14ac:dyDescent="0.2">
      <c r="A526" s="1">
        <v>1998</v>
      </c>
      <c r="B526" s="2" t="d">
        <v>1998-06-13</v>
      </c>
      <c r="C526" s="1" t="s">
        <v>77</v>
      </c>
      <c r="D526" s="1" t="s">
        <v>317</v>
      </c>
      <c r="E526" s="1" t="s">
        <v>392</v>
      </c>
      <c r="F526" s="1" t="s">
        <v>393</v>
      </c>
      <c r="G526" s="1" t="s">
        <v>17</v>
      </c>
      <c r="H526" s="1" t="s">
        <v>135</v>
      </c>
      <c r="I526" s="1">
        <v>1</v>
      </c>
      <c r="J526" s="1">
        <v>3</v>
      </c>
      <c r="K526" s="1" t="s">
        <v>18</v>
      </c>
      <c r="L526" s="1" t="s">
        <v>19</v>
      </c>
      <c r="M526" s="1" t="str">
        <f t="shared" si="8"/>
        <v xml:space="preserve">1998|35959| 17:30 |Group E|Stade de Gerland|Lyon |France|Korea Republic|1|3|Mexico| </v>
      </c>
    </row>
    <row r="527" spans="1:13" hidden="1" x14ac:dyDescent="0.2">
      <c r="A527" s="1">
        <v>1998</v>
      </c>
      <c r="B527" s="2" t="d">
        <v>1998-06-13</v>
      </c>
      <c r="C527" s="1" t="s">
        <v>268</v>
      </c>
      <c r="D527" s="1" t="s">
        <v>317</v>
      </c>
      <c r="E527" s="1" t="s">
        <v>383</v>
      </c>
      <c r="F527" s="1" t="s">
        <v>384</v>
      </c>
      <c r="G527" s="1" t="s">
        <v>17</v>
      </c>
      <c r="H527" s="1" t="s">
        <v>59</v>
      </c>
      <c r="I527" s="1">
        <v>0</v>
      </c>
      <c r="J527" s="1">
        <v>0</v>
      </c>
      <c r="K527" s="1" t="s">
        <v>23</v>
      </c>
      <c r="L527" s="1" t="s">
        <v>19</v>
      </c>
      <c r="M527" s="1" t="str">
        <f t="shared" si="8"/>
        <v xml:space="preserve">1998|35959| 21:00 |Group E|Stade de France|Saint-Denis |France|Netherlands|0|0|Belgium| </v>
      </c>
    </row>
    <row r="528" spans="1:13" hidden="1" x14ac:dyDescent="0.2">
      <c r="A528" s="1">
        <v>1998</v>
      </c>
      <c r="B528" s="2" t="d">
        <v>1998-06-14</v>
      </c>
      <c r="C528" s="1" t="s">
        <v>38</v>
      </c>
      <c r="D528" s="1" t="s">
        <v>394</v>
      </c>
      <c r="E528" s="1" t="s">
        <v>88</v>
      </c>
      <c r="F528" s="1" t="s">
        <v>89</v>
      </c>
      <c r="G528" s="1" t="s">
        <v>17</v>
      </c>
      <c r="H528" s="1" t="s">
        <v>33</v>
      </c>
      <c r="I528" s="1">
        <v>1</v>
      </c>
      <c r="J528" s="1">
        <v>0</v>
      </c>
      <c r="K528" s="1" t="s">
        <v>395</v>
      </c>
      <c r="L528" s="1" t="s">
        <v>19</v>
      </c>
      <c r="M528" s="1" t="str">
        <f t="shared" si="8"/>
        <v xml:space="preserve">1998|35960| 14:30 |Group H|Stade Municipal|Toulouse |France|Argentina|1|0|Japan| </v>
      </c>
    </row>
    <row r="529" spans="1:13" hidden="1" x14ac:dyDescent="0.2">
      <c r="A529" s="1">
        <v>1998</v>
      </c>
      <c r="B529" s="2" t="d">
        <v>1998-06-14</v>
      </c>
      <c r="C529" s="1" t="s">
        <v>77</v>
      </c>
      <c r="D529" s="1" t="s">
        <v>310</v>
      </c>
      <c r="E529" s="1" t="s">
        <v>396</v>
      </c>
      <c r="F529" s="1" t="s">
        <v>397</v>
      </c>
      <c r="G529" s="1" t="s">
        <v>17</v>
      </c>
      <c r="H529" s="1" t="s">
        <v>26</v>
      </c>
      <c r="I529" s="1">
        <v>1</v>
      </c>
      <c r="J529" s="1">
        <v>0</v>
      </c>
      <c r="K529" s="1" t="s">
        <v>260</v>
      </c>
      <c r="L529" s="1" t="s">
        <v>19</v>
      </c>
      <c r="M529" s="1" t="str">
        <f t="shared" si="8"/>
        <v xml:space="preserve">1998|35960| 17:30 |Group F|Stade Geoffroy Guichard|Saint-Etienne |France|Yugoslavia|1|0|Iran| </v>
      </c>
    </row>
    <row r="530" spans="1:13" hidden="1" x14ac:dyDescent="0.2">
      <c r="A530" s="1">
        <v>1998</v>
      </c>
      <c r="B530" s="2" t="d">
        <v>1998-06-14</v>
      </c>
      <c r="C530" s="1" t="s">
        <v>268</v>
      </c>
      <c r="D530" s="1" t="s">
        <v>394</v>
      </c>
      <c r="E530" s="1" t="s">
        <v>387</v>
      </c>
      <c r="F530" s="1" t="s">
        <v>388</v>
      </c>
      <c r="G530" s="1" t="s">
        <v>17</v>
      </c>
      <c r="H530" s="1" t="s">
        <v>398</v>
      </c>
      <c r="I530" s="1">
        <v>1</v>
      </c>
      <c r="J530" s="1">
        <v>3</v>
      </c>
      <c r="K530" s="1" t="s">
        <v>399</v>
      </c>
      <c r="L530" s="1" t="s">
        <v>19</v>
      </c>
      <c r="M530" s="1" t="str">
        <f t="shared" si="8"/>
        <v xml:space="preserve">1998|35960| 21:00 |Group H|Stade Felix Bollaert|Lens |France|Jamaica|1|3|Croatia| </v>
      </c>
    </row>
    <row r="531" spans="1:13" hidden="1" x14ac:dyDescent="0.2">
      <c r="A531" s="1">
        <v>1998</v>
      </c>
      <c r="B531" s="2" t="d">
        <v>1998-06-15</v>
      </c>
      <c r="C531" s="1" t="s">
        <v>38</v>
      </c>
      <c r="D531" s="1" t="s">
        <v>400</v>
      </c>
      <c r="E531" s="1" t="s">
        <v>91</v>
      </c>
      <c r="F531" s="1" t="s">
        <v>92</v>
      </c>
      <c r="G531" s="1" t="s">
        <v>17</v>
      </c>
      <c r="H531" s="1" t="s">
        <v>110</v>
      </c>
      <c r="I531" s="1">
        <v>2</v>
      </c>
      <c r="J531" s="1">
        <v>0</v>
      </c>
      <c r="K531" s="1" t="s">
        <v>251</v>
      </c>
      <c r="L531" s="1" t="s">
        <v>19</v>
      </c>
      <c r="M531" s="1" t="str">
        <f t="shared" si="8"/>
        <v xml:space="preserve">1998|35961| 14:30 |Group G|Stade Vï¿½lodrome|Marseilles |France|England|2|0|Tunisia| </v>
      </c>
    </row>
    <row r="532" spans="1:13" hidden="1" x14ac:dyDescent="0.2">
      <c r="A532" s="1">
        <v>1998</v>
      </c>
      <c r="B532" s="2" t="d">
        <v>1998-06-15</v>
      </c>
      <c r="C532" s="1" t="s">
        <v>77</v>
      </c>
      <c r="D532" s="1" t="s">
        <v>400</v>
      </c>
      <c r="E532" s="1" t="s">
        <v>392</v>
      </c>
      <c r="F532" s="1" t="s">
        <v>393</v>
      </c>
      <c r="G532" s="1" t="s">
        <v>17</v>
      </c>
      <c r="H532" s="1" t="s">
        <v>30</v>
      </c>
      <c r="I532" s="1">
        <v>1</v>
      </c>
      <c r="J532" s="1">
        <v>0</v>
      </c>
      <c r="K532" s="1" t="s">
        <v>177</v>
      </c>
      <c r="L532" s="1" t="s">
        <v>19</v>
      </c>
      <c r="M532" s="1" t="str">
        <f t="shared" si="8"/>
        <v xml:space="preserve">1998|35961| 17:30 |Group G|Stade de Gerland|Lyon |France|Romania|1|0|Colombia| </v>
      </c>
    </row>
    <row r="533" spans="1:13" x14ac:dyDescent="0.2">
      <c r="A533" s="1">
        <v>1998</v>
      </c>
      <c r="B533" s="2" t="d">
        <v>1998-06-15</v>
      </c>
      <c r="C533" s="1" t="s">
        <v>268</v>
      </c>
      <c r="D533" s="1" t="s">
        <v>310</v>
      </c>
      <c r="E533" s="1" t="s">
        <v>81</v>
      </c>
      <c r="F533" s="1" t="s">
        <v>82</v>
      </c>
      <c r="G533" s="1" t="s">
        <v>17</v>
      </c>
      <c r="H533" s="1" t="s">
        <v>65</v>
      </c>
      <c r="I533" s="1">
        <v>2</v>
      </c>
      <c r="J533" s="1">
        <v>0</v>
      </c>
      <c r="K533" s="1" t="s">
        <v>22</v>
      </c>
      <c r="L533" s="1" t="s">
        <v>19</v>
      </c>
      <c r="M533" s="1" t="str">
        <f t="shared" si="8"/>
        <v xml:space="preserve">1998|35961| 21:00 |Group F|Parc des Princes|Paris |France|Germany|2|0|USA| </v>
      </c>
    </row>
    <row r="534" spans="1:13" hidden="1" x14ac:dyDescent="0.2">
      <c r="A534" s="1">
        <v>1998</v>
      </c>
      <c r="B534" s="2" t="d">
        <v>1998-06-16</v>
      </c>
      <c r="C534" s="1" t="s">
        <v>77</v>
      </c>
      <c r="D534" s="1" t="s">
        <v>242</v>
      </c>
      <c r="E534" s="1" t="s">
        <v>102</v>
      </c>
      <c r="F534" s="1" t="s">
        <v>103</v>
      </c>
      <c r="G534" s="1" t="s">
        <v>17</v>
      </c>
      <c r="H534" s="1" t="s">
        <v>128</v>
      </c>
      <c r="I534" s="1">
        <v>1</v>
      </c>
      <c r="J534" s="1">
        <v>1</v>
      </c>
      <c r="K534" s="1" t="s">
        <v>93</v>
      </c>
      <c r="L534" s="1" t="s">
        <v>19</v>
      </c>
      <c r="M534" s="1" t="str">
        <f t="shared" si="8"/>
        <v xml:space="preserve">1998|35962| 17:30 |Group A|Stade du Parc Lescure|Bordeaux |France|Scotland|1|1|Norway| </v>
      </c>
    </row>
    <row r="535" spans="1:13" hidden="1" x14ac:dyDescent="0.2">
      <c r="A535" s="1">
        <v>1998</v>
      </c>
      <c r="B535" s="2" t="d">
        <v>1998-06-16</v>
      </c>
      <c r="C535" s="1" t="s">
        <v>268</v>
      </c>
      <c r="D535" s="1" t="s">
        <v>242</v>
      </c>
      <c r="E535" s="1" t="s">
        <v>390</v>
      </c>
      <c r="F535" s="1" t="s">
        <v>391</v>
      </c>
      <c r="G535" s="1" t="s">
        <v>17</v>
      </c>
      <c r="H535" s="1" t="s">
        <v>27</v>
      </c>
      <c r="I535" s="1">
        <v>3</v>
      </c>
      <c r="J535" s="1">
        <v>0</v>
      </c>
      <c r="K535" s="1" t="s">
        <v>216</v>
      </c>
      <c r="L535" s="1" t="s">
        <v>19</v>
      </c>
      <c r="M535" s="1" t="str">
        <f t="shared" si="8"/>
        <v xml:space="preserve">1998|35962| 21:00 |Group A|La Beaujoire|Nantes |France|Brazil|3|0|Morocco| </v>
      </c>
    </row>
    <row r="536" spans="1:13" hidden="1" x14ac:dyDescent="0.2">
      <c r="A536" s="1">
        <v>1998</v>
      </c>
      <c r="B536" s="2" t="d">
        <v>1998-06-17</v>
      </c>
      <c r="C536" s="1" t="s">
        <v>77</v>
      </c>
      <c r="D536" s="1" t="s">
        <v>241</v>
      </c>
      <c r="E536" s="1" t="s">
        <v>396</v>
      </c>
      <c r="F536" s="1" t="s">
        <v>397</v>
      </c>
      <c r="G536" s="1" t="s">
        <v>17</v>
      </c>
      <c r="H536" s="1" t="s">
        <v>35</v>
      </c>
      <c r="I536" s="1">
        <v>1</v>
      </c>
      <c r="J536" s="1">
        <v>1</v>
      </c>
      <c r="K536" s="1" t="s">
        <v>50</v>
      </c>
      <c r="L536" s="1" t="s">
        <v>19</v>
      </c>
      <c r="M536" s="1" t="str">
        <f t="shared" si="8"/>
        <v xml:space="preserve">1998|35963| 17:30 |Group B|Stade Geoffroy Guichard|Saint-Etienne |France|Chile|1|1|Austria| </v>
      </c>
    </row>
    <row r="537" spans="1:13" hidden="1" x14ac:dyDescent="0.2">
      <c r="A537" s="1">
        <v>1998</v>
      </c>
      <c r="B537" s="2" t="d">
        <v>1998-06-17</v>
      </c>
      <c r="C537" s="1" t="s">
        <v>268</v>
      </c>
      <c r="D537" s="1" t="s">
        <v>241</v>
      </c>
      <c r="E537" s="1" t="s">
        <v>385</v>
      </c>
      <c r="F537" s="1" t="s">
        <v>386</v>
      </c>
      <c r="G537" s="1" t="s">
        <v>17</v>
      </c>
      <c r="H537" s="1" t="s">
        <v>49</v>
      </c>
      <c r="I537" s="1">
        <v>3</v>
      </c>
      <c r="J537" s="1">
        <v>0</v>
      </c>
      <c r="K537" s="1" t="s">
        <v>273</v>
      </c>
      <c r="L537" s="1" t="s">
        <v>19</v>
      </c>
      <c r="M537" s="1" t="str">
        <f t="shared" si="8"/>
        <v xml:space="preserve">1998|35963| 21:00 |Group B|La Mosson|Montpellier |France|Italy|3|0|Cameroon| </v>
      </c>
    </row>
    <row r="538" spans="1:13" hidden="1" x14ac:dyDescent="0.2">
      <c r="A538" s="1">
        <v>1998</v>
      </c>
      <c r="B538" s="2" t="d">
        <v>1998-06-18</v>
      </c>
      <c r="C538" s="1" t="s">
        <v>77</v>
      </c>
      <c r="D538" s="1" t="s">
        <v>304</v>
      </c>
      <c r="E538" s="1" t="s">
        <v>88</v>
      </c>
      <c r="F538" s="1" t="s">
        <v>89</v>
      </c>
      <c r="G538" s="1" t="s">
        <v>17</v>
      </c>
      <c r="H538" s="1" t="s">
        <v>389</v>
      </c>
      <c r="I538" s="1">
        <v>1</v>
      </c>
      <c r="J538" s="1">
        <v>1</v>
      </c>
      <c r="K538" s="1" t="s">
        <v>320</v>
      </c>
      <c r="L538" s="1" t="s">
        <v>19</v>
      </c>
      <c r="M538" s="1" t="str">
        <f t="shared" si="8"/>
        <v xml:space="preserve">1998|35964| 17:30 |Group C|Stade Municipal|Toulouse |France|South Africa|1|1|Denmark| </v>
      </c>
    </row>
    <row r="539" spans="1:13" hidden="1" x14ac:dyDescent="0.2">
      <c r="A539" s="1">
        <v>1998</v>
      </c>
      <c r="B539" s="2" t="d">
        <v>1998-06-18</v>
      </c>
      <c r="C539" s="1" t="s">
        <v>268</v>
      </c>
      <c r="D539" s="1" t="s">
        <v>304</v>
      </c>
      <c r="E539" s="1" t="s">
        <v>383</v>
      </c>
      <c r="F539" s="1" t="s">
        <v>384</v>
      </c>
      <c r="G539" s="1" t="s">
        <v>17</v>
      </c>
      <c r="H539" s="1" t="s">
        <v>17</v>
      </c>
      <c r="I539" s="1">
        <v>4</v>
      </c>
      <c r="J539" s="1">
        <v>0</v>
      </c>
      <c r="K539" s="1" t="s">
        <v>371</v>
      </c>
      <c r="L539" s="1" t="s">
        <v>19</v>
      </c>
      <c r="M539" s="1" t="str">
        <f t="shared" si="8"/>
        <v xml:space="preserve">1998|35964| 21:00 |Group C|Stade de France|Saint-Denis |France|France|4|0|Saudi Arabia| </v>
      </c>
    </row>
    <row r="540" spans="1:13" hidden="1" x14ac:dyDescent="0.2">
      <c r="A540" s="1">
        <v>1998</v>
      </c>
      <c r="B540" s="2" t="d">
        <v>1998-06-19</v>
      </c>
      <c r="C540" s="1" t="s">
        <v>77</v>
      </c>
      <c r="D540" s="1" t="s">
        <v>306</v>
      </c>
      <c r="E540" s="1" t="s">
        <v>81</v>
      </c>
      <c r="F540" s="1" t="s">
        <v>82</v>
      </c>
      <c r="G540" s="1" t="s">
        <v>17</v>
      </c>
      <c r="H540" s="1" t="s">
        <v>378</v>
      </c>
      <c r="I540" s="1">
        <v>1</v>
      </c>
      <c r="J540" s="1">
        <v>0</v>
      </c>
      <c r="K540" s="1" t="s">
        <v>182</v>
      </c>
      <c r="L540" s="1" t="s">
        <v>19</v>
      </c>
      <c r="M540" s="1" t="str">
        <f t="shared" si="8"/>
        <v xml:space="preserve">1998|35965| 17:30 |Group D|Parc des Princes|Paris |France|Nigeria|1|0|Bulgaria| </v>
      </c>
    </row>
    <row r="541" spans="1:13" hidden="1" x14ac:dyDescent="0.2">
      <c r="A541" s="1">
        <v>1998</v>
      </c>
      <c r="B541" s="2" t="d">
        <v>1998-06-19</v>
      </c>
      <c r="C541" s="1" t="s">
        <v>268</v>
      </c>
      <c r="D541" s="1" t="s">
        <v>306</v>
      </c>
      <c r="E541" s="1" t="s">
        <v>396</v>
      </c>
      <c r="F541" s="1" t="s">
        <v>397</v>
      </c>
      <c r="G541" s="1" t="s">
        <v>17</v>
      </c>
      <c r="H541" s="1" t="s">
        <v>68</v>
      </c>
      <c r="I541" s="1">
        <v>0</v>
      </c>
      <c r="J541" s="1">
        <v>0</v>
      </c>
      <c r="K541" s="1" t="s">
        <v>37</v>
      </c>
      <c r="L541" s="1" t="s">
        <v>19</v>
      </c>
      <c r="M541" s="1" t="str">
        <f t="shared" si="8"/>
        <v xml:space="preserve">1998|35965| 21:00 |Group D|Stade Geoffroy Guichard|Saint-Etienne |France|Spain|0|0|Paraguay| </v>
      </c>
    </row>
    <row r="542" spans="1:13" hidden="1" x14ac:dyDescent="0.2">
      <c r="A542" s="1">
        <v>1998</v>
      </c>
      <c r="B542" s="2" t="d">
        <v>1998-06-20</v>
      </c>
      <c r="C542" s="1" t="s">
        <v>38</v>
      </c>
      <c r="D542" s="1" t="s">
        <v>394</v>
      </c>
      <c r="E542" s="1" t="s">
        <v>390</v>
      </c>
      <c r="F542" s="1" t="s">
        <v>391</v>
      </c>
      <c r="G542" s="1" t="s">
        <v>17</v>
      </c>
      <c r="H542" s="1" t="s">
        <v>395</v>
      </c>
      <c r="I542" s="1">
        <v>0</v>
      </c>
      <c r="J542" s="1">
        <v>1</v>
      </c>
      <c r="K542" s="1" t="s">
        <v>399</v>
      </c>
      <c r="L542" s="1" t="s">
        <v>19</v>
      </c>
      <c r="M542" s="1" t="str">
        <f t="shared" si="8"/>
        <v xml:space="preserve">1998|35966| 14:30 |Group H|La Beaujoire|Nantes |France|Japan|0|1|Croatia| </v>
      </c>
    </row>
    <row r="543" spans="1:13" hidden="1" x14ac:dyDescent="0.2">
      <c r="A543" s="1">
        <v>1998</v>
      </c>
      <c r="B543" s="2" t="d">
        <v>1998-06-20</v>
      </c>
      <c r="C543" s="1" t="s">
        <v>77</v>
      </c>
      <c r="D543" s="1" t="s">
        <v>317</v>
      </c>
      <c r="E543" s="1" t="s">
        <v>102</v>
      </c>
      <c r="F543" s="1" t="s">
        <v>103</v>
      </c>
      <c r="G543" s="1" t="s">
        <v>17</v>
      </c>
      <c r="H543" s="1" t="s">
        <v>23</v>
      </c>
      <c r="I543" s="1">
        <v>2</v>
      </c>
      <c r="J543" s="1">
        <v>2</v>
      </c>
      <c r="K543" s="1" t="s">
        <v>18</v>
      </c>
      <c r="L543" s="1" t="s">
        <v>19</v>
      </c>
      <c r="M543" s="1" t="str">
        <f t="shared" si="8"/>
        <v xml:space="preserve">1998|35966| 17:30 |Group E|Stade du Parc Lescure|Bordeaux |France|Belgium|2|2|Mexico| </v>
      </c>
    </row>
    <row r="544" spans="1:13" hidden="1" x14ac:dyDescent="0.2">
      <c r="A544" s="1">
        <v>1998</v>
      </c>
      <c r="B544" s="2" t="d">
        <v>1998-06-20</v>
      </c>
      <c r="C544" s="1" t="s">
        <v>268</v>
      </c>
      <c r="D544" s="1" t="s">
        <v>317</v>
      </c>
      <c r="E544" s="1" t="s">
        <v>91</v>
      </c>
      <c r="F544" s="1" t="s">
        <v>92</v>
      </c>
      <c r="G544" s="1" t="s">
        <v>17</v>
      </c>
      <c r="H544" s="1" t="s">
        <v>59</v>
      </c>
      <c r="I544" s="1">
        <v>5</v>
      </c>
      <c r="J544" s="1">
        <v>0</v>
      </c>
      <c r="K544" s="1" t="s">
        <v>135</v>
      </c>
      <c r="L544" s="1" t="s">
        <v>19</v>
      </c>
      <c r="M544" s="1" t="str">
        <f t="shared" si="8"/>
        <v xml:space="preserve">1998|35966| 21:00 |Group E|Stade Vï¿½lodrome|Marseilles |France|Netherlands|5|0|Korea Republic| </v>
      </c>
    </row>
    <row r="545" spans="1:13" x14ac:dyDescent="0.2">
      <c r="A545" s="1">
        <v>1998</v>
      </c>
      <c r="B545" s="2" t="d">
        <v>1998-06-21</v>
      </c>
      <c r="C545" s="1" t="s">
        <v>38</v>
      </c>
      <c r="D545" s="1" t="s">
        <v>310</v>
      </c>
      <c r="E545" s="1" t="s">
        <v>387</v>
      </c>
      <c r="F545" s="1" t="s">
        <v>388</v>
      </c>
      <c r="G545" s="1" t="s">
        <v>17</v>
      </c>
      <c r="H545" s="1" t="s">
        <v>65</v>
      </c>
      <c r="I545" s="1">
        <v>2</v>
      </c>
      <c r="J545" s="1">
        <v>2</v>
      </c>
      <c r="K545" s="1" t="s">
        <v>26</v>
      </c>
      <c r="L545" s="1" t="s">
        <v>19</v>
      </c>
      <c r="M545" s="1" t="str">
        <f t="shared" si="8"/>
        <v xml:space="preserve">1998|35967| 14:30 |Group F|Stade Felix Bollaert|Lens |France|Germany|2|2|Yugoslavia| </v>
      </c>
    </row>
    <row r="546" spans="1:13" hidden="1" x14ac:dyDescent="0.2">
      <c r="A546" s="1">
        <v>1998</v>
      </c>
      <c r="B546" s="2" t="d">
        <v>1998-06-21</v>
      </c>
      <c r="C546" s="1" t="s">
        <v>77</v>
      </c>
      <c r="D546" s="1" t="s">
        <v>394</v>
      </c>
      <c r="E546" s="1" t="s">
        <v>81</v>
      </c>
      <c r="F546" s="1" t="s">
        <v>82</v>
      </c>
      <c r="G546" s="1" t="s">
        <v>17</v>
      </c>
      <c r="H546" s="1" t="s">
        <v>33</v>
      </c>
      <c r="I546" s="1">
        <v>5</v>
      </c>
      <c r="J546" s="1">
        <v>0</v>
      </c>
      <c r="K546" s="1" t="s">
        <v>398</v>
      </c>
      <c r="L546" s="1" t="s">
        <v>19</v>
      </c>
      <c r="M546" s="1" t="str">
        <f t="shared" si="8"/>
        <v xml:space="preserve">1998|35967| 17:30 |Group H|Parc des Princes|Paris |France|Argentina|5|0|Jamaica| </v>
      </c>
    </row>
    <row r="547" spans="1:13" hidden="1" x14ac:dyDescent="0.2">
      <c r="A547" s="1">
        <v>1998</v>
      </c>
      <c r="B547" s="2" t="d">
        <v>1998-06-21</v>
      </c>
      <c r="C547" s="1" t="s">
        <v>268</v>
      </c>
      <c r="D547" s="1" t="s">
        <v>310</v>
      </c>
      <c r="E547" s="1" t="s">
        <v>392</v>
      </c>
      <c r="F547" s="1" t="s">
        <v>393</v>
      </c>
      <c r="G547" s="1" t="s">
        <v>17</v>
      </c>
      <c r="H547" s="1" t="s">
        <v>22</v>
      </c>
      <c r="I547" s="1">
        <v>1</v>
      </c>
      <c r="J547" s="1">
        <v>2</v>
      </c>
      <c r="K547" s="1" t="s">
        <v>260</v>
      </c>
      <c r="L547" s="1" t="s">
        <v>19</v>
      </c>
      <c r="M547" s="1" t="str">
        <f t="shared" si="8"/>
        <v xml:space="preserve">1998|35967| 21:00 |Group F|Stade de Gerland|Lyon |France|USA|1|2|Iran| </v>
      </c>
    </row>
    <row r="548" spans="1:13" hidden="1" x14ac:dyDescent="0.2">
      <c r="A548" s="1">
        <v>1998</v>
      </c>
      <c r="B548" s="2" t="d">
        <v>1998-06-22</v>
      </c>
      <c r="C548" s="1" t="s">
        <v>77</v>
      </c>
      <c r="D548" s="1" t="s">
        <v>400</v>
      </c>
      <c r="E548" s="1" t="s">
        <v>385</v>
      </c>
      <c r="F548" s="1" t="s">
        <v>386</v>
      </c>
      <c r="G548" s="1" t="s">
        <v>17</v>
      </c>
      <c r="H548" s="1" t="s">
        <v>177</v>
      </c>
      <c r="I548" s="1">
        <v>1</v>
      </c>
      <c r="J548" s="1">
        <v>0</v>
      </c>
      <c r="K548" s="1" t="s">
        <v>251</v>
      </c>
      <c r="L548" s="1" t="s">
        <v>19</v>
      </c>
      <c r="M548" s="1" t="str">
        <f t="shared" si="8"/>
        <v xml:space="preserve">1998|35968| 17:30 |Group G|La Mosson|Montpellier |France|Colombia|1|0|Tunisia| </v>
      </c>
    </row>
    <row r="549" spans="1:13" hidden="1" x14ac:dyDescent="0.2">
      <c r="A549" s="1">
        <v>1998</v>
      </c>
      <c r="B549" s="2" t="d">
        <v>1998-06-22</v>
      </c>
      <c r="C549" s="1" t="s">
        <v>268</v>
      </c>
      <c r="D549" s="1" t="s">
        <v>400</v>
      </c>
      <c r="E549" s="1" t="s">
        <v>88</v>
      </c>
      <c r="F549" s="1" t="s">
        <v>89</v>
      </c>
      <c r="G549" s="1" t="s">
        <v>17</v>
      </c>
      <c r="H549" s="1" t="s">
        <v>30</v>
      </c>
      <c r="I549" s="1">
        <v>2</v>
      </c>
      <c r="J549" s="1">
        <v>1</v>
      </c>
      <c r="K549" s="1" t="s">
        <v>110</v>
      </c>
      <c r="L549" s="1" t="s">
        <v>19</v>
      </c>
      <c r="M549" s="1" t="str">
        <f t="shared" si="8"/>
        <v xml:space="preserve">1998|35968| 21:00 |Group G|Stade Municipal|Toulouse |France|Romania|2|1|England| </v>
      </c>
    </row>
    <row r="550" spans="1:13" hidden="1" x14ac:dyDescent="0.2">
      <c r="A550" s="1">
        <v>1998</v>
      </c>
      <c r="B550" s="2" t="d">
        <v>1998-06-23</v>
      </c>
      <c r="C550" s="1" t="s">
        <v>32</v>
      </c>
      <c r="D550" s="1" t="s">
        <v>241</v>
      </c>
      <c r="E550" s="1" t="s">
        <v>383</v>
      </c>
      <c r="F550" s="1" t="s">
        <v>384</v>
      </c>
      <c r="G550" s="1" t="s">
        <v>17</v>
      </c>
      <c r="H550" s="1" t="s">
        <v>49</v>
      </c>
      <c r="I550" s="1">
        <v>2</v>
      </c>
      <c r="J550" s="1">
        <v>1</v>
      </c>
      <c r="K550" s="1" t="s">
        <v>50</v>
      </c>
      <c r="L550" s="1" t="s">
        <v>19</v>
      </c>
      <c r="M550" s="1" t="str">
        <f t="shared" si="8"/>
        <v xml:space="preserve">1998|35969| 16:00 |Group B|Stade de France|Saint-Denis |France|Italy|2|1|Austria| </v>
      </c>
    </row>
    <row r="551" spans="1:13" hidden="1" x14ac:dyDescent="0.2">
      <c r="A551" s="1">
        <v>1998</v>
      </c>
      <c r="B551" s="2" t="d">
        <v>1998-06-23</v>
      </c>
      <c r="C551" s="1" t="s">
        <v>32</v>
      </c>
      <c r="D551" s="1" t="s">
        <v>241</v>
      </c>
      <c r="E551" s="1" t="s">
        <v>390</v>
      </c>
      <c r="F551" s="1" t="s">
        <v>391</v>
      </c>
      <c r="G551" s="1" t="s">
        <v>17</v>
      </c>
      <c r="H551" s="1" t="s">
        <v>35</v>
      </c>
      <c r="I551" s="1">
        <v>1</v>
      </c>
      <c r="J551" s="1">
        <v>1</v>
      </c>
      <c r="K551" s="1" t="s">
        <v>273</v>
      </c>
      <c r="L551" s="1" t="s">
        <v>19</v>
      </c>
      <c r="M551" s="1" t="str">
        <f t="shared" si="8"/>
        <v xml:space="preserve">1998|35969| 16:00 |Group B|La Beaujoire|Nantes |France|Chile|1|1|Cameroon| </v>
      </c>
    </row>
    <row r="552" spans="1:13" hidden="1" x14ac:dyDescent="0.2">
      <c r="A552" s="1">
        <v>1998</v>
      </c>
      <c r="B552" s="2" t="d">
        <v>1998-06-23</v>
      </c>
      <c r="C552" s="1" t="s">
        <v>268</v>
      </c>
      <c r="D552" s="1" t="s">
        <v>242</v>
      </c>
      <c r="E552" s="1" t="s">
        <v>396</v>
      </c>
      <c r="F552" s="1" t="s">
        <v>397</v>
      </c>
      <c r="G552" s="1" t="s">
        <v>17</v>
      </c>
      <c r="H552" s="1" t="s">
        <v>128</v>
      </c>
      <c r="I552" s="1">
        <v>0</v>
      </c>
      <c r="J552" s="1">
        <v>3</v>
      </c>
      <c r="K552" s="1" t="s">
        <v>216</v>
      </c>
      <c r="L552" s="1" t="s">
        <v>19</v>
      </c>
      <c r="M552" s="1" t="str">
        <f t="shared" si="8"/>
        <v xml:space="preserve">1998|35969| 21:00 |Group A|Stade Geoffroy Guichard|Saint-Etienne |France|Scotland|0|3|Morocco| </v>
      </c>
    </row>
    <row r="553" spans="1:13" hidden="1" x14ac:dyDescent="0.2">
      <c r="A553" s="1">
        <v>1998</v>
      </c>
      <c r="B553" s="2" t="d">
        <v>1998-06-23</v>
      </c>
      <c r="C553" s="1" t="s">
        <v>268</v>
      </c>
      <c r="D553" s="1" t="s">
        <v>242</v>
      </c>
      <c r="E553" s="1" t="s">
        <v>91</v>
      </c>
      <c r="F553" s="1" t="s">
        <v>92</v>
      </c>
      <c r="G553" s="1" t="s">
        <v>17</v>
      </c>
      <c r="H553" s="1" t="s">
        <v>27</v>
      </c>
      <c r="I553" s="1">
        <v>1</v>
      </c>
      <c r="J553" s="1">
        <v>2</v>
      </c>
      <c r="K553" s="1" t="s">
        <v>93</v>
      </c>
      <c r="L553" s="1" t="s">
        <v>19</v>
      </c>
      <c r="M553" s="1" t="str">
        <f t="shared" si="8"/>
        <v xml:space="preserve">1998|35969| 21:00 |Group A|Stade Vï¿½lodrome|Marseilles |France|Brazil|1|2|Norway| </v>
      </c>
    </row>
    <row r="554" spans="1:13" hidden="1" x14ac:dyDescent="0.2">
      <c r="A554" s="1">
        <v>1998</v>
      </c>
      <c r="B554" s="2" t="d">
        <v>1998-06-24</v>
      </c>
      <c r="C554" s="1" t="s">
        <v>32</v>
      </c>
      <c r="D554" s="1" t="s">
        <v>304</v>
      </c>
      <c r="E554" s="1" t="s">
        <v>392</v>
      </c>
      <c r="F554" s="1" t="s">
        <v>393</v>
      </c>
      <c r="G554" s="1" t="s">
        <v>17</v>
      </c>
      <c r="H554" s="1" t="s">
        <v>17</v>
      </c>
      <c r="I554" s="1">
        <v>2</v>
      </c>
      <c r="J554" s="1">
        <v>1</v>
      </c>
      <c r="K554" s="1" t="s">
        <v>320</v>
      </c>
      <c r="L554" s="1" t="s">
        <v>19</v>
      </c>
      <c r="M554" s="1" t="str">
        <f t="shared" si="8"/>
        <v xml:space="preserve">1998|35970| 16:00 |Group C|Stade de Gerland|Lyon |France|France|2|1|Denmark| </v>
      </c>
    </row>
    <row r="555" spans="1:13" hidden="1" x14ac:dyDescent="0.2">
      <c r="A555" s="1">
        <v>1998</v>
      </c>
      <c r="B555" s="2" t="d">
        <v>1998-06-24</v>
      </c>
      <c r="C555" s="1" t="s">
        <v>32</v>
      </c>
      <c r="D555" s="1" t="s">
        <v>304</v>
      </c>
      <c r="E555" s="1" t="s">
        <v>102</v>
      </c>
      <c r="F555" s="1" t="s">
        <v>103</v>
      </c>
      <c r="G555" s="1" t="s">
        <v>17</v>
      </c>
      <c r="H555" s="1" t="s">
        <v>389</v>
      </c>
      <c r="I555" s="1">
        <v>2</v>
      </c>
      <c r="J555" s="1">
        <v>2</v>
      </c>
      <c r="K555" s="1" t="s">
        <v>371</v>
      </c>
      <c r="L555" s="1" t="s">
        <v>19</v>
      </c>
      <c r="M555" s="1" t="str">
        <f t="shared" si="8"/>
        <v xml:space="preserve">1998|35970| 16:00 |Group C|Stade du Parc Lescure|Bordeaux |France|South Africa|2|2|Saudi Arabia| </v>
      </c>
    </row>
    <row r="556" spans="1:13" hidden="1" x14ac:dyDescent="0.2">
      <c r="A556" s="1">
        <v>1998</v>
      </c>
      <c r="B556" s="2" t="d">
        <v>1998-06-24</v>
      </c>
      <c r="C556" s="1" t="s">
        <v>268</v>
      </c>
      <c r="D556" s="1" t="s">
        <v>306</v>
      </c>
      <c r="E556" s="1" t="s">
        <v>387</v>
      </c>
      <c r="F556" s="1" t="s">
        <v>388</v>
      </c>
      <c r="G556" s="1" t="s">
        <v>17</v>
      </c>
      <c r="H556" s="1" t="s">
        <v>68</v>
      </c>
      <c r="I556" s="1">
        <v>6</v>
      </c>
      <c r="J556" s="1">
        <v>1</v>
      </c>
      <c r="K556" s="1" t="s">
        <v>182</v>
      </c>
      <c r="L556" s="1" t="s">
        <v>19</v>
      </c>
      <c r="M556" s="1" t="str">
        <f t="shared" si="8"/>
        <v xml:space="preserve">1998|35970| 21:00 |Group D|Stade Felix Bollaert|Lens |France|Spain|6|1|Bulgaria| </v>
      </c>
    </row>
    <row r="557" spans="1:13" hidden="1" x14ac:dyDescent="0.2">
      <c r="A557" s="1">
        <v>1998</v>
      </c>
      <c r="B557" s="2" t="d">
        <v>1998-06-24</v>
      </c>
      <c r="C557" s="1" t="s">
        <v>268</v>
      </c>
      <c r="D557" s="1" t="s">
        <v>306</v>
      </c>
      <c r="E557" s="1" t="s">
        <v>88</v>
      </c>
      <c r="F557" s="1" t="s">
        <v>89</v>
      </c>
      <c r="G557" s="1" t="s">
        <v>17</v>
      </c>
      <c r="H557" s="1" t="s">
        <v>378</v>
      </c>
      <c r="I557" s="1">
        <v>1</v>
      </c>
      <c r="J557" s="1">
        <v>3</v>
      </c>
      <c r="K557" s="1" t="s">
        <v>37</v>
      </c>
      <c r="L557" s="1" t="s">
        <v>19</v>
      </c>
      <c r="M557" s="1" t="str">
        <f t="shared" si="8"/>
        <v xml:space="preserve">1998|35970| 21:00 |Group D|Stade Municipal|Toulouse |France|Nigeria|1|3|Paraguay| </v>
      </c>
    </row>
    <row r="558" spans="1:13" hidden="1" x14ac:dyDescent="0.2">
      <c r="A558" s="1">
        <v>1998</v>
      </c>
      <c r="B558" s="2" t="d">
        <v>1998-06-25</v>
      </c>
      <c r="C558" s="1" t="s">
        <v>32</v>
      </c>
      <c r="D558" s="1" t="s">
        <v>317</v>
      </c>
      <c r="E558" s="1" t="s">
        <v>81</v>
      </c>
      <c r="F558" s="1" t="s">
        <v>82</v>
      </c>
      <c r="G558" s="1" t="s">
        <v>17</v>
      </c>
      <c r="H558" s="1" t="s">
        <v>23</v>
      </c>
      <c r="I558" s="1">
        <v>1</v>
      </c>
      <c r="J558" s="1">
        <v>1</v>
      </c>
      <c r="K558" s="1" t="s">
        <v>135</v>
      </c>
      <c r="L558" s="1" t="s">
        <v>19</v>
      </c>
      <c r="M558" s="1" t="str">
        <f t="shared" si="8"/>
        <v xml:space="preserve">1998|35971| 16:00 |Group E|Parc des Princes|Paris |France|Belgium|1|1|Korea Republic| </v>
      </c>
    </row>
    <row r="559" spans="1:13" hidden="1" x14ac:dyDescent="0.2">
      <c r="A559" s="1">
        <v>1998</v>
      </c>
      <c r="B559" s="2" t="d">
        <v>1998-06-25</v>
      </c>
      <c r="C559" s="1" t="s">
        <v>32</v>
      </c>
      <c r="D559" s="1" t="s">
        <v>317</v>
      </c>
      <c r="E559" s="1" t="s">
        <v>396</v>
      </c>
      <c r="F559" s="1" t="s">
        <v>397</v>
      </c>
      <c r="G559" s="1" t="s">
        <v>17</v>
      </c>
      <c r="H559" s="1" t="s">
        <v>59</v>
      </c>
      <c r="I559" s="1">
        <v>2</v>
      </c>
      <c r="J559" s="1">
        <v>2</v>
      </c>
      <c r="K559" s="1" t="s">
        <v>18</v>
      </c>
      <c r="L559" s="1" t="s">
        <v>19</v>
      </c>
      <c r="M559" s="1" t="str">
        <f t="shared" si="8"/>
        <v xml:space="preserve">1998|35971| 16:00 |Group E|Stade Geoffroy Guichard|Saint-Etienne |France|Netherlands|2|2|Mexico| </v>
      </c>
    </row>
    <row r="560" spans="1:13" x14ac:dyDescent="0.2">
      <c r="A560" s="1">
        <v>1998</v>
      </c>
      <c r="B560" s="2" t="d">
        <v>1998-06-25</v>
      </c>
      <c r="C560" s="1" t="s">
        <v>268</v>
      </c>
      <c r="D560" s="1" t="s">
        <v>310</v>
      </c>
      <c r="E560" s="1" t="s">
        <v>385</v>
      </c>
      <c r="F560" s="1" t="s">
        <v>386</v>
      </c>
      <c r="G560" s="1" t="s">
        <v>17</v>
      </c>
      <c r="H560" s="1" t="s">
        <v>65</v>
      </c>
      <c r="I560" s="1">
        <v>2</v>
      </c>
      <c r="J560" s="1">
        <v>0</v>
      </c>
      <c r="K560" s="1" t="s">
        <v>260</v>
      </c>
      <c r="L560" s="1" t="s">
        <v>19</v>
      </c>
      <c r="M560" s="1" t="str">
        <f t="shared" si="8"/>
        <v xml:space="preserve">1998|35971| 21:00 |Group F|La Mosson|Montpellier |France|Germany|2|0|Iran| </v>
      </c>
    </row>
    <row r="561" spans="1:13" hidden="1" x14ac:dyDescent="0.2">
      <c r="A561" s="1">
        <v>1998</v>
      </c>
      <c r="B561" s="2" t="d">
        <v>1998-06-25</v>
      </c>
      <c r="C561" s="1" t="s">
        <v>268</v>
      </c>
      <c r="D561" s="1" t="s">
        <v>310</v>
      </c>
      <c r="E561" s="1" t="s">
        <v>390</v>
      </c>
      <c r="F561" s="1" t="s">
        <v>391</v>
      </c>
      <c r="G561" s="1" t="s">
        <v>17</v>
      </c>
      <c r="H561" s="1" t="s">
        <v>22</v>
      </c>
      <c r="I561" s="1">
        <v>0</v>
      </c>
      <c r="J561" s="1">
        <v>1</v>
      </c>
      <c r="K561" s="1" t="s">
        <v>26</v>
      </c>
      <c r="L561" s="1" t="s">
        <v>19</v>
      </c>
      <c r="M561" s="1" t="str">
        <f t="shared" si="8"/>
        <v xml:space="preserve">1998|35971| 21:00 |Group F|La Beaujoire|Nantes |France|USA|0|1|Yugoslavia| </v>
      </c>
    </row>
    <row r="562" spans="1:13" hidden="1" x14ac:dyDescent="0.2">
      <c r="A562" s="1">
        <v>1998</v>
      </c>
      <c r="B562" s="2" t="d">
        <v>1998-06-26</v>
      </c>
      <c r="C562" s="1" t="s">
        <v>32</v>
      </c>
      <c r="D562" s="1" t="s">
        <v>394</v>
      </c>
      <c r="E562" s="1" t="s">
        <v>392</v>
      </c>
      <c r="F562" s="1" t="s">
        <v>393</v>
      </c>
      <c r="G562" s="1" t="s">
        <v>17</v>
      </c>
      <c r="H562" s="1" t="s">
        <v>395</v>
      </c>
      <c r="I562" s="1">
        <v>1</v>
      </c>
      <c r="J562" s="1">
        <v>2</v>
      </c>
      <c r="K562" s="1" t="s">
        <v>398</v>
      </c>
      <c r="L562" s="1" t="s">
        <v>19</v>
      </c>
      <c r="M562" s="1" t="str">
        <f t="shared" si="8"/>
        <v xml:space="preserve">1998|35972| 16:00 |Group H|Stade de Gerland|Lyon |France|Japan|1|2|Jamaica| </v>
      </c>
    </row>
    <row r="563" spans="1:13" hidden="1" x14ac:dyDescent="0.2">
      <c r="A563" s="1">
        <v>1998</v>
      </c>
      <c r="B563" s="2" t="d">
        <v>1998-06-26</v>
      </c>
      <c r="C563" s="1" t="s">
        <v>32</v>
      </c>
      <c r="D563" s="1" t="s">
        <v>394</v>
      </c>
      <c r="E563" s="1" t="s">
        <v>102</v>
      </c>
      <c r="F563" s="1" t="s">
        <v>103</v>
      </c>
      <c r="G563" s="1" t="s">
        <v>17</v>
      </c>
      <c r="H563" s="1" t="s">
        <v>33</v>
      </c>
      <c r="I563" s="1">
        <v>1</v>
      </c>
      <c r="J563" s="1">
        <v>0</v>
      </c>
      <c r="K563" s="1" t="s">
        <v>399</v>
      </c>
      <c r="L563" s="1" t="s">
        <v>19</v>
      </c>
      <c r="M563" s="1" t="str">
        <f t="shared" si="8"/>
        <v xml:space="preserve">1998|35972| 16:00 |Group H|Stade du Parc Lescure|Bordeaux |France|Argentina|1|0|Croatia| </v>
      </c>
    </row>
    <row r="564" spans="1:13" hidden="1" x14ac:dyDescent="0.2">
      <c r="A564" s="1">
        <v>1998</v>
      </c>
      <c r="B564" s="2" t="d">
        <v>1998-06-26</v>
      </c>
      <c r="C564" s="1" t="s">
        <v>268</v>
      </c>
      <c r="D564" s="1" t="s">
        <v>400</v>
      </c>
      <c r="E564" s="1" t="s">
        <v>383</v>
      </c>
      <c r="F564" s="1" t="s">
        <v>384</v>
      </c>
      <c r="G564" s="1" t="s">
        <v>17</v>
      </c>
      <c r="H564" s="1" t="s">
        <v>30</v>
      </c>
      <c r="I564" s="1">
        <v>1</v>
      </c>
      <c r="J564" s="1">
        <v>1</v>
      </c>
      <c r="K564" s="1" t="s">
        <v>251</v>
      </c>
      <c r="L564" s="1" t="s">
        <v>19</v>
      </c>
      <c r="M564" s="1" t="str">
        <f t="shared" si="8"/>
        <v xml:space="preserve">1998|35972| 21:00 |Group G|Stade de France|Saint-Denis |France|Romania|1|1|Tunisia| </v>
      </c>
    </row>
    <row r="565" spans="1:13" hidden="1" x14ac:dyDescent="0.2">
      <c r="A565" s="1">
        <v>1998</v>
      </c>
      <c r="B565" s="2" t="d">
        <v>1998-06-26</v>
      </c>
      <c r="C565" s="1" t="s">
        <v>268</v>
      </c>
      <c r="D565" s="1" t="s">
        <v>400</v>
      </c>
      <c r="E565" s="1" t="s">
        <v>387</v>
      </c>
      <c r="F565" s="1" t="s">
        <v>388</v>
      </c>
      <c r="G565" s="1" t="s">
        <v>17</v>
      </c>
      <c r="H565" s="1" t="s">
        <v>177</v>
      </c>
      <c r="I565" s="1">
        <v>0</v>
      </c>
      <c r="J565" s="1">
        <v>2</v>
      </c>
      <c r="K565" s="1" t="s">
        <v>110</v>
      </c>
      <c r="L565" s="1" t="s">
        <v>19</v>
      </c>
      <c r="M565" s="1" t="str">
        <f t="shared" si="8"/>
        <v xml:space="preserve">1998|35972| 21:00 |Group G|Stade Felix Bollaert|Lens |France|Colombia|0|2|England| </v>
      </c>
    </row>
    <row r="566" spans="1:13" hidden="1" x14ac:dyDescent="0.2">
      <c r="A566" s="1">
        <v>1998</v>
      </c>
      <c r="B566" s="2" t="d">
        <v>1998-06-27</v>
      </c>
      <c r="C566" s="1" t="s">
        <v>45</v>
      </c>
      <c r="D566" s="12" t="s">
        <v>323</v>
      </c>
      <c r="E566" s="1" t="s">
        <v>91</v>
      </c>
      <c r="F566" s="1" t="s">
        <v>92</v>
      </c>
      <c r="G566" s="1" t="s">
        <v>17</v>
      </c>
      <c r="H566" s="1" t="s">
        <v>49</v>
      </c>
      <c r="I566" s="1">
        <v>1</v>
      </c>
      <c r="J566" s="1">
        <v>0</v>
      </c>
      <c r="K566" s="1" t="s">
        <v>93</v>
      </c>
      <c r="L566" s="1" t="s">
        <v>19</v>
      </c>
      <c r="M566" s="1" t="str">
        <f t="shared" si="8"/>
        <v xml:space="preserve">1998|35973| 16:30 |Round of 16|Stade Vï¿½lodrome|Marseilles |France|Italy|1|0|Norway| </v>
      </c>
    </row>
    <row r="567" spans="1:13" hidden="1" x14ac:dyDescent="0.2">
      <c r="A567" s="1">
        <v>1998</v>
      </c>
      <c r="B567" s="2" t="d">
        <v>1998-06-27</v>
      </c>
      <c r="C567" s="1" t="s">
        <v>268</v>
      </c>
      <c r="D567" s="12" t="s">
        <v>323</v>
      </c>
      <c r="E567" s="1" t="s">
        <v>81</v>
      </c>
      <c r="F567" s="1" t="s">
        <v>82</v>
      </c>
      <c r="G567" s="1" t="s">
        <v>17</v>
      </c>
      <c r="H567" s="1" t="s">
        <v>27</v>
      </c>
      <c r="I567" s="1">
        <v>4</v>
      </c>
      <c r="J567" s="1">
        <v>1</v>
      </c>
      <c r="K567" s="1" t="s">
        <v>35</v>
      </c>
      <c r="L567" s="1" t="s">
        <v>19</v>
      </c>
      <c r="M567" s="1" t="str">
        <f t="shared" si="8"/>
        <v xml:space="preserve">1998|35973| 21:00 |Round of 16|Parc des Princes|Paris |France|Brazil|4|1|Chile| </v>
      </c>
    </row>
    <row r="568" spans="1:13" hidden="1" x14ac:dyDescent="0.2">
      <c r="A568" s="1">
        <v>1998</v>
      </c>
      <c r="B568" s="2" t="d">
        <v>1998-06-28</v>
      </c>
      <c r="C568" s="1" t="s">
        <v>45</v>
      </c>
      <c r="D568" s="12" t="s">
        <v>323</v>
      </c>
      <c r="E568" s="1" t="s">
        <v>387</v>
      </c>
      <c r="F568" s="1" t="s">
        <v>388</v>
      </c>
      <c r="G568" s="1" t="s">
        <v>17</v>
      </c>
      <c r="H568" s="1" t="s">
        <v>17</v>
      </c>
      <c r="I568" s="1">
        <v>1</v>
      </c>
      <c r="J568" s="1">
        <v>0</v>
      </c>
      <c r="K568" s="1" t="s">
        <v>37</v>
      </c>
      <c r="L568" s="1" t="s">
        <v>328</v>
      </c>
      <c r="M568" s="1" t="str">
        <f t="shared" si="8"/>
        <v xml:space="preserve">1998|35974| 16:30 |Round of 16|Stade Felix Bollaert|Lens |France|France|1|0|Paraguay|France win after extra time </v>
      </c>
    </row>
    <row r="569" spans="1:13" hidden="1" x14ac:dyDescent="0.2">
      <c r="A569" s="1">
        <v>1998</v>
      </c>
      <c r="B569" s="2" t="d">
        <v>1998-06-28</v>
      </c>
      <c r="C569" s="1" t="s">
        <v>268</v>
      </c>
      <c r="D569" s="12" t="s">
        <v>323</v>
      </c>
      <c r="E569" s="1" t="s">
        <v>383</v>
      </c>
      <c r="F569" s="1" t="s">
        <v>384</v>
      </c>
      <c r="G569" s="1" t="s">
        <v>17</v>
      </c>
      <c r="H569" s="1" t="s">
        <v>378</v>
      </c>
      <c r="I569" s="1">
        <v>1</v>
      </c>
      <c r="J569" s="1">
        <v>4</v>
      </c>
      <c r="K569" s="1" t="s">
        <v>320</v>
      </c>
      <c r="L569" s="1" t="s">
        <v>19</v>
      </c>
      <c r="M569" s="1" t="str">
        <f t="shared" si="8"/>
        <v xml:space="preserve">1998|35974| 21:00 |Round of 16|Stade de France|Saint-Denis |France|Nigeria|1|4|Denmark| </v>
      </c>
    </row>
    <row r="570" spans="1:13" x14ac:dyDescent="0.2">
      <c r="A570" s="1">
        <v>1998</v>
      </c>
      <c r="B570" s="2" t="d">
        <v>1998-06-29</v>
      </c>
      <c r="C570" s="1" t="s">
        <v>45</v>
      </c>
      <c r="D570" s="12" t="s">
        <v>323</v>
      </c>
      <c r="E570" s="1" t="s">
        <v>385</v>
      </c>
      <c r="F570" s="1" t="s">
        <v>386</v>
      </c>
      <c r="G570" s="1" t="s">
        <v>17</v>
      </c>
      <c r="H570" s="1" t="s">
        <v>65</v>
      </c>
      <c r="I570" s="1">
        <v>2</v>
      </c>
      <c r="J570" s="1">
        <v>1</v>
      </c>
      <c r="K570" s="1" t="s">
        <v>18</v>
      </c>
      <c r="L570" s="1" t="s">
        <v>19</v>
      </c>
      <c r="M570" s="1" t="str">
        <f t="shared" si="8"/>
        <v xml:space="preserve">1998|35975| 16:30 |Round of 16|La Mosson|Montpellier |France|Germany|2|1|Mexico| </v>
      </c>
    </row>
    <row r="571" spans="1:13" hidden="1" x14ac:dyDescent="0.2">
      <c r="A571" s="1">
        <v>1998</v>
      </c>
      <c r="B571" s="2" t="d">
        <v>1998-06-29</v>
      </c>
      <c r="C571" s="1" t="s">
        <v>268</v>
      </c>
      <c r="D571" s="12" t="s">
        <v>323</v>
      </c>
      <c r="E571" s="1" t="s">
        <v>88</v>
      </c>
      <c r="F571" s="1" t="s">
        <v>89</v>
      </c>
      <c r="G571" s="1" t="s">
        <v>17</v>
      </c>
      <c r="H571" s="1" t="s">
        <v>59</v>
      </c>
      <c r="I571" s="1">
        <v>2</v>
      </c>
      <c r="J571" s="1">
        <v>1</v>
      </c>
      <c r="K571" s="1" t="s">
        <v>26</v>
      </c>
      <c r="L571" s="1" t="s">
        <v>19</v>
      </c>
      <c r="M571" s="1" t="str">
        <f t="shared" si="8"/>
        <v xml:space="preserve">1998|35975| 21:00 |Round of 16|Stade Municipal|Toulouse |France|Netherlands|2|1|Yugoslavia| </v>
      </c>
    </row>
    <row r="572" spans="1:13" hidden="1" x14ac:dyDescent="0.2">
      <c r="A572" s="1">
        <v>1998</v>
      </c>
      <c r="B572" s="2" t="d">
        <v>1998-06-30</v>
      </c>
      <c r="C572" s="1" t="s">
        <v>45</v>
      </c>
      <c r="D572" s="12" t="s">
        <v>323</v>
      </c>
      <c r="E572" s="1" t="s">
        <v>102</v>
      </c>
      <c r="F572" s="1" t="s">
        <v>103</v>
      </c>
      <c r="G572" s="1" t="s">
        <v>17</v>
      </c>
      <c r="H572" s="1" t="s">
        <v>30</v>
      </c>
      <c r="I572" s="1">
        <v>0</v>
      </c>
      <c r="J572" s="1">
        <v>1</v>
      </c>
      <c r="K572" s="1" t="s">
        <v>399</v>
      </c>
      <c r="L572" s="1" t="s">
        <v>19</v>
      </c>
      <c r="M572" s="1" t="str">
        <f t="shared" si="8"/>
        <v xml:space="preserve">1998|35976| 16:30 |Round of 16|Stade du Parc Lescure|Bordeaux |France|Romania|0|1|Croatia| </v>
      </c>
    </row>
    <row r="573" spans="1:13" hidden="1" x14ac:dyDescent="0.2">
      <c r="A573" s="1">
        <v>1998</v>
      </c>
      <c r="B573" s="2" t="d">
        <v>1998-06-30</v>
      </c>
      <c r="C573" s="1" t="s">
        <v>268</v>
      </c>
      <c r="D573" s="12" t="s">
        <v>323</v>
      </c>
      <c r="E573" s="1" t="s">
        <v>396</v>
      </c>
      <c r="F573" s="1" t="s">
        <v>397</v>
      </c>
      <c r="G573" s="1" t="s">
        <v>17</v>
      </c>
      <c r="H573" s="1" t="s">
        <v>33</v>
      </c>
      <c r="I573" s="1">
        <v>2</v>
      </c>
      <c r="J573" s="1">
        <v>2</v>
      </c>
      <c r="K573" s="1" t="s">
        <v>110</v>
      </c>
      <c r="L573" s="1" t="s">
        <v>401</v>
      </c>
      <c r="M573" s="1" t="str">
        <f t="shared" si="8"/>
        <v xml:space="preserve">1998|35976| 21:00 |Round of 16|Stade Geoffroy Guichard|Saint-Etienne |France|Argentina|2|2|England|Argentina win on penalties (4 - 3) </v>
      </c>
    </row>
    <row r="574" spans="1:13" hidden="1" x14ac:dyDescent="0.2">
      <c r="A574" s="1">
        <v>1998</v>
      </c>
      <c r="B574" s="2" t="d">
        <v>1998-07-03</v>
      </c>
      <c r="C574" s="1" t="s">
        <v>45</v>
      </c>
      <c r="D574" s="12" t="s">
        <v>74</v>
      </c>
      <c r="E574" s="1" t="s">
        <v>383</v>
      </c>
      <c r="F574" s="1" t="s">
        <v>384</v>
      </c>
      <c r="G574" s="1" t="s">
        <v>17</v>
      </c>
      <c r="H574" s="1" t="s">
        <v>49</v>
      </c>
      <c r="I574" s="1">
        <v>0</v>
      </c>
      <c r="J574" s="1">
        <v>0</v>
      </c>
      <c r="K574" s="1" t="s">
        <v>17</v>
      </c>
      <c r="L574" s="1" t="s">
        <v>325</v>
      </c>
      <c r="M574" s="1" t="str">
        <f t="shared" si="8"/>
        <v xml:space="preserve">1998|35979| 16:30 |Quarter-finals|Stade de France|Saint-Denis |France|Italy|0|0|France|France win on penalties (3 - 4) </v>
      </c>
    </row>
    <row r="575" spans="1:13" hidden="1" x14ac:dyDescent="0.2">
      <c r="A575" s="1">
        <v>1998</v>
      </c>
      <c r="B575" s="2" t="d">
        <v>1998-07-03</v>
      </c>
      <c r="C575" s="1" t="s">
        <v>268</v>
      </c>
      <c r="D575" s="12" t="s">
        <v>74</v>
      </c>
      <c r="E575" s="1" t="s">
        <v>390</v>
      </c>
      <c r="F575" s="1" t="s">
        <v>391</v>
      </c>
      <c r="G575" s="1" t="s">
        <v>17</v>
      </c>
      <c r="H575" s="1" t="s">
        <v>27</v>
      </c>
      <c r="I575" s="1">
        <v>3</v>
      </c>
      <c r="J575" s="1">
        <v>2</v>
      </c>
      <c r="K575" s="1" t="s">
        <v>320</v>
      </c>
      <c r="L575" s="1" t="s">
        <v>19</v>
      </c>
      <c r="M575" s="1" t="str">
        <f t="shared" si="8"/>
        <v xml:space="preserve">1998|35979| 21:00 |Quarter-finals|La Beaujoire|Nantes |France|Brazil|3|2|Denmark| </v>
      </c>
    </row>
    <row r="576" spans="1:13" hidden="1" x14ac:dyDescent="0.2">
      <c r="A576" s="1">
        <v>1998</v>
      </c>
      <c r="B576" s="2" t="d">
        <v>1998-07-04</v>
      </c>
      <c r="C576" s="1" t="s">
        <v>45</v>
      </c>
      <c r="D576" s="12" t="s">
        <v>74</v>
      </c>
      <c r="E576" s="1" t="s">
        <v>91</v>
      </c>
      <c r="F576" s="1" t="s">
        <v>92</v>
      </c>
      <c r="G576" s="1" t="s">
        <v>17</v>
      </c>
      <c r="H576" s="1" t="s">
        <v>59</v>
      </c>
      <c r="I576" s="1">
        <v>2</v>
      </c>
      <c r="J576" s="1">
        <v>1</v>
      </c>
      <c r="K576" s="1" t="s">
        <v>33</v>
      </c>
      <c r="L576" s="1" t="s">
        <v>19</v>
      </c>
      <c r="M576" s="1" t="str">
        <f t="shared" si="8"/>
        <v xml:space="preserve">1998|35980| 16:30 |Quarter-finals|Stade Vï¿½lodrome|Marseilles |France|Netherlands|2|1|Argentina| </v>
      </c>
    </row>
    <row r="577" spans="1:13" x14ac:dyDescent="0.2">
      <c r="A577" s="1">
        <v>1998</v>
      </c>
      <c r="B577" s="2" t="d">
        <v>1998-07-04</v>
      </c>
      <c r="C577" s="1" t="s">
        <v>268</v>
      </c>
      <c r="D577" s="12" t="s">
        <v>74</v>
      </c>
      <c r="E577" s="1" t="s">
        <v>392</v>
      </c>
      <c r="F577" s="1" t="s">
        <v>393</v>
      </c>
      <c r="G577" s="1" t="s">
        <v>17</v>
      </c>
      <c r="H577" s="1" t="s">
        <v>65</v>
      </c>
      <c r="I577" s="1">
        <v>0</v>
      </c>
      <c r="J577" s="1">
        <v>3</v>
      </c>
      <c r="K577" s="1" t="s">
        <v>399</v>
      </c>
      <c r="L577" s="1" t="s">
        <v>19</v>
      </c>
      <c r="M577" s="1" t="str">
        <f t="shared" si="8"/>
        <v xml:space="preserve">1998|35980| 21:00 |Quarter-finals|Stade de Gerland|Lyon |France|Germany|0|3|Croatia| </v>
      </c>
    </row>
    <row r="578" spans="1:13" hidden="1" x14ac:dyDescent="0.2">
      <c r="A578" s="1">
        <v>1998</v>
      </c>
      <c r="B578" s="2" t="d">
        <v>1998-07-07</v>
      </c>
      <c r="C578" s="1" t="s">
        <v>268</v>
      </c>
      <c r="D578" s="12" t="s">
        <v>42</v>
      </c>
      <c r="E578" s="1" t="s">
        <v>91</v>
      </c>
      <c r="F578" s="1" t="s">
        <v>92</v>
      </c>
      <c r="G578" s="1" t="s">
        <v>17</v>
      </c>
      <c r="H578" s="1" t="s">
        <v>27</v>
      </c>
      <c r="I578" s="1">
        <v>1</v>
      </c>
      <c r="J578" s="1">
        <v>1</v>
      </c>
      <c r="K578" s="1" t="s">
        <v>59</v>
      </c>
      <c r="L578" s="1" t="s">
        <v>402</v>
      </c>
      <c r="M578" s="1" t="str">
        <f t="shared" si="8"/>
        <v xml:space="preserve">1998|35983| 21:00 |Semi-finals|Stade Vï¿½lodrome|Marseilles |France|Brazil|1|1|Netherlands|Brazil win on penalties (4 - 2) </v>
      </c>
    </row>
    <row r="579" spans="1:13" hidden="1" x14ac:dyDescent="0.2">
      <c r="A579" s="1">
        <v>1998</v>
      </c>
      <c r="B579" s="2" t="d">
        <v>1998-07-08</v>
      </c>
      <c r="C579" s="1" t="s">
        <v>268</v>
      </c>
      <c r="D579" s="12" t="s">
        <v>42</v>
      </c>
      <c r="E579" s="1" t="s">
        <v>383</v>
      </c>
      <c r="F579" s="1" t="s">
        <v>384</v>
      </c>
      <c r="G579" s="1" t="s">
        <v>17</v>
      </c>
      <c r="H579" s="1" t="s">
        <v>17</v>
      </c>
      <c r="I579" s="1">
        <v>2</v>
      </c>
      <c r="J579" s="1">
        <v>1</v>
      </c>
      <c r="K579" s="1" t="s">
        <v>399</v>
      </c>
      <c r="L579" s="1" t="s">
        <v>19</v>
      </c>
      <c r="M579" s="1" t="str">
        <f t="shared" ref="M579:M642" si="9">_xlfn.TEXTJOIN("|",TRUE,A579,B579,C579,D579,E579,F579,G579,H579,I579,J579,K579,L579)</f>
        <v xml:space="preserve">1998|35984| 21:00 |Semi-finals|Stade de France|Saint-Denis |France|France|2|1|Croatia| </v>
      </c>
    </row>
    <row r="580" spans="1:13" hidden="1" x14ac:dyDescent="0.2">
      <c r="A580" s="1">
        <v>1998</v>
      </c>
      <c r="B580" s="2" t="d">
        <v>1998-07-11</v>
      </c>
      <c r="C580" s="1" t="s">
        <v>268</v>
      </c>
      <c r="D580" s="12" t="s">
        <v>76</v>
      </c>
      <c r="E580" s="1" t="s">
        <v>81</v>
      </c>
      <c r="F580" s="1" t="s">
        <v>82</v>
      </c>
      <c r="G580" s="1" t="s">
        <v>17</v>
      </c>
      <c r="H580" s="1" t="s">
        <v>59</v>
      </c>
      <c r="I580" s="1">
        <v>1</v>
      </c>
      <c r="J580" s="1">
        <v>2</v>
      </c>
      <c r="K580" s="1" t="s">
        <v>399</v>
      </c>
      <c r="L580" s="1" t="s">
        <v>19</v>
      </c>
      <c r="M580" s="1" t="str">
        <f t="shared" si="9"/>
        <v xml:space="preserve">1998|35987| 21:00 |Match for third place|Parc des Princes|Paris |France|Netherlands|1|2|Croatia| </v>
      </c>
    </row>
    <row r="581" spans="1:13" hidden="1" x14ac:dyDescent="0.2">
      <c r="A581" s="1">
        <v>1998</v>
      </c>
      <c r="B581" s="2" t="d">
        <v>1998-07-12</v>
      </c>
      <c r="C581" s="1" t="s">
        <v>268</v>
      </c>
      <c r="D581" s="12" t="s">
        <v>44</v>
      </c>
      <c r="E581" s="1" t="s">
        <v>383</v>
      </c>
      <c r="F581" s="1" t="s">
        <v>384</v>
      </c>
      <c r="G581" s="1" t="s">
        <v>17</v>
      </c>
      <c r="H581" s="1" t="s">
        <v>27</v>
      </c>
      <c r="I581" s="1">
        <v>0</v>
      </c>
      <c r="J581" s="1">
        <v>3</v>
      </c>
      <c r="K581" s="1" t="s">
        <v>17</v>
      </c>
      <c r="L581" s="1" t="s">
        <v>19</v>
      </c>
      <c r="M581" s="1" t="str">
        <f t="shared" si="9"/>
        <v xml:space="preserve">1998|35988| 21:00 |Final|Stade de France|Saint-Denis |France|Brazil|0|3|France| </v>
      </c>
    </row>
    <row r="582" spans="1:13" hidden="1" x14ac:dyDescent="0.2">
      <c r="A582" s="1">
        <v>2002</v>
      </c>
      <c r="B582" s="2" t="d">
        <v>2002-05-31</v>
      </c>
      <c r="C582" s="1" t="s">
        <v>403</v>
      </c>
      <c r="D582" s="1" t="s">
        <v>242</v>
      </c>
      <c r="E582" s="1" t="s">
        <v>404</v>
      </c>
      <c r="F582" s="1" t="s">
        <v>405</v>
      </c>
      <c r="G582" s="1" t="s">
        <v>406</v>
      </c>
      <c r="H582" s="1" t="s">
        <v>17</v>
      </c>
      <c r="I582" s="1">
        <v>0</v>
      </c>
      <c r="J582" s="1">
        <v>1</v>
      </c>
      <c r="K582" s="1" t="s">
        <v>407</v>
      </c>
      <c r="L582" s="1" t="s">
        <v>19</v>
      </c>
      <c r="M582" s="1" t="str">
        <f t="shared" si="9"/>
        <v xml:space="preserve">2002|37407| 20:30 |Group A|Seoul World Cup Stadium|Seoul |Korea/Japan|France|0|1|Senegal| </v>
      </c>
    </row>
    <row r="583" spans="1:13" hidden="1" x14ac:dyDescent="0.2">
      <c r="A583" s="1">
        <v>2002</v>
      </c>
      <c r="B583" s="2" t="d">
        <v>2002-06-01</v>
      </c>
      <c r="C583" s="1" t="s">
        <v>75</v>
      </c>
      <c r="D583" s="1" t="s">
        <v>242</v>
      </c>
      <c r="E583" s="1" t="s">
        <v>408</v>
      </c>
      <c r="F583" s="1" t="s">
        <v>409</v>
      </c>
      <c r="G583" s="1" t="s">
        <v>406</v>
      </c>
      <c r="H583" s="1" t="s">
        <v>16</v>
      </c>
      <c r="I583" s="1">
        <v>1</v>
      </c>
      <c r="J583" s="1">
        <v>2</v>
      </c>
      <c r="K583" s="1" t="s">
        <v>320</v>
      </c>
      <c r="L583" s="1" t="s">
        <v>19</v>
      </c>
      <c r="M583" s="1" t="str">
        <f t="shared" si="9"/>
        <v xml:space="preserve">2002|37408| 18:00 |Group A|Munsu Football Stadium|Ulsan |Korea/Japan|Uruguay|1|2|Denmark| </v>
      </c>
    </row>
    <row r="584" spans="1:13" hidden="1" x14ac:dyDescent="0.2">
      <c r="A584" s="1">
        <v>2002</v>
      </c>
      <c r="B584" s="2" t="d">
        <v>2002-06-01</v>
      </c>
      <c r="C584" s="1" t="s">
        <v>119</v>
      </c>
      <c r="D584" s="1" t="s">
        <v>317</v>
      </c>
      <c r="E584" s="1" t="s">
        <v>410</v>
      </c>
      <c r="F584" s="1" t="s">
        <v>411</v>
      </c>
      <c r="G584" s="1" t="s">
        <v>406</v>
      </c>
      <c r="H584" s="1" t="s">
        <v>340</v>
      </c>
      <c r="I584" s="1">
        <v>1</v>
      </c>
      <c r="J584" s="1">
        <v>1</v>
      </c>
      <c r="K584" s="1" t="s">
        <v>273</v>
      </c>
      <c r="L584" s="1" t="s">
        <v>19</v>
      </c>
      <c r="M584" s="1" t="str">
        <f t="shared" si="9"/>
        <v xml:space="preserve">2002|37408| 15:30 |Group E|Niigata Stadium Big Swan|Niigata |Korea/Japan|Republic of Ireland|1|1|Cameroon| </v>
      </c>
    </row>
    <row r="585" spans="1:13" x14ac:dyDescent="0.2">
      <c r="A585" s="1">
        <v>2002</v>
      </c>
      <c r="B585" s="2" t="d">
        <v>2002-06-01</v>
      </c>
      <c r="C585" s="1" t="s">
        <v>403</v>
      </c>
      <c r="D585" s="1" t="s">
        <v>317</v>
      </c>
      <c r="E585" s="1" t="s">
        <v>412</v>
      </c>
      <c r="F585" s="1" t="s">
        <v>413</v>
      </c>
      <c r="G585" s="1" t="s">
        <v>406</v>
      </c>
      <c r="H585" s="1" t="s">
        <v>65</v>
      </c>
      <c r="I585" s="1">
        <v>8</v>
      </c>
      <c r="J585" s="1">
        <v>0</v>
      </c>
      <c r="K585" s="1" t="s">
        <v>371</v>
      </c>
      <c r="L585" s="1" t="s">
        <v>19</v>
      </c>
      <c r="M585" s="1" t="str">
        <f t="shared" si="9"/>
        <v xml:space="preserve">2002|37408| 20:30 |Group E|Sapporo Dome|Sapporo |Korea/Japan|Germany|8|0|Saudi Arabia| </v>
      </c>
    </row>
    <row r="586" spans="1:13" hidden="1" x14ac:dyDescent="0.2">
      <c r="A586" s="1">
        <v>2002</v>
      </c>
      <c r="B586" s="2" t="d">
        <v>2002-06-02</v>
      </c>
      <c r="C586" s="1" t="s">
        <v>38</v>
      </c>
      <c r="D586" s="1" t="s">
        <v>310</v>
      </c>
      <c r="E586" s="1" t="s">
        <v>414</v>
      </c>
      <c r="F586" s="1" t="s">
        <v>415</v>
      </c>
      <c r="G586" s="1" t="s">
        <v>406</v>
      </c>
      <c r="H586" s="1" t="s">
        <v>33</v>
      </c>
      <c r="I586" s="1">
        <v>1</v>
      </c>
      <c r="J586" s="1">
        <v>0</v>
      </c>
      <c r="K586" s="1" t="s">
        <v>378</v>
      </c>
      <c r="L586" s="1" t="s">
        <v>19</v>
      </c>
      <c r="M586" s="1" t="str">
        <f t="shared" si="9"/>
        <v xml:space="preserve">2002|37409| 14:30 |Group F|Kashima Stadium|Ibaraki |Korea/Japan|Argentina|1|0|Nigeria| </v>
      </c>
    </row>
    <row r="587" spans="1:13" hidden="1" x14ac:dyDescent="0.2">
      <c r="A587" s="1">
        <v>2002</v>
      </c>
      <c r="B587" s="2" t="d">
        <v>2002-06-02</v>
      </c>
      <c r="C587" s="1" t="s">
        <v>45</v>
      </c>
      <c r="D587" s="1" t="s">
        <v>241</v>
      </c>
      <c r="E587" s="1" t="s">
        <v>416</v>
      </c>
      <c r="F587" s="1" t="s">
        <v>417</v>
      </c>
      <c r="G587" s="1" t="s">
        <v>406</v>
      </c>
      <c r="H587" s="1" t="s">
        <v>37</v>
      </c>
      <c r="I587" s="1">
        <v>2</v>
      </c>
      <c r="J587" s="1">
        <v>2</v>
      </c>
      <c r="K587" s="1" t="s">
        <v>389</v>
      </c>
      <c r="L587" s="1" t="s">
        <v>19</v>
      </c>
      <c r="M587" s="1" t="str">
        <f t="shared" si="9"/>
        <v xml:space="preserve">2002|37409| 16:30 |Group B|Busan Asiad Main Stadium|Busan |Korea/Japan|Paraguay|2|2|South Africa| </v>
      </c>
    </row>
    <row r="588" spans="1:13" hidden="1" x14ac:dyDescent="0.2">
      <c r="A588" s="1">
        <v>2002</v>
      </c>
      <c r="B588" s="2" t="d">
        <v>2002-06-02</v>
      </c>
      <c r="C588" s="1" t="s">
        <v>98</v>
      </c>
      <c r="D588" s="1" t="s">
        <v>310</v>
      </c>
      <c r="E588" s="1" t="s">
        <v>418</v>
      </c>
      <c r="F588" s="1" t="s">
        <v>419</v>
      </c>
      <c r="G588" s="1" t="s">
        <v>406</v>
      </c>
      <c r="H588" s="1" t="s">
        <v>110</v>
      </c>
      <c r="I588" s="1">
        <v>1</v>
      </c>
      <c r="J588" s="1">
        <v>1</v>
      </c>
      <c r="K588" s="1" t="s">
        <v>62</v>
      </c>
      <c r="L588" s="1" t="s">
        <v>19</v>
      </c>
      <c r="M588" s="1" t="str">
        <f t="shared" si="9"/>
        <v xml:space="preserve">2002|37409| 18:30 |Group F|Saitama Stadium 2002|Saitama |Korea/Japan|England|1|1|Sweden| </v>
      </c>
    </row>
    <row r="589" spans="1:13" hidden="1" x14ac:dyDescent="0.2">
      <c r="A589" s="1">
        <v>2002</v>
      </c>
      <c r="B589" s="2" t="d">
        <v>2002-06-02</v>
      </c>
      <c r="C589" s="1" t="s">
        <v>403</v>
      </c>
      <c r="D589" s="1" t="s">
        <v>241</v>
      </c>
      <c r="E589" s="1" t="s">
        <v>420</v>
      </c>
      <c r="F589" s="1" t="s">
        <v>421</v>
      </c>
      <c r="G589" s="1" t="s">
        <v>406</v>
      </c>
      <c r="H589" s="1" t="s">
        <v>68</v>
      </c>
      <c r="I589" s="1">
        <v>3</v>
      </c>
      <c r="J589" s="1">
        <v>1</v>
      </c>
      <c r="K589" s="1" t="s">
        <v>422</v>
      </c>
      <c r="L589" s="1" t="s">
        <v>19</v>
      </c>
      <c r="M589" s="1" t="str">
        <f t="shared" si="9"/>
        <v xml:space="preserve">2002|37409| 20:30 |Group B|Gwangju World Cup Stadium|Gwangju |Korea/Japan|Spain|3|1|Slovenia| </v>
      </c>
    </row>
    <row r="590" spans="1:13" hidden="1" x14ac:dyDescent="0.2">
      <c r="A590" s="1">
        <v>2002</v>
      </c>
      <c r="B590" s="2" t="d">
        <v>2002-06-03</v>
      </c>
      <c r="C590" s="1" t="s">
        <v>75</v>
      </c>
      <c r="D590" s="1" t="s">
        <v>304</v>
      </c>
      <c r="E590" s="1" t="s">
        <v>408</v>
      </c>
      <c r="F590" s="1" t="s">
        <v>409</v>
      </c>
      <c r="G590" s="1" t="s">
        <v>406</v>
      </c>
      <c r="H590" s="1" t="s">
        <v>27</v>
      </c>
      <c r="I590" s="1">
        <v>2</v>
      </c>
      <c r="J590" s="1">
        <v>1</v>
      </c>
      <c r="K590" s="1" t="s">
        <v>134</v>
      </c>
      <c r="L590" s="1" t="s">
        <v>19</v>
      </c>
      <c r="M590" s="1" t="str">
        <f t="shared" si="9"/>
        <v xml:space="preserve">2002|37410| 18:00 |Group C|Munsu Football Stadium|Ulsan |Korea/Japan|Brazil|2|1|Turkey| </v>
      </c>
    </row>
    <row r="591" spans="1:13" hidden="1" x14ac:dyDescent="0.2">
      <c r="A591" s="1">
        <v>2002</v>
      </c>
      <c r="B591" s="2" t="d">
        <v>2002-06-03</v>
      </c>
      <c r="C591" s="1" t="s">
        <v>403</v>
      </c>
      <c r="D591" s="1" t="s">
        <v>400</v>
      </c>
      <c r="E591" s="1" t="s">
        <v>412</v>
      </c>
      <c r="F591" s="1" t="s">
        <v>413</v>
      </c>
      <c r="G591" s="1" t="s">
        <v>406</v>
      </c>
      <c r="H591" s="1" t="s">
        <v>49</v>
      </c>
      <c r="I591" s="1">
        <v>2</v>
      </c>
      <c r="J591" s="1">
        <v>0</v>
      </c>
      <c r="K591" s="1" t="s">
        <v>423</v>
      </c>
      <c r="L591" s="1" t="s">
        <v>19</v>
      </c>
      <c r="M591" s="1" t="str">
        <f t="shared" si="9"/>
        <v xml:space="preserve">2002|37410| 20:30 |Group G|Sapporo Dome|Sapporo |Korea/Japan|Italy|2|0|Ecuador| </v>
      </c>
    </row>
    <row r="592" spans="1:13" hidden="1" x14ac:dyDescent="0.2">
      <c r="A592" s="1">
        <v>2002</v>
      </c>
      <c r="B592" s="2" t="d">
        <v>2002-06-03</v>
      </c>
      <c r="C592" s="1" t="s">
        <v>119</v>
      </c>
      <c r="D592" s="1" t="s">
        <v>400</v>
      </c>
      <c r="E592" s="1" t="s">
        <v>410</v>
      </c>
      <c r="F592" s="1" t="s">
        <v>411</v>
      </c>
      <c r="G592" s="1" t="s">
        <v>406</v>
      </c>
      <c r="H592" s="1" t="s">
        <v>399</v>
      </c>
      <c r="I592" s="1">
        <v>0</v>
      </c>
      <c r="J592" s="1">
        <v>1</v>
      </c>
      <c r="K592" s="1" t="s">
        <v>18</v>
      </c>
      <c r="L592" s="1" t="s">
        <v>19</v>
      </c>
      <c r="M592" s="1" t="str">
        <f t="shared" si="9"/>
        <v xml:space="preserve">2002|37410| 15:30 |Group G|Niigata Stadium Big Swan|Niigata |Korea/Japan|Croatia|0|1|Mexico| </v>
      </c>
    </row>
    <row r="593" spans="1:13" hidden="1" x14ac:dyDescent="0.2">
      <c r="A593" s="1">
        <v>2002</v>
      </c>
      <c r="B593" s="2" t="d">
        <v>2002-06-04</v>
      </c>
      <c r="C593" s="1" t="s">
        <v>119</v>
      </c>
      <c r="D593" s="1" t="s">
        <v>304</v>
      </c>
      <c r="E593" s="1" t="s">
        <v>420</v>
      </c>
      <c r="F593" s="1" t="s">
        <v>421</v>
      </c>
      <c r="G593" s="1" t="s">
        <v>406</v>
      </c>
      <c r="H593" s="1" t="s">
        <v>424</v>
      </c>
      <c r="I593" s="1">
        <v>0</v>
      </c>
      <c r="J593" s="1">
        <v>2</v>
      </c>
      <c r="K593" s="1" t="s">
        <v>337</v>
      </c>
      <c r="L593" s="1" t="s">
        <v>19</v>
      </c>
      <c r="M593" s="1" t="str">
        <f t="shared" si="9"/>
        <v xml:space="preserve">2002|37411| 15:30 |Group C|Gwangju World Cup Stadium|Gwangju |Korea/Japan|China PR|0|2|Costa Rica| </v>
      </c>
    </row>
    <row r="594" spans="1:13" hidden="1" x14ac:dyDescent="0.2">
      <c r="A594" s="1">
        <v>2002</v>
      </c>
      <c r="B594" s="2" t="d">
        <v>2002-06-04</v>
      </c>
      <c r="C594" s="1" t="s">
        <v>75</v>
      </c>
      <c r="D594" s="1" t="s">
        <v>394</v>
      </c>
      <c r="E594" s="1" t="s">
        <v>418</v>
      </c>
      <c r="F594" s="1" t="s">
        <v>419</v>
      </c>
      <c r="G594" s="1" t="s">
        <v>406</v>
      </c>
      <c r="H594" s="1" t="s">
        <v>395</v>
      </c>
      <c r="I594" s="1">
        <v>2</v>
      </c>
      <c r="J594" s="1">
        <v>2</v>
      </c>
      <c r="K594" s="1" t="s">
        <v>23</v>
      </c>
      <c r="L594" s="1" t="s">
        <v>19</v>
      </c>
      <c r="M594" s="1" t="str">
        <f t="shared" si="9"/>
        <v xml:space="preserve">2002|37411| 18:00 |Group H|Saitama Stadium 2002|Saitama |Korea/Japan|Japan|2|2|Belgium| </v>
      </c>
    </row>
    <row r="595" spans="1:13" hidden="1" x14ac:dyDescent="0.2">
      <c r="A595" s="1">
        <v>2002</v>
      </c>
      <c r="B595" s="2" t="d">
        <v>2002-06-04</v>
      </c>
      <c r="C595" s="1" t="s">
        <v>403</v>
      </c>
      <c r="D595" s="1" t="s">
        <v>306</v>
      </c>
      <c r="E595" s="1" t="s">
        <v>416</v>
      </c>
      <c r="F595" s="1" t="s">
        <v>417</v>
      </c>
      <c r="G595" s="1" t="s">
        <v>406</v>
      </c>
      <c r="H595" s="1" t="s">
        <v>135</v>
      </c>
      <c r="I595" s="1">
        <v>2</v>
      </c>
      <c r="J595" s="1">
        <v>0</v>
      </c>
      <c r="K595" s="1" t="s">
        <v>96</v>
      </c>
      <c r="L595" s="1" t="s">
        <v>19</v>
      </c>
      <c r="M595" s="1" t="str">
        <f t="shared" si="9"/>
        <v xml:space="preserve">2002|37411| 20:30 |Group D|Busan Asiad Main Stadium|Busan |Korea/Japan|Korea Republic|2|0|Poland| </v>
      </c>
    </row>
    <row r="596" spans="1:13" hidden="1" x14ac:dyDescent="0.2">
      <c r="A596" s="1">
        <v>2002</v>
      </c>
      <c r="B596" s="2" t="d">
        <v>2002-06-05</v>
      </c>
      <c r="C596" s="1" t="s">
        <v>119</v>
      </c>
      <c r="D596" s="1" t="s">
        <v>394</v>
      </c>
      <c r="E596" s="1" t="s">
        <v>425</v>
      </c>
      <c r="F596" s="1" t="s">
        <v>426</v>
      </c>
      <c r="G596" s="1" t="s">
        <v>406</v>
      </c>
      <c r="H596" s="1" t="s">
        <v>374</v>
      </c>
      <c r="I596" s="1">
        <v>2</v>
      </c>
      <c r="J596" s="1">
        <v>0</v>
      </c>
      <c r="K596" s="1" t="s">
        <v>251</v>
      </c>
      <c r="L596" s="1" t="s">
        <v>19</v>
      </c>
      <c r="M596" s="1" t="str">
        <f t="shared" si="9"/>
        <v xml:space="preserve">2002|37412| 15:30 |Group H|Kobe Wing Stadium|Kobe |Korea/Japan|Russia|2|0|Tunisia| </v>
      </c>
    </row>
    <row r="597" spans="1:13" hidden="1" x14ac:dyDescent="0.2">
      <c r="A597" s="1">
        <v>2002</v>
      </c>
      <c r="B597" s="2" t="d">
        <v>2002-06-05</v>
      </c>
      <c r="C597" s="1" t="s">
        <v>75</v>
      </c>
      <c r="D597" s="1" t="s">
        <v>306</v>
      </c>
      <c r="E597" s="1" t="s">
        <v>427</v>
      </c>
      <c r="F597" s="1" t="s">
        <v>428</v>
      </c>
      <c r="G597" s="1" t="s">
        <v>406</v>
      </c>
      <c r="H597" s="1" t="s">
        <v>22</v>
      </c>
      <c r="I597" s="1">
        <v>3</v>
      </c>
      <c r="J597" s="1">
        <v>2</v>
      </c>
      <c r="K597" s="1" t="s">
        <v>197</v>
      </c>
      <c r="L597" s="1" t="s">
        <v>19</v>
      </c>
      <c r="M597" s="1" t="str">
        <f t="shared" si="9"/>
        <v xml:space="preserve">2002|37412| 18:00 |Group D|Suwon World Cup Stadium|Suwon |Korea/Japan|USA|3|2|Portugal| </v>
      </c>
    </row>
    <row r="598" spans="1:13" x14ac:dyDescent="0.2">
      <c r="A598" s="1">
        <v>2002</v>
      </c>
      <c r="B598" s="2" t="d">
        <v>2002-06-05</v>
      </c>
      <c r="C598" s="1" t="s">
        <v>403</v>
      </c>
      <c r="D598" s="1" t="s">
        <v>317</v>
      </c>
      <c r="E598" s="1" t="s">
        <v>414</v>
      </c>
      <c r="F598" s="1" t="s">
        <v>415</v>
      </c>
      <c r="G598" s="1" t="s">
        <v>406</v>
      </c>
      <c r="H598" s="1" t="s">
        <v>65</v>
      </c>
      <c r="I598" s="1">
        <v>1</v>
      </c>
      <c r="J598" s="1">
        <v>1</v>
      </c>
      <c r="K598" s="1" t="s">
        <v>340</v>
      </c>
      <c r="L598" s="1" t="s">
        <v>19</v>
      </c>
      <c r="M598" s="1" t="str">
        <f t="shared" si="9"/>
        <v xml:space="preserve">2002|37412| 20:30 |Group E|Kashima Stadium|Ibaraki |Korea/Japan|Germany|1|1|Republic of Ireland| </v>
      </c>
    </row>
    <row r="599" spans="1:13" hidden="1" x14ac:dyDescent="0.2">
      <c r="A599" s="1">
        <v>2002</v>
      </c>
      <c r="B599" s="2" t="d">
        <v>2002-06-06</v>
      </c>
      <c r="C599" s="1" t="s">
        <v>119</v>
      </c>
      <c r="D599" s="1" t="s">
        <v>242</v>
      </c>
      <c r="E599" s="1" t="s">
        <v>429</v>
      </c>
      <c r="F599" s="1" t="s">
        <v>430</v>
      </c>
      <c r="G599" s="1" t="s">
        <v>406</v>
      </c>
      <c r="H599" s="1" t="s">
        <v>320</v>
      </c>
      <c r="I599" s="1">
        <v>1</v>
      </c>
      <c r="J599" s="1">
        <v>1</v>
      </c>
      <c r="K599" s="1" t="s">
        <v>407</v>
      </c>
      <c r="L599" s="1" t="s">
        <v>19</v>
      </c>
      <c r="M599" s="1" t="str">
        <f t="shared" si="9"/>
        <v xml:space="preserve">2002|37413| 15:30 |Group A|Daegu World Cup Stadium|Daegu |Korea/Japan|Denmark|1|1|Senegal| </v>
      </c>
    </row>
    <row r="600" spans="1:13" hidden="1" x14ac:dyDescent="0.2">
      <c r="A600" s="1">
        <v>2002</v>
      </c>
      <c r="B600" s="2" t="d">
        <v>2002-06-06</v>
      </c>
      <c r="C600" s="1" t="s">
        <v>75</v>
      </c>
      <c r="D600" s="1" t="s">
        <v>317</v>
      </c>
      <c r="E600" s="1" t="s">
        <v>418</v>
      </c>
      <c r="F600" s="1" t="s">
        <v>419</v>
      </c>
      <c r="G600" s="1" t="s">
        <v>406</v>
      </c>
      <c r="H600" s="1" t="s">
        <v>273</v>
      </c>
      <c r="I600" s="1">
        <v>1</v>
      </c>
      <c r="J600" s="1">
        <v>0</v>
      </c>
      <c r="K600" s="1" t="s">
        <v>371</v>
      </c>
      <c r="L600" s="1" t="s">
        <v>19</v>
      </c>
      <c r="M600" s="1" t="str">
        <f t="shared" si="9"/>
        <v xml:space="preserve">2002|37413| 18:00 |Group E|Saitama Stadium 2002|Saitama |Korea/Japan|Cameroon|1|0|Saudi Arabia| </v>
      </c>
    </row>
    <row r="601" spans="1:13" hidden="1" x14ac:dyDescent="0.2">
      <c r="A601" s="1">
        <v>2002</v>
      </c>
      <c r="B601" s="2" t="d">
        <v>2002-06-06</v>
      </c>
      <c r="C601" s="1" t="s">
        <v>403</v>
      </c>
      <c r="D601" s="1" t="s">
        <v>242</v>
      </c>
      <c r="E601" s="1" t="s">
        <v>416</v>
      </c>
      <c r="F601" s="1" t="s">
        <v>417</v>
      </c>
      <c r="G601" s="1" t="s">
        <v>406</v>
      </c>
      <c r="H601" s="1" t="s">
        <v>17</v>
      </c>
      <c r="I601" s="1">
        <v>0</v>
      </c>
      <c r="J601" s="1">
        <v>0</v>
      </c>
      <c r="K601" s="1" t="s">
        <v>16</v>
      </c>
      <c r="L601" s="1" t="s">
        <v>19</v>
      </c>
      <c r="M601" s="1" t="str">
        <f t="shared" si="9"/>
        <v xml:space="preserve">2002|37413| 20:30 |Group A|Busan Asiad Main Stadium|Busan |Korea/Japan|France|0|0|Uruguay| </v>
      </c>
    </row>
    <row r="602" spans="1:13" hidden="1" x14ac:dyDescent="0.2">
      <c r="A602" s="1">
        <v>2002</v>
      </c>
      <c r="B602" s="2" t="d">
        <v>2002-06-07</v>
      </c>
      <c r="C602" s="1" t="s">
        <v>119</v>
      </c>
      <c r="D602" s="1" t="s">
        <v>310</v>
      </c>
      <c r="E602" s="1" t="s">
        <v>425</v>
      </c>
      <c r="F602" s="1" t="s">
        <v>426</v>
      </c>
      <c r="G602" s="1" t="s">
        <v>406</v>
      </c>
      <c r="H602" s="1" t="s">
        <v>62</v>
      </c>
      <c r="I602" s="1">
        <v>2</v>
      </c>
      <c r="J602" s="1">
        <v>1</v>
      </c>
      <c r="K602" s="1" t="s">
        <v>378</v>
      </c>
      <c r="L602" s="1" t="s">
        <v>19</v>
      </c>
      <c r="M602" s="1" t="str">
        <f t="shared" si="9"/>
        <v xml:space="preserve">2002|37414| 15:30 |Group F|Kobe Wing Stadium|Kobe |Korea/Japan|Sweden|2|1|Nigeria| </v>
      </c>
    </row>
    <row r="603" spans="1:13" hidden="1" x14ac:dyDescent="0.2">
      <c r="A603" s="1">
        <v>2002</v>
      </c>
      <c r="B603" s="2" t="d">
        <v>2002-06-07</v>
      </c>
      <c r="C603" s="1" t="s">
        <v>403</v>
      </c>
      <c r="D603" s="1" t="s">
        <v>310</v>
      </c>
      <c r="E603" s="1" t="s">
        <v>412</v>
      </c>
      <c r="F603" s="1" t="s">
        <v>413</v>
      </c>
      <c r="G603" s="1" t="s">
        <v>406</v>
      </c>
      <c r="H603" s="1" t="s">
        <v>33</v>
      </c>
      <c r="I603" s="1">
        <v>0</v>
      </c>
      <c r="J603" s="1">
        <v>1</v>
      </c>
      <c r="K603" s="1" t="s">
        <v>110</v>
      </c>
      <c r="L603" s="1" t="s">
        <v>19</v>
      </c>
      <c r="M603" s="1" t="str">
        <f t="shared" si="9"/>
        <v xml:space="preserve">2002|37414| 20:30 |Group F|Sapporo Dome|Sapporo |Korea/Japan|Argentina|0|1|England| </v>
      </c>
    </row>
    <row r="604" spans="1:13" hidden="1" x14ac:dyDescent="0.2">
      <c r="A604" s="1">
        <v>2002</v>
      </c>
      <c r="B604" s="2" t="d">
        <v>2002-06-07</v>
      </c>
      <c r="C604" s="1" t="s">
        <v>75</v>
      </c>
      <c r="D604" s="1" t="s">
        <v>241</v>
      </c>
      <c r="E604" s="1" t="s">
        <v>431</v>
      </c>
      <c r="F604" s="1" t="s">
        <v>432</v>
      </c>
      <c r="G604" s="1" t="s">
        <v>406</v>
      </c>
      <c r="H604" s="1" t="s">
        <v>68</v>
      </c>
      <c r="I604" s="1">
        <v>3</v>
      </c>
      <c r="J604" s="1">
        <v>1</v>
      </c>
      <c r="K604" s="1" t="s">
        <v>37</v>
      </c>
      <c r="L604" s="1" t="s">
        <v>19</v>
      </c>
      <c r="M604" s="1" t="str">
        <f t="shared" si="9"/>
        <v xml:space="preserve">2002|37414| 18:00 |Group B|Jeonju World Cup Stadium|Jeonju |Korea/Japan|Spain|3|1|Paraguay| </v>
      </c>
    </row>
    <row r="605" spans="1:13" hidden="1" x14ac:dyDescent="0.2">
      <c r="A605" s="1">
        <v>2002</v>
      </c>
      <c r="B605" s="2" t="d">
        <v>2002-06-08</v>
      </c>
      <c r="C605" s="1" t="s">
        <v>119</v>
      </c>
      <c r="D605" s="1" t="s">
        <v>241</v>
      </c>
      <c r="E605" s="1" t="s">
        <v>429</v>
      </c>
      <c r="F605" s="1" t="s">
        <v>430</v>
      </c>
      <c r="G605" s="1" t="s">
        <v>406</v>
      </c>
      <c r="H605" s="1" t="s">
        <v>389</v>
      </c>
      <c r="I605" s="1">
        <v>1</v>
      </c>
      <c r="J605" s="1">
        <v>0</v>
      </c>
      <c r="K605" s="1" t="s">
        <v>422</v>
      </c>
      <c r="L605" s="1" t="s">
        <v>19</v>
      </c>
      <c r="M605" s="1" t="str">
        <f t="shared" si="9"/>
        <v xml:space="preserve">2002|37415| 15:30 |Group B|Daegu World Cup Stadium|Daegu |Korea/Japan|South Africa|1|0|Slovenia| </v>
      </c>
    </row>
    <row r="606" spans="1:13" hidden="1" x14ac:dyDescent="0.2">
      <c r="A606" s="1">
        <v>2002</v>
      </c>
      <c r="B606" s="2" t="d">
        <v>2002-06-08</v>
      </c>
      <c r="C606" s="1" t="s">
        <v>403</v>
      </c>
      <c r="D606" s="1" t="s">
        <v>304</v>
      </c>
      <c r="E606" s="1" t="s">
        <v>433</v>
      </c>
      <c r="F606" s="1" t="s">
        <v>434</v>
      </c>
      <c r="G606" s="1" t="s">
        <v>406</v>
      </c>
      <c r="H606" s="1" t="s">
        <v>27</v>
      </c>
      <c r="I606" s="1">
        <v>4</v>
      </c>
      <c r="J606" s="1">
        <v>0</v>
      </c>
      <c r="K606" s="1" t="s">
        <v>424</v>
      </c>
      <c r="L606" s="1" t="s">
        <v>19</v>
      </c>
      <c r="M606" s="1" t="str">
        <f t="shared" si="9"/>
        <v xml:space="preserve">2002|37415| 20:30 |Group C|Jeju World Cup Stadium|Jeju |Korea/Japan|Brazil|4|0|China PR| </v>
      </c>
    </row>
    <row r="607" spans="1:13" hidden="1" x14ac:dyDescent="0.2">
      <c r="A607" s="1">
        <v>2002</v>
      </c>
      <c r="B607" s="2" t="d">
        <v>2002-06-08</v>
      </c>
      <c r="C607" s="1" t="s">
        <v>75</v>
      </c>
      <c r="D607" s="1" t="s">
        <v>400</v>
      </c>
      <c r="E607" s="1" t="s">
        <v>414</v>
      </c>
      <c r="F607" s="1" t="s">
        <v>415</v>
      </c>
      <c r="G607" s="1" t="s">
        <v>406</v>
      </c>
      <c r="H607" s="1" t="s">
        <v>49</v>
      </c>
      <c r="I607" s="1">
        <v>1</v>
      </c>
      <c r="J607" s="1">
        <v>2</v>
      </c>
      <c r="K607" s="1" t="s">
        <v>399</v>
      </c>
      <c r="L607" s="1" t="s">
        <v>19</v>
      </c>
      <c r="M607" s="1" t="str">
        <f t="shared" si="9"/>
        <v xml:space="preserve">2002|37415| 18:00 |Group G|Kashima Stadium|Ibaraki |Korea/Japan|Italy|1|2|Croatia| </v>
      </c>
    </row>
    <row r="608" spans="1:13" hidden="1" x14ac:dyDescent="0.2">
      <c r="A608" s="1">
        <v>2002</v>
      </c>
      <c r="B608" s="2" t="d">
        <v>2002-06-09</v>
      </c>
      <c r="C608" s="1" t="s">
        <v>75</v>
      </c>
      <c r="D608" s="1" t="s">
        <v>304</v>
      </c>
      <c r="E608" s="1" t="s">
        <v>435</v>
      </c>
      <c r="F608" s="1" t="s">
        <v>436</v>
      </c>
      <c r="G608" s="1" t="s">
        <v>406</v>
      </c>
      <c r="H608" s="1" t="s">
        <v>337</v>
      </c>
      <c r="I608" s="1">
        <v>1</v>
      </c>
      <c r="J608" s="1">
        <v>1</v>
      </c>
      <c r="K608" s="1" t="s">
        <v>134</v>
      </c>
      <c r="L608" s="1" t="s">
        <v>19</v>
      </c>
      <c r="M608" s="1" t="str">
        <f t="shared" si="9"/>
        <v xml:space="preserve">2002|37416| 18:00 |Group C|Incheon Football Stadium|Incheon |Korea/Japan|Costa Rica|1|1|Turkey| </v>
      </c>
    </row>
    <row r="609" spans="1:13" hidden="1" x14ac:dyDescent="0.2">
      <c r="A609" s="1">
        <v>2002</v>
      </c>
      <c r="B609" s="2" t="d">
        <v>2002-06-09</v>
      </c>
      <c r="C609" s="1" t="s">
        <v>403</v>
      </c>
      <c r="D609" s="1" t="s">
        <v>394</v>
      </c>
      <c r="E609" s="1" t="s">
        <v>437</v>
      </c>
      <c r="F609" s="1" t="s">
        <v>438</v>
      </c>
      <c r="G609" s="1" t="s">
        <v>406</v>
      </c>
      <c r="H609" s="1" t="s">
        <v>395</v>
      </c>
      <c r="I609" s="1">
        <v>1</v>
      </c>
      <c r="J609" s="1">
        <v>0</v>
      </c>
      <c r="K609" s="1" t="s">
        <v>374</v>
      </c>
      <c r="L609" s="1" t="s">
        <v>19</v>
      </c>
      <c r="M609" s="1" t="str">
        <f t="shared" si="9"/>
        <v xml:space="preserve">2002|37416| 20:30 |Group H|International Stadium Yokohama|Yokohama |Korea/Japan|Japan|1|0|Russia| </v>
      </c>
    </row>
    <row r="610" spans="1:13" hidden="1" x14ac:dyDescent="0.2">
      <c r="A610" s="1">
        <v>2002</v>
      </c>
      <c r="B610" s="2" t="d">
        <v>2002-06-09</v>
      </c>
      <c r="C610" s="1" t="s">
        <v>119</v>
      </c>
      <c r="D610" s="1" t="s">
        <v>400</v>
      </c>
      <c r="E610" s="1" t="s">
        <v>439</v>
      </c>
      <c r="F610" s="1" t="s">
        <v>440</v>
      </c>
      <c r="G610" s="1" t="s">
        <v>406</v>
      </c>
      <c r="H610" s="1" t="s">
        <v>18</v>
      </c>
      <c r="I610" s="1">
        <v>2</v>
      </c>
      <c r="J610" s="1">
        <v>1</v>
      </c>
      <c r="K610" s="1" t="s">
        <v>423</v>
      </c>
      <c r="L610" s="1" t="s">
        <v>19</v>
      </c>
      <c r="M610" s="1" t="str">
        <f t="shared" si="9"/>
        <v xml:space="preserve">2002|37416| 15:30 |Group G|Miyagi Stadium|Rifu |Korea/Japan|Mexico|2|1|Ecuador| </v>
      </c>
    </row>
    <row r="611" spans="1:13" hidden="1" x14ac:dyDescent="0.2">
      <c r="A611" s="1">
        <v>2002</v>
      </c>
      <c r="B611" s="2" t="d">
        <v>2002-06-10</v>
      </c>
      <c r="C611" s="1" t="s">
        <v>119</v>
      </c>
      <c r="D611" s="1" t="s">
        <v>306</v>
      </c>
      <c r="E611" s="1" t="s">
        <v>429</v>
      </c>
      <c r="F611" s="1" t="s">
        <v>430</v>
      </c>
      <c r="G611" s="1" t="s">
        <v>406</v>
      </c>
      <c r="H611" s="1" t="s">
        <v>135</v>
      </c>
      <c r="I611" s="1">
        <v>1</v>
      </c>
      <c r="J611" s="1">
        <v>1</v>
      </c>
      <c r="K611" s="1" t="s">
        <v>22</v>
      </c>
      <c r="L611" s="1" t="s">
        <v>19</v>
      </c>
      <c r="M611" s="1" t="str">
        <f t="shared" si="9"/>
        <v xml:space="preserve">2002|37417| 15:30 |Group D|Daegu World Cup Stadium|Daegu |Korea/Japan|Korea Republic|1|1|USA| </v>
      </c>
    </row>
    <row r="612" spans="1:13" hidden="1" x14ac:dyDescent="0.2">
      <c r="A612" s="1">
        <v>2002</v>
      </c>
      <c r="B612" s="2" t="d">
        <v>2002-06-10</v>
      </c>
      <c r="C612" s="1" t="s">
        <v>403</v>
      </c>
      <c r="D612" s="1" t="s">
        <v>306</v>
      </c>
      <c r="E612" s="1" t="s">
        <v>431</v>
      </c>
      <c r="F612" s="1" t="s">
        <v>432</v>
      </c>
      <c r="G612" s="1" t="s">
        <v>406</v>
      </c>
      <c r="H612" s="1" t="s">
        <v>197</v>
      </c>
      <c r="I612" s="1">
        <v>4</v>
      </c>
      <c r="J612" s="1">
        <v>0</v>
      </c>
      <c r="K612" s="1" t="s">
        <v>96</v>
      </c>
      <c r="L612" s="1" t="s">
        <v>19</v>
      </c>
      <c r="M612" s="1" t="str">
        <f t="shared" si="9"/>
        <v xml:space="preserve">2002|37417| 20:30 |Group D|Jeonju World Cup Stadium|Jeonju |Korea/Japan|Portugal|4|0|Poland| </v>
      </c>
    </row>
    <row r="613" spans="1:13" hidden="1" x14ac:dyDescent="0.2">
      <c r="A613" s="1">
        <v>2002</v>
      </c>
      <c r="B613" s="2" t="d">
        <v>2002-06-10</v>
      </c>
      <c r="C613" s="1" t="s">
        <v>75</v>
      </c>
      <c r="D613" s="1" t="s">
        <v>394</v>
      </c>
      <c r="E613" s="1" t="s">
        <v>441</v>
      </c>
      <c r="F613" s="1" t="s">
        <v>442</v>
      </c>
      <c r="G613" s="1" t="s">
        <v>406</v>
      </c>
      <c r="H613" s="1" t="s">
        <v>251</v>
      </c>
      <c r="I613" s="1">
        <v>1</v>
      </c>
      <c r="J613" s="1">
        <v>1</v>
      </c>
      <c r="K613" s="1" t="s">
        <v>23</v>
      </c>
      <c r="L613" s="1" t="s">
        <v>19</v>
      </c>
      <c r="M613" s="1" t="str">
        <f t="shared" si="9"/>
        <v xml:space="preserve">2002|37417| 18:00 |Group H|Oita Stadium Big Eye|Oita |Korea/Japan|Tunisia|1|1|Belgium| </v>
      </c>
    </row>
    <row r="614" spans="1:13" hidden="1" x14ac:dyDescent="0.2">
      <c r="A614" s="1">
        <v>2002</v>
      </c>
      <c r="B614" s="2" t="d">
        <v>2002-06-11</v>
      </c>
      <c r="C614" s="1" t="s">
        <v>119</v>
      </c>
      <c r="D614" s="1" t="s">
        <v>242</v>
      </c>
      <c r="E614" s="1" t="s">
        <v>435</v>
      </c>
      <c r="F614" s="1" t="s">
        <v>436</v>
      </c>
      <c r="G614" s="1" t="s">
        <v>406</v>
      </c>
      <c r="H614" s="1" t="s">
        <v>320</v>
      </c>
      <c r="I614" s="1">
        <v>2</v>
      </c>
      <c r="J614" s="1">
        <v>0</v>
      </c>
      <c r="K614" s="1" t="s">
        <v>17</v>
      </c>
      <c r="L614" s="1" t="s">
        <v>19</v>
      </c>
      <c r="M614" s="1" t="str">
        <f t="shared" si="9"/>
        <v xml:space="preserve">2002|37418| 15:30 |Group A|Incheon Football Stadium|Incheon |Korea/Japan|Denmark|2|0|France| </v>
      </c>
    </row>
    <row r="615" spans="1:13" hidden="1" x14ac:dyDescent="0.2">
      <c r="A615" s="1">
        <v>2002</v>
      </c>
      <c r="B615" s="2" t="d">
        <v>2002-06-11</v>
      </c>
      <c r="C615" s="1" t="s">
        <v>119</v>
      </c>
      <c r="D615" s="1" t="s">
        <v>242</v>
      </c>
      <c r="E615" s="1" t="s">
        <v>427</v>
      </c>
      <c r="F615" s="1" t="s">
        <v>428</v>
      </c>
      <c r="G615" s="1" t="s">
        <v>406</v>
      </c>
      <c r="H615" s="1" t="s">
        <v>407</v>
      </c>
      <c r="I615" s="1">
        <v>3</v>
      </c>
      <c r="J615" s="1">
        <v>3</v>
      </c>
      <c r="K615" s="1" t="s">
        <v>16</v>
      </c>
      <c r="L615" s="1" t="s">
        <v>19</v>
      </c>
      <c r="M615" s="1" t="str">
        <f t="shared" si="9"/>
        <v xml:space="preserve">2002|37418| 15:30 |Group A|Suwon World Cup Stadium|Suwon |Korea/Japan|Senegal|3|3|Uruguay| </v>
      </c>
    </row>
    <row r="616" spans="1:13" hidden="1" x14ac:dyDescent="0.2">
      <c r="A616" s="1">
        <v>2002</v>
      </c>
      <c r="B616" s="2" t="d">
        <v>2002-06-11</v>
      </c>
      <c r="C616" s="1" t="s">
        <v>403</v>
      </c>
      <c r="D616" s="1" t="s">
        <v>317</v>
      </c>
      <c r="E616" s="1" t="s">
        <v>437</v>
      </c>
      <c r="F616" s="1" t="s">
        <v>438</v>
      </c>
      <c r="G616" s="1" t="s">
        <v>406</v>
      </c>
      <c r="H616" s="1" t="s">
        <v>371</v>
      </c>
      <c r="I616" s="1">
        <v>0</v>
      </c>
      <c r="J616" s="1">
        <v>3</v>
      </c>
      <c r="K616" s="1" t="s">
        <v>340</v>
      </c>
      <c r="L616" s="1" t="s">
        <v>19</v>
      </c>
      <c r="M616" s="1" t="str">
        <f t="shared" si="9"/>
        <v xml:space="preserve">2002|37418| 20:30 |Group E|International Stadium Yokohama|Yokohama |Korea/Japan|Saudi Arabia|0|3|Republic of Ireland| </v>
      </c>
    </row>
    <row r="617" spans="1:13" hidden="1" x14ac:dyDescent="0.2">
      <c r="A617" s="1">
        <v>2002</v>
      </c>
      <c r="B617" s="2" t="d">
        <v>2002-06-11</v>
      </c>
      <c r="C617" s="1" t="s">
        <v>403</v>
      </c>
      <c r="D617" s="1" t="s">
        <v>317</v>
      </c>
      <c r="E617" s="1" t="s">
        <v>443</v>
      </c>
      <c r="F617" s="1" t="s">
        <v>444</v>
      </c>
      <c r="G617" s="1" t="s">
        <v>406</v>
      </c>
      <c r="H617" s="1" t="s">
        <v>273</v>
      </c>
      <c r="I617" s="1">
        <v>0</v>
      </c>
      <c r="J617" s="1">
        <v>2</v>
      </c>
      <c r="K617" s="1" t="s">
        <v>65</v>
      </c>
      <c r="L617" s="1" t="s">
        <v>19</v>
      </c>
      <c r="M617" s="1" t="str">
        <f t="shared" si="9"/>
        <v xml:space="preserve">2002|37418| 20:30 |Group E|Shizuoka Stadium Ecopa|Shizuoka |Korea/Japan|Cameroon|0|2|Germany| </v>
      </c>
    </row>
    <row r="618" spans="1:13" hidden="1" x14ac:dyDescent="0.2">
      <c r="A618" s="1">
        <v>2002</v>
      </c>
      <c r="B618" s="2" t="d">
        <v>2002-06-12</v>
      </c>
      <c r="C618" s="1" t="s">
        <v>119</v>
      </c>
      <c r="D618" s="1" t="s">
        <v>310</v>
      </c>
      <c r="E618" s="1" t="s">
        <v>439</v>
      </c>
      <c r="F618" s="1" t="s">
        <v>440</v>
      </c>
      <c r="G618" s="1" t="s">
        <v>406</v>
      </c>
      <c r="H618" s="1" t="s">
        <v>62</v>
      </c>
      <c r="I618" s="1">
        <v>1</v>
      </c>
      <c r="J618" s="1">
        <v>1</v>
      </c>
      <c r="K618" s="1" t="s">
        <v>33</v>
      </c>
      <c r="L618" s="1" t="s">
        <v>19</v>
      </c>
      <c r="M618" s="1" t="str">
        <f t="shared" si="9"/>
        <v xml:space="preserve">2002|37419| 15:30 |Group F|Miyagi Stadium|Rifu |Korea/Japan|Sweden|1|1|Argentina| </v>
      </c>
    </row>
    <row r="619" spans="1:13" hidden="1" x14ac:dyDescent="0.2">
      <c r="A619" s="1">
        <v>2002</v>
      </c>
      <c r="B619" s="2" t="d">
        <v>2002-06-12</v>
      </c>
      <c r="C619" s="1" t="s">
        <v>119</v>
      </c>
      <c r="D619" s="1" t="s">
        <v>310</v>
      </c>
      <c r="E619" s="1" t="s">
        <v>445</v>
      </c>
      <c r="F619" s="1" t="s">
        <v>446</v>
      </c>
      <c r="G619" s="1" t="s">
        <v>406</v>
      </c>
      <c r="H619" s="1" t="s">
        <v>378</v>
      </c>
      <c r="I619" s="1">
        <v>0</v>
      </c>
      <c r="J619" s="1">
        <v>0</v>
      </c>
      <c r="K619" s="1" t="s">
        <v>110</v>
      </c>
      <c r="L619" s="1" t="s">
        <v>19</v>
      </c>
      <c r="M619" s="1" t="str">
        <f t="shared" si="9"/>
        <v xml:space="preserve">2002|37419| 15:30 |Group F|Osaka Nagai Stadium|Osaka |Korea/Japan|Nigeria|0|0|England| </v>
      </c>
    </row>
    <row r="620" spans="1:13" hidden="1" x14ac:dyDescent="0.2">
      <c r="A620" s="1">
        <v>2002</v>
      </c>
      <c r="B620" s="2" t="d">
        <v>2002-06-12</v>
      </c>
      <c r="C620" s="1" t="s">
        <v>403</v>
      </c>
      <c r="D620" s="1" t="s">
        <v>241</v>
      </c>
      <c r="E620" s="1" t="s">
        <v>433</v>
      </c>
      <c r="F620" s="1" t="s">
        <v>434</v>
      </c>
      <c r="G620" s="1" t="s">
        <v>406</v>
      </c>
      <c r="H620" s="1" t="s">
        <v>422</v>
      </c>
      <c r="I620" s="1">
        <v>1</v>
      </c>
      <c r="J620" s="1">
        <v>3</v>
      </c>
      <c r="K620" s="1" t="s">
        <v>37</v>
      </c>
      <c r="L620" s="1" t="s">
        <v>19</v>
      </c>
      <c r="M620" s="1" t="str">
        <f t="shared" si="9"/>
        <v xml:space="preserve">2002|37419| 20:30 |Group B|Jeju World Cup Stadium|Jeju |Korea/Japan|Slovenia|1|3|Paraguay| </v>
      </c>
    </row>
    <row r="621" spans="1:13" hidden="1" x14ac:dyDescent="0.2">
      <c r="A621" s="1">
        <v>2002</v>
      </c>
      <c r="B621" s="2" t="d">
        <v>2002-06-12</v>
      </c>
      <c r="C621" s="1" t="s">
        <v>403</v>
      </c>
      <c r="D621" s="1" t="s">
        <v>241</v>
      </c>
      <c r="E621" s="1" t="s">
        <v>447</v>
      </c>
      <c r="F621" s="1" t="s">
        <v>448</v>
      </c>
      <c r="G621" s="1" t="s">
        <v>406</v>
      </c>
      <c r="H621" s="1" t="s">
        <v>389</v>
      </c>
      <c r="I621" s="1">
        <v>2</v>
      </c>
      <c r="J621" s="1">
        <v>3</v>
      </c>
      <c r="K621" s="1" t="s">
        <v>68</v>
      </c>
      <c r="L621" s="1" t="s">
        <v>19</v>
      </c>
      <c r="M621" s="1" t="str">
        <f t="shared" si="9"/>
        <v xml:space="preserve">2002|37419| 20:30 |Group B|Daejeon World Cup Stadium|Daejeon |Korea/Japan|South Africa|2|3|Spain| </v>
      </c>
    </row>
    <row r="622" spans="1:13" hidden="1" x14ac:dyDescent="0.2">
      <c r="A622" s="1">
        <v>2002</v>
      </c>
      <c r="B622" s="2" t="d">
        <v>2002-06-13</v>
      </c>
      <c r="C622" s="1" t="s">
        <v>119</v>
      </c>
      <c r="D622" s="1" t="s">
        <v>304</v>
      </c>
      <c r="E622" s="1" t="s">
        <v>427</v>
      </c>
      <c r="F622" s="1" t="s">
        <v>428</v>
      </c>
      <c r="G622" s="1" t="s">
        <v>406</v>
      </c>
      <c r="H622" s="1" t="s">
        <v>337</v>
      </c>
      <c r="I622" s="1">
        <v>2</v>
      </c>
      <c r="J622" s="1">
        <v>5</v>
      </c>
      <c r="K622" s="1" t="s">
        <v>27</v>
      </c>
      <c r="L622" s="1" t="s">
        <v>19</v>
      </c>
      <c r="M622" s="1" t="str">
        <f t="shared" si="9"/>
        <v xml:space="preserve">2002|37420| 15:30 |Group C|Suwon World Cup Stadium|Suwon |Korea/Japan|Costa Rica|2|5|Brazil| </v>
      </c>
    </row>
    <row r="623" spans="1:13" hidden="1" x14ac:dyDescent="0.2">
      <c r="A623" s="1">
        <v>2002</v>
      </c>
      <c r="B623" s="2" t="d">
        <v>2002-06-13</v>
      </c>
      <c r="C623" s="1" t="s">
        <v>119</v>
      </c>
      <c r="D623" s="1" t="s">
        <v>304</v>
      </c>
      <c r="E623" s="1" t="s">
        <v>404</v>
      </c>
      <c r="F623" s="1" t="s">
        <v>405</v>
      </c>
      <c r="G623" s="1" t="s">
        <v>406</v>
      </c>
      <c r="H623" s="1" t="s">
        <v>134</v>
      </c>
      <c r="I623" s="1">
        <v>3</v>
      </c>
      <c r="J623" s="1">
        <v>0</v>
      </c>
      <c r="K623" s="1" t="s">
        <v>424</v>
      </c>
      <c r="L623" s="1" t="s">
        <v>19</v>
      </c>
      <c r="M623" s="1" t="str">
        <f t="shared" si="9"/>
        <v xml:space="preserve">2002|37420| 15:30 |Group C|Seoul World Cup Stadium|Seoul |Korea/Japan|Turkey|3|0|China PR| </v>
      </c>
    </row>
    <row r="624" spans="1:13" hidden="1" x14ac:dyDescent="0.2">
      <c r="A624" s="1">
        <v>2002</v>
      </c>
      <c r="B624" s="2" t="d">
        <v>2002-06-13</v>
      </c>
      <c r="C624" s="1" t="s">
        <v>403</v>
      </c>
      <c r="D624" s="1" t="s">
        <v>400</v>
      </c>
      <c r="E624" s="1" t="s">
        <v>437</v>
      </c>
      <c r="F624" s="1" t="s">
        <v>438</v>
      </c>
      <c r="G624" s="1" t="s">
        <v>406</v>
      </c>
      <c r="H624" s="1" t="s">
        <v>423</v>
      </c>
      <c r="I624" s="1">
        <v>1</v>
      </c>
      <c r="J624" s="1">
        <v>0</v>
      </c>
      <c r="K624" s="1" t="s">
        <v>399</v>
      </c>
      <c r="L624" s="1" t="s">
        <v>19</v>
      </c>
      <c r="M624" s="1" t="str">
        <f t="shared" si="9"/>
        <v xml:space="preserve">2002|37420| 20:30 |Group G|International Stadium Yokohama|Yokohama |Korea/Japan|Ecuador|1|0|Croatia| </v>
      </c>
    </row>
    <row r="625" spans="1:13" hidden="1" x14ac:dyDescent="0.2">
      <c r="A625" s="1">
        <v>2002</v>
      </c>
      <c r="B625" s="2" t="d">
        <v>2002-06-13</v>
      </c>
      <c r="C625" s="1" t="s">
        <v>403</v>
      </c>
      <c r="D625" s="1" t="s">
        <v>400</v>
      </c>
      <c r="E625" s="1" t="s">
        <v>441</v>
      </c>
      <c r="F625" s="1" t="s">
        <v>442</v>
      </c>
      <c r="G625" s="1" t="s">
        <v>406</v>
      </c>
      <c r="H625" s="1" t="s">
        <v>18</v>
      </c>
      <c r="I625" s="1">
        <v>1</v>
      </c>
      <c r="J625" s="1">
        <v>1</v>
      </c>
      <c r="K625" s="1" t="s">
        <v>49</v>
      </c>
      <c r="L625" s="1" t="s">
        <v>19</v>
      </c>
      <c r="M625" s="1" t="str">
        <f t="shared" si="9"/>
        <v xml:space="preserve">2002|37420| 20:30 |Group G|Oita Stadium Big Eye|Oita |Korea/Japan|Mexico|1|1|Italy| </v>
      </c>
    </row>
    <row r="626" spans="1:13" hidden="1" x14ac:dyDescent="0.2">
      <c r="A626" s="1">
        <v>2002</v>
      </c>
      <c r="B626" s="2" t="d">
        <v>2002-06-14</v>
      </c>
      <c r="C626" s="1" t="s">
        <v>119</v>
      </c>
      <c r="D626" s="1" t="s">
        <v>394</v>
      </c>
      <c r="E626" s="1" t="s">
        <v>445</v>
      </c>
      <c r="F626" s="1" t="s">
        <v>446</v>
      </c>
      <c r="G626" s="1" t="s">
        <v>406</v>
      </c>
      <c r="H626" s="1" t="s">
        <v>251</v>
      </c>
      <c r="I626" s="1">
        <v>0</v>
      </c>
      <c r="J626" s="1">
        <v>2</v>
      </c>
      <c r="K626" s="1" t="s">
        <v>395</v>
      </c>
      <c r="L626" s="1" t="s">
        <v>19</v>
      </c>
      <c r="M626" s="1" t="str">
        <f t="shared" si="9"/>
        <v xml:space="preserve">2002|37421| 15:30 |Group H|Osaka Nagai Stadium|Osaka |Korea/Japan|Tunisia|0|2|Japan| </v>
      </c>
    </row>
    <row r="627" spans="1:13" hidden="1" x14ac:dyDescent="0.2">
      <c r="A627" s="1">
        <v>2002</v>
      </c>
      <c r="B627" s="2" t="d">
        <v>2002-06-14</v>
      </c>
      <c r="C627" s="1" t="s">
        <v>403</v>
      </c>
      <c r="D627" s="1" t="s">
        <v>306</v>
      </c>
      <c r="E627" s="1" t="s">
        <v>435</v>
      </c>
      <c r="F627" s="1" t="s">
        <v>436</v>
      </c>
      <c r="G627" s="1" t="s">
        <v>406</v>
      </c>
      <c r="H627" s="1" t="s">
        <v>197</v>
      </c>
      <c r="I627" s="1">
        <v>0</v>
      </c>
      <c r="J627" s="1">
        <v>1</v>
      </c>
      <c r="K627" s="1" t="s">
        <v>135</v>
      </c>
      <c r="L627" s="1" t="s">
        <v>19</v>
      </c>
      <c r="M627" s="1" t="str">
        <f t="shared" si="9"/>
        <v xml:space="preserve">2002|37421| 20:30 |Group D|Incheon Football Stadium|Incheon |Korea/Japan|Portugal|0|1|Korea Republic| </v>
      </c>
    </row>
    <row r="628" spans="1:13" hidden="1" x14ac:dyDescent="0.2">
      <c r="A628" s="1">
        <v>2002</v>
      </c>
      <c r="B628" s="2" t="d">
        <v>2002-06-14</v>
      </c>
      <c r="C628" s="1" t="s">
        <v>403</v>
      </c>
      <c r="D628" s="1" t="s">
        <v>306</v>
      </c>
      <c r="E628" s="1" t="s">
        <v>447</v>
      </c>
      <c r="F628" s="1" t="s">
        <v>448</v>
      </c>
      <c r="G628" s="1" t="s">
        <v>406</v>
      </c>
      <c r="H628" s="1" t="s">
        <v>96</v>
      </c>
      <c r="I628" s="1">
        <v>3</v>
      </c>
      <c r="J628" s="1">
        <v>1</v>
      </c>
      <c r="K628" s="1" t="s">
        <v>22</v>
      </c>
      <c r="L628" s="1" t="s">
        <v>19</v>
      </c>
      <c r="M628" s="1" t="str">
        <f t="shared" si="9"/>
        <v xml:space="preserve">2002|37421| 20:30 |Group D|Daejeon World Cup Stadium|Daejeon |Korea/Japan|Poland|3|1|USA| </v>
      </c>
    </row>
    <row r="629" spans="1:13" hidden="1" x14ac:dyDescent="0.2">
      <c r="A629" s="1">
        <v>2002</v>
      </c>
      <c r="B629" s="2" t="d">
        <v>2002-06-14</v>
      </c>
      <c r="C629" s="1" t="s">
        <v>119</v>
      </c>
      <c r="D629" s="1" t="s">
        <v>394</v>
      </c>
      <c r="E629" s="1" t="s">
        <v>443</v>
      </c>
      <c r="F629" s="1" t="s">
        <v>444</v>
      </c>
      <c r="G629" s="1" t="s">
        <v>406</v>
      </c>
      <c r="H629" s="1" t="s">
        <v>23</v>
      </c>
      <c r="I629" s="1">
        <v>3</v>
      </c>
      <c r="J629" s="1">
        <v>2</v>
      </c>
      <c r="K629" s="1" t="s">
        <v>374</v>
      </c>
      <c r="L629" s="1" t="s">
        <v>19</v>
      </c>
      <c r="M629" s="1" t="str">
        <f t="shared" si="9"/>
        <v xml:space="preserve">2002|37421| 15:30 |Group H|Shizuoka Stadium Ecopa|Shizuoka |Korea/Japan|Belgium|3|2|Russia| </v>
      </c>
    </row>
    <row r="630" spans="1:13" hidden="1" x14ac:dyDescent="0.2">
      <c r="A630" s="1">
        <v>2002</v>
      </c>
      <c r="B630" s="2" t="d">
        <v>2002-06-15</v>
      </c>
      <c r="C630" s="1" t="s">
        <v>403</v>
      </c>
      <c r="D630" s="12" t="s">
        <v>323</v>
      </c>
      <c r="E630" s="1" t="s">
        <v>410</v>
      </c>
      <c r="F630" s="1" t="s">
        <v>411</v>
      </c>
      <c r="G630" s="1" t="s">
        <v>406</v>
      </c>
      <c r="H630" s="1" t="s">
        <v>320</v>
      </c>
      <c r="I630" s="1">
        <v>0</v>
      </c>
      <c r="J630" s="1">
        <v>3</v>
      </c>
      <c r="K630" s="1" t="s">
        <v>110</v>
      </c>
      <c r="L630" s="1" t="s">
        <v>19</v>
      </c>
      <c r="M630" s="1" t="str">
        <f t="shared" si="9"/>
        <v xml:space="preserve">2002|37422| 20:30 |Round of 16|Niigata Stadium Big Swan|Niigata |Korea/Japan|Denmark|0|3|England| </v>
      </c>
    </row>
    <row r="631" spans="1:13" x14ac:dyDescent="0.2">
      <c r="A631" s="1">
        <v>2002</v>
      </c>
      <c r="B631" s="2" t="d">
        <v>2002-06-15</v>
      </c>
      <c r="C631" s="1" t="s">
        <v>119</v>
      </c>
      <c r="D631" s="12" t="s">
        <v>323</v>
      </c>
      <c r="E631" s="1" t="s">
        <v>433</v>
      </c>
      <c r="F631" s="1" t="s">
        <v>434</v>
      </c>
      <c r="G631" s="1" t="s">
        <v>406</v>
      </c>
      <c r="H631" s="1" t="s">
        <v>65</v>
      </c>
      <c r="I631" s="1">
        <v>1</v>
      </c>
      <c r="J631" s="1">
        <v>0</v>
      </c>
      <c r="K631" s="1" t="s">
        <v>37</v>
      </c>
      <c r="L631" s="1" t="s">
        <v>19</v>
      </c>
      <c r="M631" s="1" t="str">
        <f t="shared" si="9"/>
        <v xml:space="preserve">2002|37422| 15:30 |Round of 16|Jeju World Cup Stadium|Jeju |Korea/Japan|Germany|1|0|Paraguay| </v>
      </c>
    </row>
    <row r="632" spans="1:13" hidden="1" x14ac:dyDescent="0.2">
      <c r="A632" s="1">
        <v>2002</v>
      </c>
      <c r="B632" s="2" t="d">
        <v>2002-06-16</v>
      </c>
      <c r="C632" s="1" t="s">
        <v>403</v>
      </c>
      <c r="D632" s="12" t="s">
        <v>323</v>
      </c>
      <c r="E632" s="1" t="s">
        <v>427</v>
      </c>
      <c r="F632" s="1" t="s">
        <v>428</v>
      </c>
      <c r="G632" s="1" t="s">
        <v>406</v>
      </c>
      <c r="H632" s="1" t="s">
        <v>68</v>
      </c>
      <c r="I632" s="1">
        <v>1</v>
      </c>
      <c r="J632" s="1">
        <v>1</v>
      </c>
      <c r="K632" s="1" t="s">
        <v>340</v>
      </c>
      <c r="L632" s="1" t="s">
        <v>449</v>
      </c>
      <c r="M632" s="1" t="str">
        <f t="shared" si="9"/>
        <v xml:space="preserve">2002|37423| 20:30 |Round of 16|Suwon World Cup Stadium|Suwon |Korea/Japan|Spain|1|1|Republic of Ireland|Spain win on penalties (3 - 2) </v>
      </c>
    </row>
    <row r="633" spans="1:13" hidden="1" x14ac:dyDescent="0.2">
      <c r="A633" s="1">
        <v>2002</v>
      </c>
      <c r="B633" s="2" t="d">
        <v>2002-06-16</v>
      </c>
      <c r="C633" s="1" t="s">
        <v>119</v>
      </c>
      <c r="D633" s="12" t="s">
        <v>323</v>
      </c>
      <c r="E633" s="1" t="s">
        <v>441</v>
      </c>
      <c r="F633" s="1" t="s">
        <v>442</v>
      </c>
      <c r="G633" s="1" t="s">
        <v>406</v>
      </c>
      <c r="H633" s="1" t="s">
        <v>62</v>
      </c>
      <c r="I633" s="1">
        <v>1</v>
      </c>
      <c r="J633" s="1">
        <v>2</v>
      </c>
      <c r="K633" s="1" t="s">
        <v>407</v>
      </c>
      <c r="L633" s="1" t="s">
        <v>450</v>
      </c>
      <c r="M633" s="1" t="str">
        <f t="shared" si="9"/>
        <v xml:space="preserve">2002|37423| 15:30 |Round of 16|Oita Stadium Big Eye|Oita |Korea/Japan|Sweden|1|2|Senegal|Win on Golden Goal </v>
      </c>
    </row>
    <row r="634" spans="1:13" hidden="1" x14ac:dyDescent="0.2">
      <c r="A634" s="1">
        <v>2002</v>
      </c>
      <c r="B634" s="2" t="d">
        <v>2002-06-17</v>
      </c>
      <c r="C634" s="1" t="s">
        <v>403</v>
      </c>
      <c r="D634" s="12" t="s">
        <v>323</v>
      </c>
      <c r="E634" s="1" t="s">
        <v>425</v>
      </c>
      <c r="F634" s="1" t="s">
        <v>426</v>
      </c>
      <c r="G634" s="1" t="s">
        <v>406</v>
      </c>
      <c r="H634" s="1" t="s">
        <v>27</v>
      </c>
      <c r="I634" s="1">
        <v>2</v>
      </c>
      <c r="J634" s="1">
        <v>0</v>
      </c>
      <c r="K634" s="1" t="s">
        <v>23</v>
      </c>
      <c r="L634" s="1" t="s">
        <v>19</v>
      </c>
      <c r="M634" s="1" t="str">
        <f t="shared" si="9"/>
        <v xml:space="preserve">2002|37424| 20:30 |Round of 16|Kobe Wing Stadium|Kobe |Korea/Japan|Brazil|2|0|Belgium| </v>
      </c>
    </row>
    <row r="635" spans="1:13" hidden="1" x14ac:dyDescent="0.2">
      <c r="A635" s="1">
        <v>2002</v>
      </c>
      <c r="B635" s="2" t="d">
        <v>2002-06-17</v>
      </c>
      <c r="C635" s="1" t="s">
        <v>119</v>
      </c>
      <c r="D635" s="12" t="s">
        <v>323</v>
      </c>
      <c r="E635" s="1" t="s">
        <v>431</v>
      </c>
      <c r="F635" s="1" t="s">
        <v>432</v>
      </c>
      <c r="G635" s="1" t="s">
        <v>406</v>
      </c>
      <c r="H635" s="1" t="s">
        <v>18</v>
      </c>
      <c r="I635" s="1">
        <v>0</v>
      </c>
      <c r="J635" s="1">
        <v>2</v>
      </c>
      <c r="K635" s="1" t="s">
        <v>22</v>
      </c>
      <c r="L635" s="1" t="s">
        <v>19</v>
      </c>
      <c r="M635" s="1" t="str">
        <f t="shared" si="9"/>
        <v xml:space="preserve">2002|37424| 15:30 |Round of 16|Jeonju World Cup Stadium|Jeonju |Korea/Japan|Mexico|0|2|USA| </v>
      </c>
    </row>
    <row r="636" spans="1:13" hidden="1" x14ac:dyDescent="0.2">
      <c r="A636" s="1">
        <v>2002</v>
      </c>
      <c r="B636" s="2" t="d">
        <v>2002-06-18</v>
      </c>
      <c r="C636" s="1" t="s">
        <v>119</v>
      </c>
      <c r="D636" s="12" t="s">
        <v>323</v>
      </c>
      <c r="E636" s="1" t="s">
        <v>439</v>
      </c>
      <c r="F636" s="1" t="s">
        <v>440</v>
      </c>
      <c r="G636" s="1" t="s">
        <v>406</v>
      </c>
      <c r="H636" s="1" t="s">
        <v>395</v>
      </c>
      <c r="I636" s="1">
        <v>0</v>
      </c>
      <c r="J636" s="1">
        <v>1</v>
      </c>
      <c r="K636" s="1" t="s">
        <v>134</v>
      </c>
      <c r="L636" s="1" t="s">
        <v>19</v>
      </c>
      <c r="M636" s="1" t="str">
        <f t="shared" si="9"/>
        <v xml:space="preserve">2002|37425| 15:30 |Round of 16|Miyagi Stadium|Rifu |Korea/Japan|Japan|0|1|Turkey| </v>
      </c>
    </row>
    <row r="637" spans="1:13" hidden="1" x14ac:dyDescent="0.2">
      <c r="A637" s="1">
        <v>2002</v>
      </c>
      <c r="B637" s="2" t="d">
        <v>2002-06-18</v>
      </c>
      <c r="C637" s="1" t="s">
        <v>403</v>
      </c>
      <c r="D637" s="12" t="s">
        <v>323</v>
      </c>
      <c r="E637" s="1" t="s">
        <v>447</v>
      </c>
      <c r="F637" s="1" t="s">
        <v>448</v>
      </c>
      <c r="G637" s="1" t="s">
        <v>406</v>
      </c>
      <c r="H637" s="1" t="s">
        <v>135</v>
      </c>
      <c r="I637" s="1">
        <v>2</v>
      </c>
      <c r="J637" s="1">
        <v>1</v>
      </c>
      <c r="K637" s="1" t="s">
        <v>49</v>
      </c>
      <c r="L637" s="1" t="s">
        <v>450</v>
      </c>
      <c r="M637" s="1" t="str">
        <f t="shared" si="9"/>
        <v xml:space="preserve">2002|37425| 20:30 |Round of 16|Daejeon World Cup Stadium|Daejeon |Korea/Japan|Korea Republic|2|1|Italy|Win on Golden Goal </v>
      </c>
    </row>
    <row r="638" spans="1:13" hidden="1" x14ac:dyDescent="0.2">
      <c r="A638" s="1">
        <v>2002</v>
      </c>
      <c r="B638" s="2" t="d">
        <v>2002-06-21</v>
      </c>
      <c r="C638" s="1" t="s">
        <v>119</v>
      </c>
      <c r="D638" s="12" t="s">
        <v>74</v>
      </c>
      <c r="E638" s="1" t="s">
        <v>443</v>
      </c>
      <c r="F638" s="1" t="s">
        <v>444</v>
      </c>
      <c r="G638" s="1" t="s">
        <v>406</v>
      </c>
      <c r="H638" s="1" t="s">
        <v>110</v>
      </c>
      <c r="I638" s="1">
        <v>1</v>
      </c>
      <c r="J638" s="1">
        <v>2</v>
      </c>
      <c r="K638" s="1" t="s">
        <v>27</v>
      </c>
      <c r="L638" s="1" t="s">
        <v>19</v>
      </c>
      <c r="M638" s="1" t="str">
        <f t="shared" si="9"/>
        <v xml:space="preserve">2002|37428| 15:30 |Quarter-finals|Shizuoka Stadium Ecopa|Shizuoka |Korea/Japan|England|1|2|Brazil| </v>
      </c>
    </row>
    <row r="639" spans="1:13" x14ac:dyDescent="0.2">
      <c r="A639" s="1">
        <v>2002</v>
      </c>
      <c r="B639" s="2" t="d">
        <v>2002-06-21</v>
      </c>
      <c r="C639" s="1" t="s">
        <v>403</v>
      </c>
      <c r="D639" s="12" t="s">
        <v>74</v>
      </c>
      <c r="E639" s="1" t="s">
        <v>408</v>
      </c>
      <c r="F639" s="1" t="s">
        <v>409</v>
      </c>
      <c r="G639" s="1" t="s">
        <v>406</v>
      </c>
      <c r="H639" s="1" t="s">
        <v>65</v>
      </c>
      <c r="I639" s="1">
        <v>1</v>
      </c>
      <c r="J639" s="1">
        <v>0</v>
      </c>
      <c r="K639" s="1" t="s">
        <v>22</v>
      </c>
      <c r="L639" s="1" t="s">
        <v>19</v>
      </c>
      <c r="M639" s="1" t="str">
        <f t="shared" si="9"/>
        <v xml:space="preserve">2002|37428| 20:30 |Quarter-finals|Munsu Football Stadium|Ulsan |Korea/Japan|Germany|1|0|USA| </v>
      </c>
    </row>
    <row r="640" spans="1:13" hidden="1" x14ac:dyDescent="0.2">
      <c r="A640" s="1">
        <v>2002</v>
      </c>
      <c r="B640" s="2" t="d">
        <v>2002-06-22</v>
      </c>
      <c r="C640" s="1" t="s">
        <v>403</v>
      </c>
      <c r="D640" s="12" t="s">
        <v>74</v>
      </c>
      <c r="E640" s="1" t="s">
        <v>445</v>
      </c>
      <c r="F640" s="1" t="s">
        <v>446</v>
      </c>
      <c r="G640" s="1" t="s">
        <v>406</v>
      </c>
      <c r="H640" s="1" t="s">
        <v>407</v>
      </c>
      <c r="I640" s="1">
        <v>0</v>
      </c>
      <c r="J640" s="1">
        <v>1</v>
      </c>
      <c r="K640" s="1" t="s">
        <v>134</v>
      </c>
      <c r="L640" s="1" t="s">
        <v>450</v>
      </c>
      <c r="M640" s="1" t="str">
        <f t="shared" si="9"/>
        <v xml:space="preserve">2002|37429| 20:30 |Quarter-finals|Osaka Nagai Stadium|Osaka |Korea/Japan|Senegal|0|1|Turkey|Win on Golden Goal </v>
      </c>
    </row>
    <row r="641" spans="1:13" hidden="1" x14ac:dyDescent="0.2">
      <c r="A641" s="1">
        <v>2002</v>
      </c>
      <c r="B641" s="2" t="d">
        <v>2002-06-22</v>
      </c>
      <c r="C641" s="1" t="s">
        <v>119</v>
      </c>
      <c r="D641" s="12" t="s">
        <v>74</v>
      </c>
      <c r="E641" s="1" t="s">
        <v>420</v>
      </c>
      <c r="F641" s="1" t="s">
        <v>421</v>
      </c>
      <c r="G641" s="1" t="s">
        <v>406</v>
      </c>
      <c r="H641" s="1" t="s">
        <v>68</v>
      </c>
      <c r="I641" s="1">
        <v>0</v>
      </c>
      <c r="J641" s="1">
        <v>0</v>
      </c>
      <c r="K641" s="1" t="s">
        <v>135</v>
      </c>
      <c r="L641" s="1" t="s">
        <v>451</v>
      </c>
      <c r="M641" s="1" t="str">
        <f t="shared" si="9"/>
        <v xml:space="preserve">2002|37429| 15:30 |Quarter-finals|Gwangju World Cup Stadium|Gwangju |Korea/Japan|Spain|0|0|Korea Republic|Korea Republic win on penalties (3 - 5) </v>
      </c>
    </row>
    <row r="642" spans="1:13" x14ac:dyDescent="0.2">
      <c r="A642" s="1">
        <v>2002</v>
      </c>
      <c r="B642" s="2" t="d">
        <v>2002-06-25</v>
      </c>
      <c r="C642" s="1" t="s">
        <v>403</v>
      </c>
      <c r="D642" s="12" t="s">
        <v>42</v>
      </c>
      <c r="E642" s="1" t="s">
        <v>404</v>
      </c>
      <c r="F642" s="1" t="s">
        <v>405</v>
      </c>
      <c r="G642" s="1" t="s">
        <v>406</v>
      </c>
      <c r="H642" s="1" t="s">
        <v>65</v>
      </c>
      <c r="I642" s="1">
        <v>1</v>
      </c>
      <c r="J642" s="1">
        <v>0</v>
      </c>
      <c r="K642" s="1" t="s">
        <v>135</v>
      </c>
      <c r="L642" s="1" t="s">
        <v>19</v>
      </c>
      <c r="M642" s="1" t="str">
        <f t="shared" si="9"/>
        <v xml:space="preserve">2002|37432| 20:30 |Semi-finals|Seoul World Cup Stadium|Seoul |Korea/Japan|Germany|1|0|Korea Republic| </v>
      </c>
    </row>
    <row r="643" spans="1:13" hidden="1" x14ac:dyDescent="0.2">
      <c r="A643" s="1">
        <v>2002</v>
      </c>
      <c r="B643" s="2" t="d">
        <v>2002-06-26</v>
      </c>
      <c r="C643" s="1" t="s">
        <v>403</v>
      </c>
      <c r="D643" s="12" t="s">
        <v>42</v>
      </c>
      <c r="E643" s="1" t="s">
        <v>418</v>
      </c>
      <c r="F643" s="1" t="s">
        <v>419</v>
      </c>
      <c r="G643" s="1" t="s">
        <v>406</v>
      </c>
      <c r="H643" s="1" t="s">
        <v>27</v>
      </c>
      <c r="I643" s="1">
        <v>1</v>
      </c>
      <c r="J643" s="1">
        <v>0</v>
      </c>
      <c r="K643" s="1" t="s">
        <v>134</v>
      </c>
      <c r="L643" s="1" t="s">
        <v>19</v>
      </c>
      <c r="M643" s="1" t="str">
        <f t="shared" ref="M643:M706" si="10">_xlfn.TEXTJOIN("|",TRUE,A643,B643,C643,D643,E643,F643,G643,H643,I643,J643,K643,L643)</f>
        <v xml:space="preserve">2002|37433| 20:30 |Semi-finals|Saitama Stadium 2002|Saitama |Korea/Japan|Brazil|1|0|Turkey| </v>
      </c>
    </row>
    <row r="644" spans="1:13" hidden="1" x14ac:dyDescent="0.2">
      <c r="A644" s="1">
        <v>2002</v>
      </c>
      <c r="B644" s="2" t="d">
        <v>2002-06-29</v>
      </c>
      <c r="C644" s="1" t="s">
        <v>262</v>
      </c>
      <c r="D644" s="12" t="s">
        <v>452</v>
      </c>
      <c r="E644" s="1" t="s">
        <v>429</v>
      </c>
      <c r="F644" s="1" t="s">
        <v>430</v>
      </c>
      <c r="G644" s="1" t="s">
        <v>406</v>
      </c>
      <c r="H644" s="1" t="s">
        <v>135</v>
      </c>
      <c r="I644" s="1">
        <v>2</v>
      </c>
      <c r="J644" s="1">
        <v>3</v>
      </c>
      <c r="K644" s="1" t="s">
        <v>134</v>
      </c>
      <c r="L644" s="1" t="s">
        <v>19</v>
      </c>
      <c r="M644" s="1" t="str">
        <f t="shared" si="10"/>
        <v xml:space="preserve">2002|37436| 20:00 |Third place|Daegu World Cup Stadium|Daegu |Korea/Japan|Korea Republic|2|3|Turkey| </v>
      </c>
    </row>
    <row r="645" spans="1:13" x14ac:dyDescent="0.2">
      <c r="A645" s="1">
        <v>2002</v>
      </c>
      <c r="B645" s="2" t="d">
        <v>2002-06-30</v>
      </c>
      <c r="C645" s="1" t="s">
        <v>262</v>
      </c>
      <c r="D645" s="12" t="s">
        <v>44</v>
      </c>
      <c r="E645" s="1" t="s">
        <v>437</v>
      </c>
      <c r="F645" s="1" t="s">
        <v>438</v>
      </c>
      <c r="G645" s="1" t="s">
        <v>406</v>
      </c>
      <c r="H645" s="1" t="s">
        <v>65</v>
      </c>
      <c r="I645" s="1">
        <v>0</v>
      </c>
      <c r="J645" s="1">
        <v>2</v>
      </c>
      <c r="K645" s="1" t="s">
        <v>27</v>
      </c>
      <c r="L645" s="1" t="s">
        <v>19</v>
      </c>
      <c r="M645" s="1" t="str">
        <f t="shared" si="10"/>
        <v xml:space="preserve">2002|37437| 20:00 |Final|International Stadium Yokohama|Yokohama |Korea/Japan|Germany|0|2|Brazil| </v>
      </c>
    </row>
    <row r="646" spans="1:13" x14ac:dyDescent="0.2">
      <c r="A646" s="1">
        <v>2006</v>
      </c>
      <c r="B646" s="2" t="d">
        <v>2006-06-09</v>
      </c>
      <c r="C646" s="1" t="s">
        <v>75</v>
      </c>
      <c r="D646" s="1" t="s">
        <v>242</v>
      </c>
      <c r="E646" s="1" t="s">
        <v>453</v>
      </c>
      <c r="F646" s="1" t="s">
        <v>235</v>
      </c>
      <c r="G646" s="1" t="s">
        <v>65</v>
      </c>
      <c r="H646" s="1" t="s">
        <v>65</v>
      </c>
      <c r="I646" s="1">
        <v>4</v>
      </c>
      <c r="J646" s="1">
        <v>2</v>
      </c>
      <c r="K646" s="1" t="s">
        <v>337</v>
      </c>
      <c r="L646" s="1" t="s">
        <v>19</v>
      </c>
      <c r="M646" s="1" t="str">
        <f t="shared" si="10"/>
        <v xml:space="preserve">2006|38877| 18:00 |Group A|FIFA World Cup Stadium, Munich|Munich |Germany|Germany|4|2|Costa Rica| </v>
      </c>
    </row>
    <row r="647" spans="1:13" hidden="1" x14ac:dyDescent="0.2">
      <c r="A647" s="1">
        <v>2006</v>
      </c>
      <c r="B647" s="2" t="d">
        <v>2006-06-09</v>
      </c>
      <c r="C647" s="1" t="s">
        <v>268</v>
      </c>
      <c r="D647" s="1" t="s">
        <v>242</v>
      </c>
      <c r="E647" s="1" t="s">
        <v>454</v>
      </c>
      <c r="F647" s="1" t="s">
        <v>240</v>
      </c>
      <c r="G647" s="1" t="s">
        <v>65</v>
      </c>
      <c r="H647" s="1" t="s">
        <v>96</v>
      </c>
      <c r="I647" s="1">
        <v>0</v>
      </c>
      <c r="J647" s="1">
        <v>2</v>
      </c>
      <c r="K647" s="1" t="s">
        <v>423</v>
      </c>
      <c r="L647" s="1" t="s">
        <v>19</v>
      </c>
      <c r="M647" s="1" t="str">
        <f t="shared" si="10"/>
        <v xml:space="preserve">2006|38877| 21:00 |Group A|FIFA World Cup Stadium, Gelsenkirchen|Gelsenkirchen |Germany|Poland|0|2|Ecuador| </v>
      </c>
    </row>
    <row r="648" spans="1:13" hidden="1" x14ac:dyDescent="0.2">
      <c r="A648" s="1">
        <v>2006</v>
      </c>
      <c r="B648" s="2" t="d">
        <v>2006-06-10</v>
      </c>
      <c r="C648" s="1" t="s">
        <v>12</v>
      </c>
      <c r="D648" s="1" t="s">
        <v>241</v>
      </c>
      <c r="E648" s="1" t="s">
        <v>455</v>
      </c>
      <c r="F648" s="1" t="s">
        <v>221</v>
      </c>
      <c r="G648" s="1" t="s">
        <v>65</v>
      </c>
      <c r="H648" s="1" t="s">
        <v>110</v>
      </c>
      <c r="I648" s="1">
        <v>1</v>
      </c>
      <c r="J648" s="1">
        <v>0</v>
      </c>
      <c r="K648" s="1" t="s">
        <v>37</v>
      </c>
      <c r="L648" s="1" t="s">
        <v>19</v>
      </c>
      <c r="M648" s="1" t="str">
        <f t="shared" si="10"/>
        <v xml:space="preserve">2006|38878| 15:00 |Group B|FIFA World Cup Stadium, Frankfurt|Frankfurt/Main |Germany|England|1|0|Paraguay| </v>
      </c>
    </row>
    <row r="649" spans="1:13" hidden="1" x14ac:dyDescent="0.2">
      <c r="A649" s="1">
        <v>2006</v>
      </c>
      <c r="B649" s="2" t="d">
        <v>2006-06-10</v>
      </c>
      <c r="C649" s="1" t="s">
        <v>75</v>
      </c>
      <c r="D649" s="1" t="s">
        <v>241</v>
      </c>
      <c r="E649" s="1" t="s">
        <v>456</v>
      </c>
      <c r="F649" s="1" t="s">
        <v>229</v>
      </c>
      <c r="G649" s="1" t="s">
        <v>65</v>
      </c>
      <c r="H649" s="1" t="s">
        <v>457</v>
      </c>
      <c r="I649" s="1">
        <v>0</v>
      </c>
      <c r="J649" s="1">
        <v>0</v>
      </c>
      <c r="K649" s="1" t="s">
        <v>62</v>
      </c>
      <c r="L649" s="1" t="s">
        <v>19</v>
      </c>
      <c r="M649" s="1" t="str">
        <f t="shared" si="10"/>
        <v xml:space="preserve">2006|38878| 18:00 |Group B|FIFA World Cup Stadium, Dortmund|Dortmund |Germany|Trinidad and Tobago|0|0|Sweden| </v>
      </c>
    </row>
    <row r="650" spans="1:13" hidden="1" x14ac:dyDescent="0.2">
      <c r="A650" s="1">
        <v>2006</v>
      </c>
      <c r="B650" s="2" t="d">
        <v>2006-06-10</v>
      </c>
      <c r="C650" s="1" t="s">
        <v>268</v>
      </c>
      <c r="D650" s="1" t="s">
        <v>304</v>
      </c>
      <c r="E650" s="1" t="s">
        <v>458</v>
      </c>
      <c r="F650" s="1" t="s">
        <v>225</v>
      </c>
      <c r="G650" s="1" t="s">
        <v>65</v>
      </c>
      <c r="H650" s="1" t="s">
        <v>33</v>
      </c>
      <c r="I650" s="1">
        <v>2</v>
      </c>
      <c r="J650" s="1">
        <v>1</v>
      </c>
      <c r="K650" s="1" t="s">
        <v>459</v>
      </c>
      <c r="L650" s="1" t="s">
        <v>19</v>
      </c>
      <c r="M650" s="1" t="str">
        <f t="shared" si="10"/>
        <v xml:space="preserve">2006|38878| 21:00 |Group C|FIFA World Cup Stadium, Hamburg|Hamburg |Germany|Argentina|2|1|Cï¿½te d'Ivoire| </v>
      </c>
    </row>
    <row r="651" spans="1:13" hidden="1" x14ac:dyDescent="0.2">
      <c r="A651" s="1">
        <v>2006</v>
      </c>
      <c r="B651" s="2" t="d">
        <v>2006-06-11</v>
      </c>
      <c r="C651" s="1" t="s">
        <v>12</v>
      </c>
      <c r="D651" s="1" t="s">
        <v>304</v>
      </c>
      <c r="E651" s="1" t="s">
        <v>460</v>
      </c>
      <c r="F651" s="1" t="s">
        <v>461</v>
      </c>
      <c r="G651" s="1" t="s">
        <v>65</v>
      </c>
      <c r="H651" s="1" t="s">
        <v>462</v>
      </c>
      <c r="I651" s="1">
        <v>0</v>
      </c>
      <c r="J651" s="1">
        <v>1</v>
      </c>
      <c r="K651" s="1" t="s">
        <v>59</v>
      </c>
      <c r="L651" s="1" t="s">
        <v>19</v>
      </c>
      <c r="M651" s="1" t="str">
        <f t="shared" si="10"/>
        <v xml:space="preserve">2006|38879| 15:00 |Group C|Zentralstadion|Leipzig |Germany|Serbia and Montenegro|0|1|Netherlands| </v>
      </c>
    </row>
    <row r="652" spans="1:13" hidden="1" x14ac:dyDescent="0.2">
      <c r="A652" s="1">
        <v>2006</v>
      </c>
      <c r="B652" s="2" t="d">
        <v>2006-06-11</v>
      </c>
      <c r="C652" s="1" t="s">
        <v>75</v>
      </c>
      <c r="D652" s="1" t="s">
        <v>306</v>
      </c>
      <c r="E652" s="1" t="s">
        <v>463</v>
      </c>
      <c r="F652" s="1" t="s">
        <v>464</v>
      </c>
      <c r="G652" s="1" t="s">
        <v>65</v>
      </c>
      <c r="H652" s="1" t="s">
        <v>18</v>
      </c>
      <c r="I652" s="1">
        <v>3</v>
      </c>
      <c r="J652" s="1">
        <v>1</v>
      </c>
      <c r="K652" s="1" t="s">
        <v>260</v>
      </c>
      <c r="L652" s="1" t="s">
        <v>19</v>
      </c>
      <c r="M652" s="1" t="str">
        <f t="shared" si="10"/>
        <v xml:space="preserve">2006|38879| 18:00 |Group D|Franken-Stadion|Nuremberg |Germany|Mexico|3|1|Iran| </v>
      </c>
    </row>
    <row r="653" spans="1:13" hidden="1" x14ac:dyDescent="0.2">
      <c r="A653" s="1">
        <v>2006</v>
      </c>
      <c r="B653" s="2" t="d">
        <v>2006-06-11</v>
      </c>
      <c r="C653" s="1" t="s">
        <v>268</v>
      </c>
      <c r="D653" s="1" t="s">
        <v>306</v>
      </c>
      <c r="E653" s="1" t="s">
        <v>465</v>
      </c>
      <c r="F653" s="1" t="s">
        <v>466</v>
      </c>
      <c r="G653" s="1" t="s">
        <v>65</v>
      </c>
      <c r="H653" s="1" t="s">
        <v>467</v>
      </c>
      <c r="I653" s="1">
        <v>0</v>
      </c>
      <c r="J653" s="1">
        <v>1</v>
      </c>
      <c r="K653" s="1" t="s">
        <v>197</v>
      </c>
      <c r="L653" s="1" t="s">
        <v>19</v>
      </c>
      <c r="M653" s="1" t="str">
        <f t="shared" si="10"/>
        <v xml:space="preserve">2006|38879| 21:00 |Group D|FIFA World Cup Stadium, Cologne|Cologne |Germany|Angola|0|1|Portugal| </v>
      </c>
    </row>
    <row r="654" spans="1:13" hidden="1" x14ac:dyDescent="0.2">
      <c r="A654" s="1">
        <v>2006</v>
      </c>
      <c r="B654" s="2" t="d">
        <v>2006-06-12</v>
      </c>
      <c r="C654" s="1" t="s">
        <v>12</v>
      </c>
      <c r="D654" s="1" t="s">
        <v>310</v>
      </c>
      <c r="E654" s="1" t="s">
        <v>468</v>
      </c>
      <c r="F654" s="1" t="s">
        <v>469</v>
      </c>
      <c r="G654" s="1" t="s">
        <v>65</v>
      </c>
      <c r="H654" s="1" t="s">
        <v>227</v>
      </c>
      <c r="I654" s="1">
        <v>3</v>
      </c>
      <c r="J654" s="1">
        <v>1</v>
      </c>
      <c r="K654" s="1" t="s">
        <v>395</v>
      </c>
      <c r="L654" s="1" t="s">
        <v>19</v>
      </c>
      <c r="M654" s="1" t="str">
        <f t="shared" si="10"/>
        <v xml:space="preserve">2006|38880| 15:00 |Group F|Fritz-Walter-Stadion|Kaiserslautern |Germany|Australia|3|1|Japan| </v>
      </c>
    </row>
    <row r="655" spans="1:13" hidden="1" x14ac:dyDescent="0.2">
      <c r="A655" s="1">
        <v>2006</v>
      </c>
      <c r="B655" s="2" t="d">
        <v>2006-06-12</v>
      </c>
      <c r="C655" s="1" t="s">
        <v>75</v>
      </c>
      <c r="D655" s="1" t="s">
        <v>317</v>
      </c>
      <c r="E655" s="1" t="s">
        <v>454</v>
      </c>
      <c r="F655" s="1" t="s">
        <v>240</v>
      </c>
      <c r="G655" s="1" t="s">
        <v>65</v>
      </c>
      <c r="H655" s="1" t="s">
        <v>22</v>
      </c>
      <c r="I655" s="1">
        <v>0</v>
      </c>
      <c r="J655" s="1">
        <v>3</v>
      </c>
      <c r="K655" s="1" t="s">
        <v>470</v>
      </c>
      <c r="L655" s="1" t="s">
        <v>19</v>
      </c>
      <c r="M655" s="1" t="str">
        <f t="shared" si="10"/>
        <v xml:space="preserve">2006|38880| 18:00 |Group E|FIFA World Cup Stadium, Gelsenkirchen|Gelsenkirchen |Germany|USA|0|3|Czech Republic| </v>
      </c>
    </row>
    <row r="656" spans="1:13" hidden="1" x14ac:dyDescent="0.2">
      <c r="A656" s="1">
        <v>2006</v>
      </c>
      <c r="B656" s="2" t="d">
        <v>2006-06-12</v>
      </c>
      <c r="C656" s="1" t="s">
        <v>268</v>
      </c>
      <c r="D656" s="1" t="s">
        <v>317</v>
      </c>
      <c r="E656" s="1" t="s">
        <v>471</v>
      </c>
      <c r="F656" s="1" t="s">
        <v>232</v>
      </c>
      <c r="G656" s="1" t="s">
        <v>65</v>
      </c>
      <c r="H656" s="1" t="s">
        <v>49</v>
      </c>
      <c r="I656" s="1">
        <v>2</v>
      </c>
      <c r="J656" s="1">
        <v>0</v>
      </c>
      <c r="K656" s="1" t="s">
        <v>472</v>
      </c>
      <c r="L656" s="1" t="s">
        <v>19</v>
      </c>
      <c r="M656" s="1" t="str">
        <f t="shared" si="10"/>
        <v xml:space="preserve">2006|38880| 21:00 |Group E|FIFA World Cup Stadium, Hanover|Hanover |Germany|Italy|2|0|Ghana| </v>
      </c>
    </row>
    <row r="657" spans="1:13" hidden="1" x14ac:dyDescent="0.2">
      <c r="A657" s="1">
        <v>2006</v>
      </c>
      <c r="B657" s="2" t="d">
        <v>2006-06-13</v>
      </c>
      <c r="C657" s="1" t="s">
        <v>12</v>
      </c>
      <c r="D657" s="1" t="s">
        <v>400</v>
      </c>
      <c r="E657" s="1" t="s">
        <v>455</v>
      </c>
      <c r="F657" s="1" t="s">
        <v>221</v>
      </c>
      <c r="G657" s="1" t="s">
        <v>65</v>
      </c>
      <c r="H657" s="1" t="s">
        <v>135</v>
      </c>
      <c r="I657" s="1">
        <v>2</v>
      </c>
      <c r="J657" s="1">
        <v>1</v>
      </c>
      <c r="K657" s="1" t="s">
        <v>473</v>
      </c>
      <c r="L657" s="1" t="s">
        <v>19</v>
      </c>
      <c r="M657" s="1" t="str">
        <f t="shared" si="10"/>
        <v xml:space="preserve">2006|38881| 15:00 |Group G|FIFA World Cup Stadium, Frankfurt|Frankfurt/Main |Germany|Korea Republic|2|1|Togo| </v>
      </c>
    </row>
    <row r="658" spans="1:13" hidden="1" x14ac:dyDescent="0.2">
      <c r="A658" s="1">
        <v>2006</v>
      </c>
      <c r="B658" s="2" t="d">
        <v>2006-06-13</v>
      </c>
      <c r="C658" s="1" t="s">
        <v>75</v>
      </c>
      <c r="D658" s="1" t="s">
        <v>400</v>
      </c>
      <c r="E658" s="1" t="s">
        <v>474</v>
      </c>
      <c r="F658" s="1" t="s">
        <v>238</v>
      </c>
      <c r="G658" s="1" t="s">
        <v>65</v>
      </c>
      <c r="H658" s="1" t="s">
        <v>17</v>
      </c>
      <c r="I658" s="1">
        <v>0</v>
      </c>
      <c r="J658" s="1">
        <v>0</v>
      </c>
      <c r="K658" s="1" t="s">
        <v>58</v>
      </c>
      <c r="L658" s="1" t="s">
        <v>19</v>
      </c>
      <c r="M658" s="1" t="str">
        <f t="shared" si="10"/>
        <v xml:space="preserve">2006|38881| 18:00 |Group G|Gottlieb-Daimler-Stadion|Stuttgart |Germany|France|0|0|Switzerland| </v>
      </c>
    </row>
    <row r="659" spans="1:13" hidden="1" x14ac:dyDescent="0.2">
      <c r="A659" s="1">
        <v>2006</v>
      </c>
      <c r="B659" s="2" t="d">
        <v>2006-06-13</v>
      </c>
      <c r="C659" s="1" t="s">
        <v>268</v>
      </c>
      <c r="D659" s="1" t="s">
        <v>310</v>
      </c>
      <c r="E659" s="1" t="s">
        <v>222</v>
      </c>
      <c r="F659" s="1" t="s">
        <v>475</v>
      </c>
      <c r="G659" s="1" t="s">
        <v>65</v>
      </c>
      <c r="H659" s="1" t="s">
        <v>27</v>
      </c>
      <c r="I659" s="1">
        <v>1</v>
      </c>
      <c r="J659" s="1">
        <v>0</v>
      </c>
      <c r="K659" s="1" t="s">
        <v>399</v>
      </c>
      <c r="L659" s="1" t="s">
        <v>19</v>
      </c>
      <c r="M659" s="1" t="str">
        <f t="shared" si="10"/>
        <v xml:space="preserve">2006|38881| 21:00 |Group F|Olympiastadion|Berlin |Germany|Brazil|1|0|Croatia| </v>
      </c>
    </row>
    <row r="660" spans="1:13" hidden="1" x14ac:dyDescent="0.2">
      <c r="A660" s="1">
        <v>2006</v>
      </c>
      <c r="B660" s="2" t="d">
        <v>2006-06-14</v>
      </c>
      <c r="C660" s="1" t="s">
        <v>12</v>
      </c>
      <c r="D660" s="1" t="s">
        <v>394</v>
      </c>
      <c r="E660" s="1" t="s">
        <v>460</v>
      </c>
      <c r="F660" s="1" t="s">
        <v>461</v>
      </c>
      <c r="G660" s="1" t="s">
        <v>65</v>
      </c>
      <c r="H660" s="1" t="s">
        <v>68</v>
      </c>
      <c r="I660" s="1">
        <v>4</v>
      </c>
      <c r="J660" s="1">
        <v>0</v>
      </c>
      <c r="K660" s="1" t="s">
        <v>476</v>
      </c>
      <c r="L660" s="1" t="s">
        <v>19</v>
      </c>
      <c r="M660" s="1" t="str">
        <f t="shared" si="10"/>
        <v xml:space="preserve">2006|38882| 15:00 |Group H|Zentralstadion|Leipzig |Germany|Spain|4|0|Ukraine| </v>
      </c>
    </row>
    <row r="661" spans="1:13" hidden="1" x14ac:dyDescent="0.2">
      <c r="A661" s="1">
        <v>2006</v>
      </c>
      <c r="B661" s="2" t="d">
        <v>2006-06-14</v>
      </c>
      <c r="C661" s="1" t="s">
        <v>75</v>
      </c>
      <c r="D661" s="1" t="s">
        <v>394</v>
      </c>
      <c r="E661" s="1" t="s">
        <v>453</v>
      </c>
      <c r="F661" s="1" t="s">
        <v>235</v>
      </c>
      <c r="G661" s="1" t="s">
        <v>65</v>
      </c>
      <c r="H661" s="1" t="s">
        <v>251</v>
      </c>
      <c r="I661" s="1">
        <v>2</v>
      </c>
      <c r="J661" s="1">
        <v>2</v>
      </c>
      <c r="K661" s="1" t="s">
        <v>371</v>
      </c>
      <c r="L661" s="1" t="s">
        <v>19</v>
      </c>
      <c r="M661" s="1" t="str">
        <f t="shared" si="10"/>
        <v xml:space="preserve">2006|38882| 18:00 |Group H|FIFA World Cup Stadium, Munich|Munich |Germany|Tunisia|2|2|Saudi Arabia| </v>
      </c>
    </row>
    <row r="662" spans="1:13" x14ac:dyDescent="0.2">
      <c r="A662" s="1">
        <v>2006</v>
      </c>
      <c r="B662" s="2" t="d">
        <v>2006-06-14</v>
      </c>
      <c r="C662" s="1" t="s">
        <v>268</v>
      </c>
      <c r="D662" s="1" t="s">
        <v>242</v>
      </c>
      <c r="E662" s="1" t="s">
        <v>456</v>
      </c>
      <c r="F662" s="1" t="s">
        <v>229</v>
      </c>
      <c r="G662" s="1" t="s">
        <v>65</v>
      </c>
      <c r="H662" s="1" t="s">
        <v>65</v>
      </c>
      <c r="I662" s="1">
        <v>1</v>
      </c>
      <c r="J662" s="1">
        <v>0</v>
      </c>
      <c r="K662" s="1" t="s">
        <v>96</v>
      </c>
      <c r="L662" s="1" t="s">
        <v>19</v>
      </c>
      <c r="M662" s="1" t="str">
        <f t="shared" si="10"/>
        <v xml:space="preserve">2006|38882| 21:00 |Group A|FIFA World Cup Stadium, Dortmund|Dortmund |Germany|Germany|1|0|Poland| </v>
      </c>
    </row>
    <row r="663" spans="1:13" hidden="1" x14ac:dyDescent="0.2">
      <c r="A663" s="1">
        <v>2006</v>
      </c>
      <c r="B663" s="2" t="d">
        <v>2006-06-15</v>
      </c>
      <c r="C663" s="1" t="s">
        <v>12</v>
      </c>
      <c r="D663" s="1" t="s">
        <v>242</v>
      </c>
      <c r="E663" s="1" t="s">
        <v>458</v>
      </c>
      <c r="F663" s="1" t="s">
        <v>225</v>
      </c>
      <c r="G663" s="1" t="s">
        <v>65</v>
      </c>
      <c r="H663" s="1" t="s">
        <v>423</v>
      </c>
      <c r="I663" s="1">
        <v>3</v>
      </c>
      <c r="J663" s="1">
        <v>0</v>
      </c>
      <c r="K663" s="1" t="s">
        <v>337</v>
      </c>
      <c r="L663" s="1" t="s">
        <v>19</v>
      </c>
      <c r="M663" s="1" t="str">
        <f t="shared" si="10"/>
        <v xml:space="preserve">2006|38883| 15:00 |Group A|FIFA World Cup Stadium, Hamburg|Hamburg |Germany|Ecuador|3|0|Costa Rica| </v>
      </c>
    </row>
    <row r="664" spans="1:13" hidden="1" x14ac:dyDescent="0.2">
      <c r="A664" s="1">
        <v>2006</v>
      </c>
      <c r="B664" s="2" t="d">
        <v>2006-06-15</v>
      </c>
      <c r="C664" s="1" t="s">
        <v>75</v>
      </c>
      <c r="D664" s="1" t="s">
        <v>241</v>
      </c>
      <c r="E664" s="1" t="s">
        <v>463</v>
      </c>
      <c r="F664" s="1" t="s">
        <v>464</v>
      </c>
      <c r="G664" s="1" t="s">
        <v>65</v>
      </c>
      <c r="H664" s="1" t="s">
        <v>110</v>
      </c>
      <c r="I664" s="1">
        <v>2</v>
      </c>
      <c r="J664" s="1">
        <v>0</v>
      </c>
      <c r="K664" s="1" t="s">
        <v>457</v>
      </c>
      <c r="L664" s="1" t="s">
        <v>19</v>
      </c>
      <c r="M664" s="1" t="str">
        <f t="shared" si="10"/>
        <v xml:space="preserve">2006|38883| 18:00 |Group B|Franken-Stadion|Nuremberg |Germany|England|2|0|Trinidad and Tobago| </v>
      </c>
    </row>
    <row r="665" spans="1:13" hidden="1" x14ac:dyDescent="0.2">
      <c r="A665" s="1">
        <v>2006</v>
      </c>
      <c r="B665" s="2" t="d">
        <v>2006-06-15</v>
      </c>
      <c r="C665" s="1" t="s">
        <v>268</v>
      </c>
      <c r="D665" s="1" t="s">
        <v>241</v>
      </c>
      <c r="E665" s="1" t="s">
        <v>222</v>
      </c>
      <c r="F665" s="1" t="s">
        <v>475</v>
      </c>
      <c r="G665" s="1" t="s">
        <v>65</v>
      </c>
      <c r="H665" s="1" t="s">
        <v>62</v>
      </c>
      <c r="I665" s="1">
        <v>1</v>
      </c>
      <c r="J665" s="1">
        <v>0</v>
      </c>
      <c r="K665" s="1" t="s">
        <v>37</v>
      </c>
      <c r="L665" s="1" t="s">
        <v>19</v>
      </c>
      <c r="M665" s="1" t="str">
        <f t="shared" si="10"/>
        <v xml:space="preserve">2006|38883| 21:00 |Group B|Olympiastadion|Berlin |Germany|Sweden|1|0|Paraguay| </v>
      </c>
    </row>
    <row r="666" spans="1:13" hidden="1" x14ac:dyDescent="0.2">
      <c r="A666" s="1">
        <v>2006</v>
      </c>
      <c r="B666" s="2" t="d">
        <v>2006-06-16</v>
      </c>
      <c r="C666" s="1" t="s">
        <v>12</v>
      </c>
      <c r="D666" s="1" t="s">
        <v>304</v>
      </c>
      <c r="E666" s="1" t="s">
        <v>454</v>
      </c>
      <c r="F666" s="1" t="s">
        <v>240</v>
      </c>
      <c r="G666" s="1" t="s">
        <v>65</v>
      </c>
      <c r="H666" s="1" t="s">
        <v>33</v>
      </c>
      <c r="I666" s="1">
        <v>6</v>
      </c>
      <c r="J666" s="1">
        <v>0</v>
      </c>
      <c r="K666" s="1" t="s">
        <v>462</v>
      </c>
      <c r="L666" s="1" t="s">
        <v>19</v>
      </c>
      <c r="M666" s="1" t="str">
        <f t="shared" si="10"/>
        <v xml:space="preserve">2006|38884| 15:00 |Group C|FIFA World Cup Stadium, Gelsenkirchen|Gelsenkirchen |Germany|Argentina|6|0|Serbia and Montenegro| </v>
      </c>
    </row>
    <row r="667" spans="1:13" hidden="1" x14ac:dyDescent="0.2">
      <c r="A667" s="1">
        <v>2006</v>
      </c>
      <c r="B667" s="2" t="d">
        <v>2006-06-16</v>
      </c>
      <c r="C667" s="1" t="s">
        <v>75</v>
      </c>
      <c r="D667" s="1" t="s">
        <v>304</v>
      </c>
      <c r="E667" s="1" t="s">
        <v>474</v>
      </c>
      <c r="F667" s="1" t="s">
        <v>238</v>
      </c>
      <c r="G667" s="1" t="s">
        <v>65</v>
      </c>
      <c r="H667" s="1" t="s">
        <v>59</v>
      </c>
      <c r="I667" s="1">
        <v>2</v>
      </c>
      <c r="J667" s="1">
        <v>1</v>
      </c>
      <c r="K667" s="1" t="s">
        <v>459</v>
      </c>
      <c r="L667" s="1" t="s">
        <v>19</v>
      </c>
      <c r="M667" s="1" t="str">
        <f t="shared" si="10"/>
        <v xml:space="preserve">2006|38884| 18:00 |Group C|Gottlieb-Daimler-Stadion|Stuttgart |Germany|Netherlands|2|1|Cï¿½te d'Ivoire| </v>
      </c>
    </row>
    <row r="668" spans="1:13" hidden="1" x14ac:dyDescent="0.2">
      <c r="A668" s="1">
        <v>2006</v>
      </c>
      <c r="B668" s="2" t="d">
        <v>2006-06-16</v>
      </c>
      <c r="C668" s="1" t="s">
        <v>268</v>
      </c>
      <c r="D668" s="1" t="s">
        <v>306</v>
      </c>
      <c r="E668" s="1" t="s">
        <v>471</v>
      </c>
      <c r="F668" s="1" t="s">
        <v>232</v>
      </c>
      <c r="G668" s="1" t="s">
        <v>65</v>
      </c>
      <c r="H668" s="1" t="s">
        <v>18</v>
      </c>
      <c r="I668" s="1">
        <v>0</v>
      </c>
      <c r="J668" s="1">
        <v>0</v>
      </c>
      <c r="K668" s="1" t="s">
        <v>467</v>
      </c>
      <c r="L668" s="1" t="s">
        <v>19</v>
      </c>
      <c r="M668" s="1" t="str">
        <f t="shared" si="10"/>
        <v xml:space="preserve">2006|38884| 21:00 |Group D|FIFA World Cup Stadium, Hanover|Hanover |Germany|Mexico|0|0|Angola| </v>
      </c>
    </row>
    <row r="669" spans="1:13" hidden="1" x14ac:dyDescent="0.2">
      <c r="A669" s="1">
        <v>2006</v>
      </c>
      <c r="B669" s="2" t="d">
        <v>2006-06-17</v>
      </c>
      <c r="C669" s="1" t="s">
        <v>12</v>
      </c>
      <c r="D669" s="1" t="s">
        <v>306</v>
      </c>
      <c r="E669" s="1" t="s">
        <v>455</v>
      </c>
      <c r="F669" s="1" t="s">
        <v>221</v>
      </c>
      <c r="G669" s="1" t="s">
        <v>65</v>
      </c>
      <c r="H669" s="1" t="s">
        <v>197</v>
      </c>
      <c r="I669" s="1">
        <v>2</v>
      </c>
      <c r="J669" s="1">
        <v>0</v>
      </c>
      <c r="K669" s="1" t="s">
        <v>258</v>
      </c>
      <c r="L669" s="1" t="s">
        <v>19</v>
      </c>
      <c r="M669" s="1" t="str">
        <f t="shared" si="10"/>
        <v xml:space="preserve">2006|38885| 15:00 |Group D|FIFA World Cup Stadium, Frankfurt|Frankfurt/Main |Germany|Portugal|2|0|IR Iran| </v>
      </c>
    </row>
    <row r="670" spans="1:13" hidden="1" x14ac:dyDescent="0.2">
      <c r="A670" s="1">
        <v>2006</v>
      </c>
      <c r="B670" s="2" t="d">
        <v>2006-06-17</v>
      </c>
      <c r="C670" s="1" t="s">
        <v>75</v>
      </c>
      <c r="D670" s="1" t="s">
        <v>317</v>
      </c>
      <c r="E670" s="1" t="s">
        <v>465</v>
      </c>
      <c r="F670" s="1" t="s">
        <v>466</v>
      </c>
      <c r="G670" s="1" t="s">
        <v>65</v>
      </c>
      <c r="H670" s="1" t="s">
        <v>470</v>
      </c>
      <c r="I670" s="1">
        <v>0</v>
      </c>
      <c r="J670" s="1">
        <v>2</v>
      </c>
      <c r="K670" s="1" t="s">
        <v>472</v>
      </c>
      <c r="L670" s="1" t="s">
        <v>19</v>
      </c>
      <c r="M670" s="1" t="str">
        <f t="shared" si="10"/>
        <v xml:space="preserve">2006|38885| 18:00 |Group E|FIFA World Cup Stadium, Cologne|Cologne |Germany|Czech Republic|0|2|Ghana| </v>
      </c>
    </row>
    <row r="671" spans="1:13" hidden="1" x14ac:dyDescent="0.2">
      <c r="A671" s="1">
        <v>2006</v>
      </c>
      <c r="B671" s="2" t="d">
        <v>2006-06-17</v>
      </c>
      <c r="C671" s="1" t="s">
        <v>268</v>
      </c>
      <c r="D671" s="1" t="s">
        <v>317</v>
      </c>
      <c r="E671" s="1" t="s">
        <v>468</v>
      </c>
      <c r="F671" s="1" t="s">
        <v>469</v>
      </c>
      <c r="G671" s="1" t="s">
        <v>65</v>
      </c>
      <c r="H671" s="1" t="s">
        <v>49</v>
      </c>
      <c r="I671" s="1">
        <v>1</v>
      </c>
      <c r="J671" s="1">
        <v>1</v>
      </c>
      <c r="K671" s="1" t="s">
        <v>22</v>
      </c>
      <c r="L671" s="1" t="s">
        <v>19</v>
      </c>
      <c r="M671" s="1" t="str">
        <f t="shared" si="10"/>
        <v xml:space="preserve">2006|38885| 21:00 |Group E|Fritz-Walter-Stadion|Kaiserslautern |Germany|Italy|1|1|USA| </v>
      </c>
    </row>
    <row r="672" spans="1:13" hidden="1" x14ac:dyDescent="0.2">
      <c r="A672" s="1">
        <v>2006</v>
      </c>
      <c r="B672" s="2" t="d">
        <v>2006-06-18</v>
      </c>
      <c r="C672" s="1" t="s">
        <v>12</v>
      </c>
      <c r="D672" s="1" t="s">
        <v>310</v>
      </c>
      <c r="E672" s="1" t="s">
        <v>463</v>
      </c>
      <c r="F672" s="1" t="s">
        <v>464</v>
      </c>
      <c r="G672" s="1" t="s">
        <v>65</v>
      </c>
      <c r="H672" s="1" t="s">
        <v>395</v>
      </c>
      <c r="I672" s="1">
        <v>0</v>
      </c>
      <c r="J672" s="1">
        <v>0</v>
      </c>
      <c r="K672" s="1" t="s">
        <v>399</v>
      </c>
      <c r="L672" s="1" t="s">
        <v>19</v>
      </c>
      <c r="M672" s="1" t="str">
        <f t="shared" si="10"/>
        <v xml:space="preserve">2006|38886| 15:00 |Group F|Franken-Stadion|Nuremberg |Germany|Japan|0|0|Croatia| </v>
      </c>
    </row>
    <row r="673" spans="1:13" hidden="1" x14ac:dyDescent="0.2">
      <c r="A673" s="1">
        <v>2006</v>
      </c>
      <c r="B673" s="2" t="d">
        <v>2006-06-18</v>
      </c>
      <c r="C673" s="1" t="s">
        <v>75</v>
      </c>
      <c r="D673" s="1" t="s">
        <v>310</v>
      </c>
      <c r="E673" s="1" t="s">
        <v>453</v>
      </c>
      <c r="F673" s="1" t="s">
        <v>235</v>
      </c>
      <c r="G673" s="1" t="s">
        <v>65</v>
      </c>
      <c r="H673" s="1" t="s">
        <v>27</v>
      </c>
      <c r="I673" s="1">
        <v>2</v>
      </c>
      <c r="J673" s="1">
        <v>0</v>
      </c>
      <c r="K673" s="1" t="s">
        <v>227</v>
      </c>
      <c r="L673" s="1" t="s">
        <v>19</v>
      </c>
      <c r="M673" s="1" t="str">
        <f t="shared" si="10"/>
        <v xml:space="preserve">2006|38886| 18:00 |Group F|FIFA World Cup Stadium, Munich|Munich |Germany|Brazil|2|0|Australia| </v>
      </c>
    </row>
    <row r="674" spans="1:13" hidden="1" x14ac:dyDescent="0.2">
      <c r="A674" s="1">
        <v>2006</v>
      </c>
      <c r="B674" s="2" t="d">
        <v>2006-06-18</v>
      </c>
      <c r="C674" s="1" t="s">
        <v>268</v>
      </c>
      <c r="D674" s="1" t="s">
        <v>400</v>
      </c>
      <c r="E674" s="1" t="s">
        <v>460</v>
      </c>
      <c r="F674" s="1" t="s">
        <v>461</v>
      </c>
      <c r="G674" s="1" t="s">
        <v>65</v>
      </c>
      <c r="H674" s="1" t="s">
        <v>17</v>
      </c>
      <c r="I674" s="1">
        <v>1</v>
      </c>
      <c r="J674" s="1">
        <v>1</v>
      </c>
      <c r="K674" s="1" t="s">
        <v>135</v>
      </c>
      <c r="L674" s="1" t="s">
        <v>19</v>
      </c>
      <c r="M674" s="1" t="str">
        <f t="shared" si="10"/>
        <v xml:space="preserve">2006|38886| 21:00 |Group G|Zentralstadion|Leipzig |Germany|France|1|1|Korea Republic| </v>
      </c>
    </row>
    <row r="675" spans="1:13" hidden="1" x14ac:dyDescent="0.2">
      <c r="A675" s="1">
        <v>2006</v>
      </c>
      <c r="B675" s="2" t="d">
        <v>2006-06-19</v>
      </c>
      <c r="C675" s="1" t="s">
        <v>12</v>
      </c>
      <c r="D675" s="1" t="s">
        <v>400</v>
      </c>
      <c r="E675" s="1" t="s">
        <v>456</v>
      </c>
      <c r="F675" s="1" t="s">
        <v>229</v>
      </c>
      <c r="G675" s="1" t="s">
        <v>65</v>
      </c>
      <c r="H675" s="1" t="s">
        <v>473</v>
      </c>
      <c r="I675" s="1">
        <v>0</v>
      </c>
      <c r="J675" s="1">
        <v>2</v>
      </c>
      <c r="K675" s="1" t="s">
        <v>58</v>
      </c>
      <c r="L675" s="1" t="s">
        <v>19</v>
      </c>
      <c r="M675" s="1" t="str">
        <f t="shared" si="10"/>
        <v xml:space="preserve">2006|38887| 15:00 |Group G|FIFA World Cup Stadium, Dortmund|Dortmund |Germany|Togo|0|2|Switzerland| </v>
      </c>
    </row>
    <row r="676" spans="1:13" hidden="1" x14ac:dyDescent="0.2">
      <c r="A676" s="1">
        <v>2006</v>
      </c>
      <c r="B676" s="2" t="d">
        <v>2006-06-19</v>
      </c>
      <c r="C676" s="1" t="s">
        <v>75</v>
      </c>
      <c r="D676" s="1" t="s">
        <v>394</v>
      </c>
      <c r="E676" s="1" t="s">
        <v>458</v>
      </c>
      <c r="F676" s="1" t="s">
        <v>225</v>
      </c>
      <c r="G676" s="1" t="s">
        <v>65</v>
      </c>
      <c r="H676" s="1" t="s">
        <v>371</v>
      </c>
      <c r="I676" s="1">
        <v>0</v>
      </c>
      <c r="J676" s="1">
        <v>4</v>
      </c>
      <c r="K676" s="1" t="s">
        <v>476</v>
      </c>
      <c r="L676" s="1" t="s">
        <v>19</v>
      </c>
      <c r="M676" s="1" t="str">
        <f t="shared" si="10"/>
        <v xml:space="preserve">2006|38887| 18:00 |Group H|FIFA World Cup Stadium, Hamburg|Hamburg |Germany|Saudi Arabia|0|4|Ukraine| </v>
      </c>
    </row>
    <row r="677" spans="1:13" hidden="1" x14ac:dyDescent="0.2">
      <c r="A677" s="1">
        <v>2006</v>
      </c>
      <c r="B677" s="2" t="d">
        <v>2006-06-19</v>
      </c>
      <c r="C677" s="1" t="s">
        <v>268</v>
      </c>
      <c r="D677" s="1" t="s">
        <v>394</v>
      </c>
      <c r="E677" s="1" t="s">
        <v>474</v>
      </c>
      <c r="F677" s="1" t="s">
        <v>238</v>
      </c>
      <c r="G677" s="1" t="s">
        <v>65</v>
      </c>
      <c r="H677" s="1" t="s">
        <v>68</v>
      </c>
      <c r="I677" s="1">
        <v>3</v>
      </c>
      <c r="J677" s="1">
        <v>1</v>
      </c>
      <c r="K677" s="1" t="s">
        <v>251</v>
      </c>
      <c r="L677" s="1" t="s">
        <v>19</v>
      </c>
      <c r="M677" s="1" t="str">
        <f t="shared" si="10"/>
        <v xml:space="preserve">2006|38887| 21:00 |Group H|Gottlieb-Daimler-Stadion|Stuttgart |Germany|Spain|3|1|Tunisia| </v>
      </c>
    </row>
    <row r="678" spans="1:13" hidden="1" x14ac:dyDescent="0.2">
      <c r="A678" s="1">
        <v>2006</v>
      </c>
      <c r="B678" s="2" t="d">
        <v>2006-06-20</v>
      </c>
      <c r="C678" s="1" t="s">
        <v>32</v>
      </c>
      <c r="D678" s="1" t="s">
        <v>242</v>
      </c>
      <c r="E678" s="1" t="s">
        <v>222</v>
      </c>
      <c r="F678" s="1" t="s">
        <v>475</v>
      </c>
      <c r="G678" s="1" t="s">
        <v>65</v>
      </c>
      <c r="H678" s="1" t="s">
        <v>423</v>
      </c>
      <c r="I678" s="1">
        <v>0</v>
      </c>
      <c r="J678" s="1">
        <v>3</v>
      </c>
      <c r="K678" s="1" t="s">
        <v>65</v>
      </c>
      <c r="L678" s="1" t="s">
        <v>19</v>
      </c>
      <c r="M678" s="1" t="str">
        <f t="shared" si="10"/>
        <v xml:space="preserve">2006|38888| 16:00 |Group A|Olympiastadion|Berlin |Germany|Ecuador|0|3|Germany| </v>
      </c>
    </row>
    <row r="679" spans="1:13" hidden="1" x14ac:dyDescent="0.2">
      <c r="A679" s="1">
        <v>2006</v>
      </c>
      <c r="B679" s="2" t="d">
        <v>2006-06-20</v>
      </c>
      <c r="C679" s="1" t="s">
        <v>32</v>
      </c>
      <c r="D679" s="1" t="s">
        <v>242</v>
      </c>
      <c r="E679" s="1" t="s">
        <v>471</v>
      </c>
      <c r="F679" s="1" t="s">
        <v>232</v>
      </c>
      <c r="G679" s="1" t="s">
        <v>65</v>
      </c>
      <c r="H679" s="1" t="s">
        <v>337</v>
      </c>
      <c r="I679" s="1">
        <v>1</v>
      </c>
      <c r="J679" s="1">
        <v>2</v>
      </c>
      <c r="K679" s="1" t="s">
        <v>96</v>
      </c>
      <c r="L679" s="1" t="s">
        <v>19</v>
      </c>
      <c r="M679" s="1" t="str">
        <f t="shared" si="10"/>
        <v xml:space="preserve">2006|38888| 16:00 |Group A|FIFA World Cup Stadium, Hanover|Hanover |Germany|Costa Rica|1|2|Poland| </v>
      </c>
    </row>
    <row r="680" spans="1:13" hidden="1" x14ac:dyDescent="0.2">
      <c r="A680" s="1">
        <v>2006</v>
      </c>
      <c r="B680" s="2" t="d">
        <v>2006-06-20</v>
      </c>
      <c r="C680" s="1" t="s">
        <v>268</v>
      </c>
      <c r="D680" s="1" t="s">
        <v>241</v>
      </c>
      <c r="E680" s="1" t="s">
        <v>465</v>
      </c>
      <c r="F680" s="1" t="s">
        <v>466</v>
      </c>
      <c r="G680" s="1" t="s">
        <v>65</v>
      </c>
      <c r="H680" s="1" t="s">
        <v>62</v>
      </c>
      <c r="I680" s="1">
        <v>2</v>
      </c>
      <c r="J680" s="1">
        <v>2</v>
      </c>
      <c r="K680" s="1" t="s">
        <v>110</v>
      </c>
      <c r="L680" s="1" t="s">
        <v>19</v>
      </c>
      <c r="M680" s="1" t="str">
        <f t="shared" si="10"/>
        <v xml:space="preserve">2006|38888| 21:00 |Group B|FIFA World Cup Stadium, Cologne|Cologne |Germany|Sweden|2|2|England| </v>
      </c>
    </row>
    <row r="681" spans="1:13" hidden="1" x14ac:dyDescent="0.2">
      <c r="A681" s="1">
        <v>2006</v>
      </c>
      <c r="B681" s="2" t="d">
        <v>2006-06-20</v>
      </c>
      <c r="C681" s="1" t="s">
        <v>268</v>
      </c>
      <c r="D681" s="1" t="s">
        <v>241</v>
      </c>
      <c r="E681" s="1" t="s">
        <v>468</v>
      </c>
      <c r="F681" s="1" t="s">
        <v>469</v>
      </c>
      <c r="G681" s="1" t="s">
        <v>65</v>
      </c>
      <c r="H681" s="1" t="s">
        <v>37</v>
      </c>
      <c r="I681" s="1">
        <v>2</v>
      </c>
      <c r="J681" s="1">
        <v>0</v>
      </c>
      <c r="K681" s="1" t="s">
        <v>457</v>
      </c>
      <c r="L681" s="1" t="s">
        <v>19</v>
      </c>
      <c r="M681" s="1" t="str">
        <f t="shared" si="10"/>
        <v xml:space="preserve">2006|38888| 21:00 |Group B|Fritz-Walter-Stadion|Kaiserslautern |Germany|Paraguay|2|0|Trinidad and Tobago| </v>
      </c>
    </row>
    <row r="682" spans="1:13" hidden="1" x14ac:dyDescent="0.2">
      <c r="A682" s="1">
        <v>2006</v>
      </c>
      <c r="B682" s="2" t="d">
        <v>2006-06-21</v>
      </c>
      <c r="C682" s="1" t="s">
        <v>32</v>
      </c>
      <c r="D682" s="1" t="s">
        <v>306</v>
      </c>
      <c r="E682" s="1" t="s">
        <v>460</v>
      </c>
      <c r="F682" s="1" t="s">
        <v>461</v>
      </c>
      <c r="G682" s="1" t="s">
        <v>65</v>
      </c>
      <c r="H682" s="1" t="s">
        <v>260</v>
      </c>
      <c r="I682" s="1">
        <v>1</v>
      </c>
      <c r="J682" s="1">
        <v>1</v>
      </c>
      <c r="K682" s="1" t="s">
        <v>467</v>
      </c>
      <c r="L682" s="1" t="s">
        <v>19</v>
      </c>
      <c r="M682" s="1" t="str">
        <f t="shared" si="10"/>
        <v xml:space="preserve">2006|38889| 16:00 |Group D|Zentralstadion|Leipzig |Germany|Iran|1|1|Angola| </v>
      </c>
    </row>
    <row r="683" spans="1:13" hidden="1" x14ac:dyDescent="0.2">
      <c r="A683" s="1">
        <v>2006</v>
      </c>
      <c r="B683" s="2" t="d">
        <v>2006-06-21</v>
      </c>
      <c r="C683" s="1" t="s">
        <v>32</v>
      </c>
      <c r="D683" s="1" t="s">
        <v>306</v>
      </c>
      <c r="E683" s="1" t="s">
        <v>454</v>
      </c>
      <c r="F683" s="1" t="s">
        <v>240</v>
      </c>
      <c r="G683" s="1" t="s">
        <v>65</v>
      </c>
      <c r="H683" s="1" t="s">
        <v>197</v>
      </c>
      <c r="I683" s="1">
        <v>2</v>
      </c>
      <c r="J683" s="1">
        <v>1</v>
      </c>
      <c r="K683" s="1" t="s">
        <v>18</v>
      </c>
      <c r="L683" s="1" t="s">
        <v>19</v>
      </c>
      <c r="M683" s="1" t="str">
        <f t="shared" si="10"/>
        <v xml:space="preserve">2006|38889| 16:00 |Group D|FIFA World Cup Stadium, Gelsenkirchen|Gelsenkirchen |Germany|Portugal|2|1|Mexico| </v>
      </c>
    </row>
    <row r="684" spans="1:13" hidden="1" x14ac:dyDescent="0.2">
      <c r="A684" s="1">
        <v>2006</v>
      </c>
      <c r="B684" s="2" t="d">
        <v>2006-06-21</v>
      </c>
      <c r="C684" s="1" t="s">
        <v>268</v>
      </c>
      <c r="D684" s="1" t="s">
        <v>304</v>
      </c>
      <c r="E684" s="1" t="s">
        <v>455</v>
      </c>
      <c r="F684" s="1" t="s">
        <v>221</v>
      </c>
      <c r="G684" s="1" t="s">
        <v>65</v>
      </c>
      <c r="H684" s="1" t="s">
        <v>59</v>
      </c>
      <c r="I684" s="1">
        <v>0</v>
      </c>
      <c r="J684" s="1">
        <v>0</v>
      </c>
      <c r="K684" s="1" t="s">
        <v>33</v>
      </c>
      <c r="L684" s="1" t="s">
        <v>19</v>
      </c>
      <c r="M684" s="1" t="str">
        <f t="shared" si="10"/>
        <v xml:space="preserve">2006|38889| 21:00 |Group C|FIFA World Cup Stadium, Frankfurt|Frankfurt/Main |Germany|Netherlands|0|0|Argentina| </v>
      </c>
    </row>
    <row r="685" spans="1:13" hidden="1" x14ac:dyDescent="0.2">
      <c r="A685" s="1">
        <v>2006</v>
      </c>
      <c r="B685" s="2" t="d">
        <v>2006-06-21</v>
      </c>
      <c r="C685" s="1" t="s">
        <v>268</v>
      </c>
      <c r="D685" s="1" t="s">
        <v>304</v>
      </c>
      <c r="E685" s="1" t="s">
        <v>453</v>
      </c>
      <c r="F685" s="1" t="s">
        <v>235</v>
      </c>
      <c r="G685" s="1" t="s">
        <v>65</v>
      </c>
      <c r="H685" s="1" t="s">
        <v>459</v>
      </c>
      <c r="I685" s="1">
        <v>3</v>
      </c>
      <c r="J685" s="1">
        <v>2</v>
      </c>
      <c r="K685" s="1" t="s">
        <v>462</v>
      </c>
      <c r="L685" s="1" t="s">
        <v>19</v>
      </c>
      <c r="M685" s="1" t="str">
        <f t="shared" si="10"/>
        <v xml:space="preserve">2006|38889| 21:00 |Group C|FIFA World Cup Stadium, Munich|Munich |Germany|Cï¿½te d'Ivoire|3|2|Serbia and Montenegro| </v>
      </c>
    </row>
    <row r="686" spans="1:13" hidden="1" x14ac:dyDescent="0.2">
      <c r="A686" s="1">
        <v>2006</v>
      </c>
      <c r="B686" s="2" t="d">
        <v>2006-06-22</v>
      </c>
      <c r="C686" s="1" t="s">
        <v>32</v>
      </c>
      <c r="D686" s="1" t="s">
        <v>317</v>
      </c>
      <c r="E686" s="1" t="s">
        <v>458</v>
      </c>
      <c r="F686" s="1" t="s">
        <v>225</v>
      </c>
      <c r="G686" s="1" t="s">
        <v>65</v>
      </c>
      <c r="H686" s="1" t="s">
        <v>470</v>
      </c>
      <c r="I686" s="1">
        <v>0</v>
      </c>
      <c r="J686" s="1">
        <v>2</v>
      </c>
      <c r="K686" s="1" t="s">
        <v>49</v>
      </c>
      <c r="L686" s="1" t="s">
        <v>19</v>
      </c>
      <c r="M686" s="1" t="str">
        <f t="shared" si="10"/>
        <v xml:space="preserve">2006|38890| 16:00 |Group E|FIFA World Cup Stadium, Hamburg|Hamburg |Germany|Czech Republic|0|2|Italy| </v>
      </c>
    </row>
    <row r="687" spans="1:13" hidden="1" x14ac:dyDescent="0.2">
      <c r="A687" s="1">
        <v>2006</v>
      </c>
      <c r="B687" s="2" t="d">
        <v>2006-06-22</v>
      </c>
      <c r="C687" s="1" t="s">
        <v>32</v>
      </c>
      <c r="D687" s="1" t="s">
        <v>317</v>
      </c>
      <c r="E687" s="1" t="s">
        <v>463</v>
      </c>
      <c r="F687" s="1" t="s">
        <v>464</v>
      </c>
      <c r="G687" s="1" t="s">
        <v>65</v>
      </c>
      <c r="H687" s="1" t="s">
        <v>472</v>
      </c>
      <c r="I687" s="1">
        <v>2</v>
      </c>
      <c r="J687" s="1">
        <v>1</v>
      </c>
      <c r="K687" s="1" t="s">
        <v>22</v>
      </c>
      <c r="L687" s="1" t="s">
        <v>19</v>
      </c>
      <c r="M687" s="1" t="str">
        <f t="shared" si="10"/>
        <v xml:space="preserve">2006|38890| 16:00 |Group E|Franken-Stadion|Nuremberg |Germany|Ghana|2|1|USA| </v>
      </c>
    </row>
    <row r="688" spans="1:13" hidden="1" x14ac:dyDescent="0.2">
      <c r="A688" s="1">
        <v>2006</v>
      </c>
      <c r="B688" s="2" t="d">
        <v>2006-06-22</v>
      </c>
      <c r="C688" s="1" t="s">
        <v>268</v>
      </c>
      <c r="D688" s="1" t="s">
        <v>310</v>
      </c>
      <c r="E688" s="1" t="s">
        <v>456</v>
      </c>
      <c r="F688" s="1" t="s">
        <v>229</v>
      </c>
      <c r="G688" s="1" t="s">
        <v>65</v>
      </c>
      <c r="H688" s="1" t="s">
        <v>395</v>
      </c>
      <c r="I688" s="1">
        <v>1</v>
      </c>
      <c r="J688" s="1">
        <v>4</v>
      </c>
      <c r="K688" s="1" t="s">
        <v>27</v>
      </c>
      <c r="L688" s="1" t="s">
        <v>19</v>
      </c>
      <c r="M688" s="1" t="str">
        <f t="shared" si="10"/>
        <v xml:space="preserve">2006|38890| 21:00 |Group F|FIFA World Cup Stadium, Dortmund|Dortmund |Germany|Japan|1|4|Brazil| </v>
      </c>
    </row>
    <row r="689" spans="1:13" hidden="1" x14ac:dyDescent="0.2">
      <c r="A689" s="1">
        <v>2006</v>
      </c>
      <c r="B689" s="2" t="d">
        <v>2006-06-22</v>
      </c>
      <c r="C689" s="1" t="s">
        <v>268</v>
      </c>
      <c r="D689" s="1" t="s">
        <v>310</v>
      </c>
      <c r="E689" s="1" t="s">
        <v>474</v>
      </c>
      <c r="F689" s="1" t="s">
        <v>238</v>
      </c>
      <c r="G689" s="1" t="s">
        <v>65</v>
      </c>
      <c r="H689" s="1" t="s">
        <v>399</v>
      </c>
      <c r="I689" s="1">
        <v>2</v>
      </c>
      <c r="J689" s="1">
        <v>2</v>
      </c>
      <c r="K689" s="1" t="s">
        <v>227</v>
      </c>
      <c r="L689" s="1" t="s">
        <v>19</v>
      </c>
      <c r="M689" s="1" t="str">
        <f t="shared" si="10"/>
        <v xml:space="preserve">2006|38890| 21:00 |Group F|Gottlieb-Daimler-Stadion|Stuttgart |Germany|Croatia|2|2|Australia| </v>
      </c>
    </row>
    <row r="690" spans="1:13" hidden="1" x14ac:dyDescent="0.2">
      <c r="A690" s="1">
        <v>2006</v>
      </c>
      <c r="B690" s="2" t="d">
        <v>2006-06-23</v>
      </c>
      <c r="C690" s="1" t="s">
        <v>32</v>
      </c>
      <c r="D690" s="1" t="s">
        <v>394</v>
      </c>
      <c r="E690" s="1" t="s">
        <v>222</v>
      </c>
      <c r="F690" s="1" t="s">
        <v>475</v>
      </c>
      <c r="G690" s="1" t="s">
        <v>65</v>
      </c>
      <c r="H690" s="1" t="s">
        <v>476</v>
      </c>
      <c r="I690" s="1">
        <v>1</v>
      </c>
      <c r="J690" s="1">
        <v>0</v>
      </c>
      <c r="K690" s="1" t="s">
        <v>251</v>
      </c>
      <c r="L690" s="1" t="s">
        <v>19</v>
      </c>
      <c r="M690" s="1" t="str">
        <f t="shared" si="10"/>
        <v xml:space="preserve">2006|38891| 16:00 |Group H|Olympiastadion|Berlin |Germany|Ukraine|1|0|Tunisia| </v>
      </c>
    </row>
    <row r="691" spans="1:13" hidden="1" x14ac:dyDescent="0.2">
      <c r="A691" s="1">
        <v>2006</v>
      </c>
      <c r="B691" s="2" t="d">
        <v>2006-06-23</v>
      </c>
      <c r="C691" s="1" t="s">
        <v>32</v>
      </c>
      <c r="D691" s="1" t="s">
        <v>394</v>
      </c>
      <c r="E691" s="1" t="s">
        <v>468</v>
      </c>
      <c r="F691" s="1" t="s">
        <v>469</v>
      </c>
      <c r="G691" s="1" t="s">
        <v>65</v>
      </c>
      <c r="H691" s="1" t="s">
        <v>371</v>
      </c>
      <c r="I691" s="1">
        <v>0</v>
      </c>
      <c r="J691" s="1">
        <v>1</v>
      </c>
      <c r="K691" s="1" t="s">
        <v>68</v>
      </c>
      <c r="L691" s="1" t="s">
        <v>19</v>
      </c>
      <c r="M691" s="1" t="str">
        <f t="shared" si="10"/>
        <v xml:space="preserve">2006|38891| 16:00 |Group H|Fritz-Walter-Stadion|Kaiserslautern |Germany|Saudi Arabia|0|1|Spain| </v>
      </c>
    </row>
    <row r="692" spans="1:13" hidden="1" x14ac:dyDescent="0.2">
      <c r="A692" s="1">
        <v>2006</v>
      </c>
      <c r="B692" s="2" t="d">
        <v>2006-06-23</v>
      </c>
      <c r="C692" s="1" t="s">
        <v>268</v>
      </c>
      <c r="D692" s="1" t="s">
        <v>400</v>
      </c>
      <c r="E692" s="1" t="s">
        <v>465</v>
      </c>
      <c r="F692" s="1" t="s">
        <v>466</v>
      </c>
      <c r="G692" s="1" t="s">
        <v>65</v>
      </c>
      <c r="H692" s="1" t="s">
        <v>473</v>
      </c>
      <c r="I692" s="1">
        <v>0</v>
      </c>
      <c r="J692" s="1">
        <v>2</v>
      </c>
      <c r="K692" s="1" t="s">
        <v>17</v>
      </c>
      <c r="L692" s="1" t="s">
        <v>19</v>
      </c>
      <c r="M692" s="1" t="str">
        <f t="shared" si="10"/>
        <v xml:space="preserve">2006|38891| 21:00 |Group G|FIFA World Cup Stadium, Cologne|Cologne |Germany|Togo|0|2|France| </v>
      </c>
    </row>
    <row r="693" spans="1:13" hidden="1" x14ac:dyDescent="0.2">
      <c r="A693" s="1">
        <v>2006</v>
      </c>
      <c r="B693" s="2" t="d">
        <v>2006-06-23</v>
      </c>
      <c r="C693" s="1" t="s">
        <v>268</v>
      </c>
      <c r="D693" s="1" t="s">
        <v>400</v>
      </c>
      <c r="E693" s="1" t="s">
        <v>471</v>
      </c>
      <c r="F693" s="1" t="s">
        <v>232</v>
      </c>
      <c r="G693" s="1" t="s">
        <v>65</v>
      </c>
      <c r="H693" s="1" t="s">
        <v>58</v>
      </c>
      <c r="I693" s="1">
        <v>2</v>
      </c>
      <c r="J693" s="1">
        <v>0</v>
      </c>
      <c r="K693" s="1" t="s">
        <v>135</v>
      </c>
      <c r="L693" s="1" t="s">
        <v>19</v>
      </c>
      <c r="M693" s="1" t="str">
        <f t="shared" si="10"/>
        <v xml:space="preserve">2006|38891| 21:00 |Group G|FIFA World Cup Stadium, Hanover|Hanover |Germany|Switzerland|2|0|Korea Republic| </v>
      </c>
    </row>
    <row r="694" spans="1:13" x14ac:dyDescent="0.2">
      <c r="A694" s="1">
        <v>2006</v>
      </c>
      <c r="B694" s="2" t="d">
        <v>2006-06-24</v>
      </c>
      <c r="C694" s="1" t="s">
        <v>79</v>
      </c>
      <c r="D694" s="12" t="s">
        <v>323</v>
      </c>
      <c r="E694" s="1" t="s">
        <v>453</v>
      </c>
      <c r="F694" s="1" t="s">
        <v>235</v>
      </c>
      <c r="G694" s="1" t="s">
        <v>65</v>
      </c>
      <c r="H694" s="1" t="s">
        <v>65</v>
      </c>
      <c r="I694" s="1">
        <v>2</v>
      </c>
      <c r="J694" s="1">
        <v>0</v>
      </c>
      <c r="K694" s="1" t="s">
        <v>62</v>
      </c>
      <c r="L694" s="1" t="s">
        <v>19</v>
      </c>
      <c r="M694" s="1" t="str">
        <f t="shared" si="10"/>
        <v xml:space="preserve">2006|38892| 17:00 |Round of 16|FIFA World Cup Stadium, Munich|Munich |Germany|Germany|2|0|Sweden| </v>
      </c>
    </row>
    <row r="695" spans="1:13" hidden="1" x14ac:dyDescent="0.2">
      <c r="A695" s="1">
        <v>2006</v>
      </c>
      <c r="B695" s="2" t="d">
        <v>2006-06-24</v>
      </c>
      <c r="C695" s="1" t="s">
        <v>268</v>
      </c>
      <c r="D695" s="12" t="s">
        <v>323</v>
      </c>
      <c r="E695" s="1" t="s">
        <v>460</v>
      </c>
      <c r="F695" s="1" t="s">
        <v>461</v>
      </c>
      <c r="G695" s="1" t="s">
        <v>65</v>
      </c>
      <c r="H695" s="1" t="s">
        <v>33</v>
      </c>
      <c r="I695" s="1">
        <v>2</v>
      </c>
      <c r="J695" s="1">
        <v>1</v>
      </c>
      <c r="K695" s="1" t="s">
        <v>18</v>
      </c>
      <c r="L695" s="1" t="s">
        <v>261</v>
      </c>
      <c r="M695" s="1" t="str">
        <f t="shared" si="10"/>
        <v xml:space="preserve">2006|38892| 21:00 |Round of 16|Zentralstadion|Leipzig |Germany|Argentina|2|1|Mexico|Argentina win after extra time </v>
      </c>
    </row>
    <row r="696" spans="1:13" hidden="1" x14ac:dyDescent="0.2">
      <c r="A696" s="1">
        <v>2006</v>
      </c>
      <c r="B696" s="2" t="d">
        <v>2006-06-25</v>
      </c>
      <c r="C696" s="1" t="s">
        <v>79</v>
      </c>
      <c r="D696" s="12" t="s">
        <v>323</v>
      </c>
      <c r="E696" s="1" t="s">
        <v>474</v>
      </c>
      <c r="F696" s="1" t="s">
        <v>238</v>
      </c>
      <c r="G696" s="1" t="s">
        <v>65</v>
      </c>
      <c r="H696" s="1" t="s">
        <v>110</v>
      </c>
      <c r="I696" s="1">
        <v>1</v>
      </c>
      <c r="J696" s="1">
        <v>0</v>
      </c>
      <c r="K696" s="1" t="s">
        <v>423</v>
      </c>
      <c r="L696" s="1" t="s">
        <v>19</v>
      </c>
      <c r="M696" s="1" t="str">
        <f t="shared" si="10"/>
        <v xml:space="preserve">2006|38893| 17:00 |Round of 16|Gottlieb-Daimler-Stadion|Stuttgart |Germany|England|1|0|Ecuador| </v>
      </c>
    </row>
    <row r="697" spans="1:13" hidden="1" x14ac:dyDescent="0.2">
      <c r="A697" s="1">
        <v>2006</v>
      </c>
      <c r="B697" s="2" t="d">
        <v>2006-06-25</v>
      </c>
      <c r="C697" s="1" t="s">
        <v>268</v>
      </c>
      <c r="D697" s="12" t="s">
        <v>323</v>
      </c>
      <c r="E697" s="1" t="s">
        <v>463</v>
      </c>
      <c r="F697" s="1" t="s">
        <v>464</v>
      </c>
      <c r="G697" s="1" t="s">
        <v>65</v>
      </c>
      <c r="H697" s="1" t="s">
        <v>197</v>
      </c>
      <c r="I697" s="1">
        <v>1</v>
      </c>
      <c r="J697" s="1">
        <v>0</v>
      </c>
      <c r="K697" s="1" t="s">
        <v>59</v>
      </c>
      <c r="L697" s="1" t="s">
        <v>19</v>
      </c>
      <c r="M697" s="1" t="str">
        <f t="shared" si="10"/>
        <v xml:space="preserve">2006|38893| 21:00 |Round of 16|Franken-Stadion|Nuremberg |Germany|Portugal|1|0|Netherlands| </v>
      </c>
    </row>
    <row r="698" spans="1:13" hidden="1" x14ac:dyDescent="0.2">
      <c r="A698" s="1">
        <v>2006</v>
      </c>
      <c r="B698" s="2" t="d">
        <v>2006-06-26</v>
      </c>
      <c r="C698" s="1" t="s">
        <v>79</v>
      </c>
      <c r="D698" s="12" t="s">
        <v>323</v>
      </c>
      <c r="E698" s="1" t="s">
        <v>468</v>
      </c>
      <c r="F698" s="1" t="s">
        <v>469</v>
      </c>
      <c r="G698" s="1" t="s">
        <v>65</v>
      </c>
      <c r="H698" s="1" t="s">
        <v>49</v>
      </c>
      <c r="I698" s="1">
        <v>1</v>
      </c>
      <c r="J698" s="1">
        <v>0</v>
      </c>
      <c r="K698" s="1" t="s">
        <v>227</v>
      </c>
      <c r="L698" s="1" t="s">
        <v>19</v>
      </c>
      <c r="M698" s="1" t="str">
        <f t="shared" si="10"/>
        <v xml:space="preserve">2006|38894| 17:00 |Round of 16|Fritz-Walter-Stadion|Kaiserslautern |Germany|Italy|1|0|Australia| </v>
      </c>
    </row>
    <row r="699" spans="1:13" hidden="1" x14ac:dyDescent="0.2">
      <c r="A699" s="1">
        <v>2006</v>
      </c>
      <c r="B699" s="2" t="d">
        <v>2006-06-26</v>
      </c>
      <c r="C699" s="1" t="s">
        <v>268</v>
      </c>
      <c r="D699" s="12" t="s">
        <v>323</v>
      </c>
      <c r="E699" s="1" t="s">
        <v>465</v>
      </c>
      <c r="F699" s="1" t="s">
        <v>466</v>
      </c>
      <c r="G699" s="1" t="s">
        <v>65</v>
      </c>
      <c r="H699" s="1" t="s">
        <v>58</v>
      </c>
      <c r="I699" s="1">
        <v>0</v>
      </c>
      <c r="J699" s="1">
        <v>0</v>
      </c>
      <c r="K699" s="1" t="s">
        <v>476</v>
      </c>
      <c r="L699" s="1" t="s">
        <v>477</v>
      </c>
      <c r="M699" s="1" t="str">
        <f t="shared" si="10"/>
        <v xml:space="preserve">2006|38894| 21:00 |Round of 16|FIFA World Cup Stadium, Cologne|Cologne |Germany|Switzerland|0|0|Ukraine|Ukraine win on penalties (0 - 3) </v>
      </c>
    </row>
    <row r="700" spans="1:13" hidden="1" x14ac:dyDescent="0.2">
      <c r="A700" s="1">
        <v>2006</v>
      </c>
      <c r="B700" s="2" t="d">
        <v>2006-06-27</v>
      </c>
      <c r="C700" s="1" t="s">
        <v>79</v>
      </c>
      <c r="D700" s="12" t="s">
        <v>323</v>
      </c>
      <c r="E700" s="1" t="s">
        <v>456</v>
      </c>
      <c r="F700" s="1" t="s">
        <v>229</v>
      </c>
      <c r="G700" s="1" t="s">
        <v>65</v>
      </c>
      <c r="H700" s="1" t="s">
        <v>27</v>
      </c>
      <c r="I700" s="1">
        <v>3</v>
      </c>
      <c r="J700" s="1">
        <v>0</v>
      </c>
      <c r="K700" s="1" t="s">
        <v>472</v>
      </c>
      <c r="L700" s="1" t="s">
        <v>19</v>
      </c>
      <c r="M700" s="1" t="str">
        <f t="shared" si="10"/>
        <v xml:space="preserve">2006|38895| 17:00 |Round of 16|FIFA World Cup Stadium, Dortmund|Dortmund |Germany|Brazil|3|0|Ghana| </v>
      </c>
    </row>
    <row r="701" spans="1:13" hidden="1" x14ac:dyDescent="0.2">
      <c r="A701" s="1">
        <v>2006</v>
      </c>
      <c r="B701" s="2" t="d">
        <v>2006-06-27</v>
      </c>
      <c r="C701" s="1" t="s">
        <v>268</v>
      </c>
      <c r="D701" s="12" t="s">
        <v>323</v>
      </c>
      <c r="E701" s="1" t="s">
        <v>471</v>
      </c>
      <c r="F701" s="1" t="s">
        <v>232</v>
      </c>
      <c r="G701" s="1" t="s">
        <v>65</v>
      </c>
      <c r="H701" s="1" t="s">
        <v>68</v>
      </c>
      <c r="I701" s="1">
        <v>1</v>
      </c>
      <c r="J701" s="1">
        <v>3</v>
      </c>
      <c r="K701" s="1" t="s">
        <v>17</v>
      </c>
      <c r="L701" s="1" t="s">
        <v>19</v>
      </c>
      <c r="M701" s="1" t="str">
        <f t="shared" si="10"/>
        <v xml:space="preserve">2006|38895| 21:00 |Round of 16|FIFA World Cup Stadium, Hanover|Hanover |Germany|Spain|1|3|France| </v>
      </c>
    </row>
    <row r="702" spans="1:13" x14ac:dyDescent="0.2">
      <c r="A702" s="1">
        <v>2006</v>
      </c>
      <c r="B702" s="2" t="d">
        <v>2006-06-30</v>
      </c>
      <c r="C702" s="1" t="s">
        <v>79</v>
      </c>
      <c r="D702" s="12" t="s">
        <v>74</v>
      </c>
      <c r="E702" s="1" t="s">
        <v>222</v>
      </c>
      <c r="F702" s="1" t="s">
        <v>475</v>
      </c>
      <c r="G702" s="1" t="s">
        <v>65</v>
      </c>
      <c r="H702" s="1" t="s">
        <v>65</v>
      </c>
      <c r="I702" s="1">
        <v>1</v>
      </c>
      <c r="J702" s="1">
        <v>1</v>
      </c>
      <c r="K702" s="1" t="s">
        <v>33</v>
      </c>
      <c r="L702" s="1" t="s">
        <v>478</v>
      </c>
      <c r="M702" s="1" t="str">
        <f t="shared" si="10"/>
        <v xml:space="preserve">2006|38898| 17:00 |Quarter-finals|Olympiastadion|Berlin |Germany|Germany|1|1|Argentina|Germany win on penalties (4 - 2) </v>
      </c>
    </row>
    <row r="703" spans="1:13" hidden="1" x14ac:dyDescent="0.2">
      <c r="A703" s="1">
        <v>2006</v>
      </c>
      <c r="B703" s="2" t="d">
        <v>2006-06-30</v>
      </c>
      <c r="C703" s="1" t="s">
        <v>268</v>
      </c>
      <c r="D703" s="12" t="s">
        <v>74</v>
      </c>
      <c r="E703" s="1" t="s">
        <v>458</v>
      </c>
      <c r="F703" s="1" t="s">
        <v>225</v>
      </c>
      <c r="G703" s="1" t="s">
        <v>65</v>
      </c>
      <c r="H703" s="1" t="s">
        <v>49</v>
      </c>
      <c r="I703" s="1">
        <v>3</v>
      </c>
      <c r="J703" s="1">
        <v>0</v>
      </c>
      <c r="K703" s="1" t="s">
        <v>476</v>
      </c>
      <c r="L703" s="1" t="s">
        <v>19</v>
      </c>
      <c r="M703" s="1" t="str">
        <f t="shared" si="10"/>
        <v xml:space="preserve">2006|38898| 21:00 |Quarter-finals|FIFA World Cup Stadium, Hamburg|Hamburg |Germany|Italy|3|0|Ukraine| </v>
      </c>
    </row>
    <row r="704" spans="1:13" hidden="1" x14ac:dyDescent="0.2">
      <c r="A704" s="1">
        <v>2006</v>
      </c>
      <c r="B704" s="2" t="d">
        <v>2006-07-01</v>
      </c>
      <c r="C704" s="1" t="s">
        <v>79</v>
      </c>
      <c r="D704" s="12" t="s">
        <v>74</v>
      </c>
      <c r="E704" s="1" t="s">
        <v>454</v>
      </c>
      <c r="F704" s="1" t="s">
        <v>240</v>
      </c>
      <c r="G704" s="1" t="s">
        <v>65</v>
      </c>
      <c r="H704" s="1" t="s">
        <v>110</v>
      </c>
      <c r="I704" s="1">
        <v>0</v>
      </c>
      <c r="J704" s="1">
        <v>0</v>
      </c>
      <c r="K704" s="1" t="s">
        <v>197</v>
      </c>
      <c r="L704" s="1" t="s">
        <v>479</v>
      </c>
      <c r="M704" s="1" t="str">
        <f t="shared" si="10"/>
        <v xml:space="preserve">2006|38899| 17:00 |Quarter-finals|FIFA World Cup Stadium, Gelsenkirchen|Gelsenkirchen |Germany|England|0|0|Portugal|Portugal win on penalties (1 - 3) </v>
      </c>
    </row>
    <row r="705" spans="1:13" hidden="1" x14ac:dyDescent="0.2">
      <c r="A705" s="1">
        <v>2006</v>
      </c>
      <c r="B705" s="2" t="d">
        <v>2006-07-01</v>
      </c>
      <c r="C705" s="1" t="s">
        <v>268</v>
      </c>
      <c r="D705" s="12" t="s">
        <v>74</v>
      </c>
      <c r="E705" s="1" t="s">
        <v>455</v>
      </c>
      <c r="F705" s="1" t="s">
        <v>221</v>
      </c>
      <c r="G705" s="1" t="s">
        <v>65</v>
      </c>
      <c r="H705" s="1" t="s">
        <v>27</v>
      </c>
      <c r="I705" s="1">
        <v>0</v>
      </c>
      <c r="J705" s="1">
        <v>1</v>
      </c>
      <c r="K705" s="1" t="s">
        <v>17</v>
      </c>
      <c r="L705" s="1" t="s">
        <v>19</v>
      </c>
      <c r="M705" s="1" t="str">
        <f t="shared" si="10"/>
        <v xml:space="preserve">2006|38899| 21:00 |Quarter-finals|FIFA World Cup Stadium, Frankfurt|Frankfurt/Main |Germany|Brazil|0|1|France| </v>
      </c>
    </row>
    <row r="706" spans="1:13" x14ac:dyDescent="0.2">
      <c r="A706" s="1">
        <v>2006</v>
      </c>
      <c r="B706" s="2" t="d">
        <v>2006-07-04</v>
      </c>
      <c r="C706" s="1" t="s">
        <v>268</v>
      </c>
      <c r="D706" s="12" t="s">
        <v>42</v>
      </c>
      <c r="E706" s="1" t="s">
        <v>456</v>
      </c>
      <c r="F706" s="1" t="s">
        <v>229</v>
      </c>
      <c r="G706" s="1" t="s">
        <v>65</v>
      </c>
      <c r="H706" s="1" t="s">
        <v>65</v>
      </c>
      <c r="I706" s="1">
        <v>0</v>
      </c>
      <c r="J706" s="1">
        <v>2</v>
      </c>
      <c r="K706" s="1" t="s">
        <v>49</v>
      </c>
      <c r="L706" s="1" t="s">
        <v>78</v>
      </c>
      <c r="M706" s="1" t="str">
        <f t="shared" si="10"/>
        <v xml:space="preserve">2006|38902| 21:00 |Semi-finals|FIFA World Cup Stadium, Dortmund|Dortmund |Germany|Germany|0|2|Italy|Italy win after extra time </v>
      </c>
    </row>
    <row r="707" spans="1:13" hidden="1" x14ac:dyDescent="0.2">
      <c r="A707" s="1">
        <v>2006</v>
      </c>
      <c r="B707" s="2" t="d">
        <v>2006-07-05</v>
      </c>
      <c r="C707" s="1" t="s">
        <v>268</v>
      </c>
      <c r="D707" s="12" t="s">
        <v>42</v>
      </c>
      <c r="E707" s="1" t="s">
        <v>453</v>
      </c>
      <c r="F707" s="1" t="s">
        <v>235</v>
      </c>
      <c r="G707" s="1" t="s">
        <v>65</v>
      </c>
      <c r="H707" s="1" t="s">
        <v>197</v>
      </c>
      <c r="I707" s="1">
        <v>0</v>
      </c>
      <c r="J707" s="1">
        <v>1</v>
      </c>
      <c r="K707" s="1" t="s">
        <v>17</v>
      </c>
      <c r="L707" s="1" t="s">
        <v>19</v>
      </c>
      <c r="M707" s="1" t="str">
        <f t="shared" ref="M707:M770" si="11">_xlfn.TEXTJOIN("|",TRUE,A707,B707,C707,D707,E707,F707,G707,H707,I707,J707,K707,L707)</f>
        <v xml:space="preserve">2006|38903| 21:00 |Semi-finals|FIFA World Cup Stadium, Munich|Munich |Germany|Portugal|0|1|France| </v>
      </c>
    </row>
    <row r="708" spans="1:13" x14ac:dyDescent="0.2">
      <c r="A708" s="1">
        <v>2006</v>
      </c>
      <c r="B708" s="2" t="d">
        <v>2006-07-08</v>
      </c>
      <c r="C708" s="1" t="s">
        <v>268</v>
      </c>
      <c r="D708" s="12" t="s">
        <v>452</v>
      </c>
      <c r="E708" s="1" t="s">
        <v>474</v>
      </c>
      <c r="F708" s="1" t="s">
        <v>238</v>
      </c>
      <c r="G708" s="1" t="s">
        <v>65</v>
      </c>
      <c r="H708" s="1" t="s">
        <v>65</v>
      </c>
      <c r="I708" s="1">
        <v>3</v>
      </c>
      <c r="J708" s="1">
        <v>1</v>
      </c>
      <c r="K708" s="1" t="s">
        <v>197</v>
      </c>
      <c r="L708" s="1" t="s">
        <v>19</v>
      </c>
      <c r="M708" s="1" t="str">
        <f t="shared" si="11"/>
        <v xml:space="preserve">2006|38906| 21:00 |Third place|Gottlieb-Daimler-Stadion|Stuttgart |Germany|Germany|3|1|Portugal| </v>
      </c>
    </row>
    <row r="709" spans="1:13" hidden="1" x14ac:dyDescent="0.2">
      <c r="A709" s="1">
        <v>2006</v>
      </c>
      <c r="B709" s="2" t="d">
        <v>2006-07-09</v>
      </c>
      <c r="C709" s="1" t="s">
        <v>262</v>
      </c>
      <c r="D709" s="12" t="s">
        <v>44</v>
      </c>
      <c r="E709" s="1" t="s">
        <v>222</v>
      </c>
      <c r="F709" s="1" t="s">
        <v>475</v>
      </c>
      <c r="G709" s="1" t="s">
        <v>65</v>
      </c>
      <c r="H709" s="1" t="s">
        <v>49</v>
      </c>
      <c r="I709" s="1">
        <v>1</v>
      </c>
      <c r="J709" s="1">
        <v>1</v>
      </c>
      <c r="K709" s="1" t="s">
        <v>17</v>
      </c>
      <c r="L709" s="1" t="s">
        <v>480</v>
      </c>
      <c r="M709" s="1" t="str">
        <f t="shared" si="11"/>
        <v xml:space="preserve">2006|38907| 20:00 |Final|Olympiastadion|Berlin |Germany|Italy|1|1|France|Italy win on penalties (5 - 3) </v>
      </c>
    </row>
    <row r="710" spans="1:13" hidden="1" x14ac:dyDescent="0.2">
      <c r="A710" s="1">
        <v>2010</v>
      </c>
      <c r="B710" s="2" t="d">
        <v>2010-06-11</v>
      </c>
      <c r="C710" s="1" t="s">
        <v>32</v>
      </c>
      <c r="D710" s="1" t="s">
        <v>242</v>
      </c>
      <c r="E710" s="1" t="s">
        <v>481</v>
      </c>
      <c r="F710" s="1" t="s">
        <v>482</v>
      </c>
      <c r="G710" s="1" t="s">
        <v>389</v>
      </c>
      <c r="H710" s="1" t="s">
        <v>389</v>
      </c>
      <c r="I710" s="1">
        <v>1</v>
      </c>
      <c r="J710" s="1">
        <v>1</v>
      </c>
      <c r="K710" s="1" t="s">
        <v>18</v>
      </c>
      <c r="L710" s="1" t="s">
        <v>19</v>
      </c>
      <c r="M710" s="1" t="str">
        <f t="shared" si="11"/>
        <v xml:space="preserve">2010|40340| 16:00 |Group A|Soccer City Stadium|Johannesburg |South Africa|South Africa|1|1|Mexico| </v>
      </c>
    </row>
    <row r="711" spans="1:13" hidden="1" x14ac:dyDescent="0.2">
      <c r="A711" s="1">
        <v>2010</v>
      </c>
      <c r="B711" s="2" t="d">
        <v>2010-06-11</v>
      </c>
      <c r="C711" s="1" t="s">
        <v>403</v>
      </c>
      <c r="D711" s="1" t="s">
        <v>242</v>
      </c>
      <c r="E711" s="1" t="s">
        <v>483</v>
      </c>
      <c r="F711" s="1" t="s">
        <v>484</v>
      </c>
      <c r="G711" s="1" t="s">
        <v>389</v>
      </c>
      <c r="H711" s="1" t="s">
        <v>16</v>
      </c>
      <c r="I711" s="1">
        <v>0</v>
      </c>
      <c r="J711" s="1">
        <v>0</v>
      </c>
      <c r="K711" s="1" t="s">
        <v>17</v>
      </c>
      <c r="L711" s="1" t="s">
        <v>19</v>
      </c>
      <c r="M711" s="1" t="str">
        <f t="shared" si="11"/>
        <v xml:space="preserve">2010|40340| 20:30 |Group A|Cape Town Stadium|Cape Town |South Africa|Uruguay|0|0|France| </v>
      </c>
    </row>
    <row r="712" spans="1:13" hidden="1" x14ac:dyDescent="0.2">
      <c r="A712" s="1">
        <v>2010</v>
      </c>
      <c r="B712" s="2" t="d">
        <v>2010-06-12</v>
      </c>
      <c r="C712" s="1" t="s">
        <v>379</v>
      </c>
      <c r="D712" s="1" t="s">
        <v>241</v>
      </c>
      <c r="E712" s="1" t="s">
        <v>485</v>
      </c>
      <c r="F712" s="1" t="s">
        <v>486</v>
      </c>
      <c r="G712" s="1" t="s">
        <v>389</v>
      </c>
      <c r="H712" s="1" t="s">
        <v>135</v>
      </c>
      <c r="I712" s="1">
        <v>2</v>
      </c>
      <c r="J712" s="1">
        <v>0</v>
      </c>
      <c r="K712" s="1" t="s">
        <v>377</v>
      </c>
      <c r="L712" s="1" t="s">
        <v>19</v>
      </c>
      <c r="M712" s="1" t="str">
        <f t="shared" si="11"/>
        <v xml:space="preserve">2010|40341| 13:30 |Group B|Port Elizabeth Stadium|Nelson Mandela Bay/Port Elizabeth |South Africa|Korea Republic|2|0|Greece| </v>
      </c>
    </row>
    <row r="713" spans="1:13" hidden="1" x14ac:dyDescent="0.2">
      <c r="A713" s="1">
        <v>2010</v>
      </c>
      <c r="B713" s="2" t="d">
        <v>2010-06-12</v>
      </c>
      <c r="C713" s="1" t="s">
        <v>32</v>
      </c>
      <c r="D713" s="1" t="s">
        <v>241</v>
      </c>
      <c r="E713" s="1" t="s">
        <v>487</v>
      </c>
      <c r="F713" s="1" t="s">
        <v>482</v>
      </c>
      <c r="G713" s="1" t="s">
        <v>389</v>
      </c>
      <c r="H713" s="1" t="s">
        <v>33</v>
      </c>
      <c r="I713" s="1">
        <v>1</v>
      </c>
      <c r="J713" s="1">
        <v>0</v>
      </c>
      <c r="K713" s="1" t="s">
        <v>378</v>
      </c>
      <c r="L713" s="1" t="s">
        <v>19</v>
      </c>
      <c r="M713" s="1" t="str">
        <f t="shared" si="11"/>
        <v xml:space="preserve">2010|40341| 16:00 |Group B|Ellis Park Stadium|Johannesburg |South Africa|Argentina|1|0|Nigeria| </v>
      </c>
    </row>
    <row r="714" spans="1:13" hidden="1" x14ac:dyDescent="0.2">
      <c r="A714" s="1">
        <v>2010</v>
      </c>
      <c r="B714" s="2" t="d">
        <v>2010-06-12</v>
      </c>
      <c r="C714" s="1" t="s">
        <v>403</v>
      </c>
      <c r="D714" s="1" t="s">
        <v>304</v>
      </c>
      <c r="E714" s="1" t="s">
        <v>488</v>
      </c>
      <c r="F714" s="1" t="s">
        <v>489</v>
      </c>
      <c r="G714" s="1" t="s">
        <v>389</v>
      </c>
      <c r="H714" s="1" t="s">
        <v>110</v>
      </c>
      <c r="I714" s="1">
        <v>1</v>
      </c>
      <c r="J714" s="1">
        <v>1</v>
      </c>
      <c r="K714" s="1" t="s">
        <v>22</v>
      </c>
      <c r="L714" s="1" t="s">
        <v>19</v>
      </c>
      <c r="M714" s="1" t="str">
        <f t="shared" si="11"/>
        <v xml:space="preserve">2010|40341| 20:30 |Group C|Royal Bafokeng Sports Palace|Phokeng |South Africa|England|1|1|USA| </v>
      </c>
    </row>
    <row r="715" spans="1:13" hidden="1" x14ac:dyDescent="0.2">
      <c r="A715" s="1">
        <v>2010</v>
      </c>
      <c r="B715" s="2" t="d">
        <v>2010-06-13</v>
      </c>
      <c r="C715" s="1" t="s">
        <v>379</v>
      </c>
      <c r="D715" s="1" t="s">
        <v>304</v>
      </c>
      <c r="E715" s="1" t="s">
        <v>490</v>
      </c>
      <c r="F715" s="1" t="s">
        <v>491</v>
      </c>
      <c r="G715" s="1" t="s">
        <v>389</v>
      </c>
      <c r="H715" s="1" t="s">
        <v>281</v>
      </c>
      <c r="I715" s="1">
        <v>0</v>
      </c>
      <c r="J715" s="1">
        <v>1</v>
      </c>
      <c r="K715" s="1" t="s">
        <v>422</v>
      </c>
      <c r="L715" s="1" t="s">
        <v>19</v>
      </c>
      <c r="M715" s="1" t="str">
        <f t="shared" si="11"/>
        <v xml:space="preserve">2010|40342| 13:30 |Group C|Peter Mokaba Stadium|Polokwane |South Africa|Algeria|0|1|Slovenia| </v>
      </c>
    </row>
    <row r="716" spans="1:13" hidden="1" x14ac:dyDescent="0.2">
      <c r="A716" s="1">
        <v>2010</v>
      </c>
      <c r="B716" s="2" t="d">
        <v>2010-06-13</v>
      </c>
      <c r="C716" s="1" t="s">
        <v>32</v>
      </c>
      <c r="D716" s="1" t="s">
        <v>306</v>
      </c>
      <c r="E716" s="1" t="s">
        <v>492</v>
      </c>
      <c r="F716" s="1" t="s">
        <v>493</v>
      </c>
      <c r="G716" s="1" t="s">
        <v>389</v>
      </c>
      <c r="H716" s="1" t="s">
        <v>494</v>
      </c>
      <c r="I716" s="1">
        <v>0</v>
      </c>
      <c r="J716" s="1">
        <v>1</v>
      </c>
      <c r="K716" s="1" t="s">
        <v>472</v>
      </c>
      <c r="L716" s="1" t="s">
        <v>19</v>
      </c>
      <c r="M716" s="1" t="str">
        <f t="shared" si="11"/>
        <v xml:space="preserve">2010|40342| 16:00 |Group D|Loftus Versfeld Stadium|Tshwane/Pretoria |South Africa|Serbia|0|1|Ghana| </v>
      </c>
    </row>
    <row r="717" spans="1:13" x14ac:dyDescent="0.2">
      <c r="A717" s="1">
        <v>2010</v>
      </c>
      <c r="B717" s="2" t="d">
        <v>2010-06-13</v>
      </c>
      <c r="C717" s="1" t="s">
        <v>403</v>
      </c>
      <c r="D717" s="1" t="s">
        <v>306</v>
      </c>
      <c r="E717" s="1" t="s">
        <v>495</v>
      </c>
      <c r="F717" s="1" t="s">
        <v>496</v>
      </c>
      <c r="G717" s="1" t="s">
        <v>389</v>
      </c>
      <c r="H717" s="1" t="s">
        <v>65</v>
      </c>
      <c r="I717" s="1">
        <v>4</v>
      </c>
      <c r="J717" s="1">
        <v>0</v>
      </c>
      <c r="K717" s="1" t="s">
        <v>227</v>
      </c>
      <c r="L717" s="1" t="s">
        <v>19</v>
      </c>
      <c r="M717" s="1" t="str">
        <f t="shared" si="11"/>
        <v xml:space="preserve">2010|40342| 20:30 |Group D|Durban Stadium|Durban |South Africa|Germany|4|0|Australia| </v>
      </c>
    </row>
    <row r="718" spans="1:13" hidden="1" x14ac:dyDescent="0.2">
      <c r="A718" s="1">
        <v>2010</v>
      </c>
      <c r="B718" s="2" t="d">
        <v>2010-06-14</v>
      </c>
      <c r="C718" s="1" t="s">
        <v>379</v>
      </c>
      <c r="D718" s="1" t="s">
        <v>317</v>
      </c>
      <c r="E718" s="1" t="s">
        <v>481</v>
      </c>
      <c r="F718" s="1" t="s">
        <v>482</v>
      </c>
      <c r="G718" s="1" t="s">
        <v>389</v>
      </c>
      <c r="H718" s="1" t="s">
        <v>59</v>
      </c>
      <c r="I718" s="1">
        <v>2</v>
      </c>
      <c r="J718" s="1">
        <v>0</v>
      </c>
      <c r="K718" s="1" t="s">
        <v>320</v>
      </c>
      <c r="L718" s="1" t="s">
        <v>19</v>
      </c>
      <c r="M718" s="1" t="str">
        <f t="shared" si="11"/>
        <v xml:space="preserve">2010|40343| 13:30 |Group E|Soccer City Stadium|Johannesburg |South Africa|Netherlands|2|0|Denmark| </v>
      </c>
    </row>
    <row r="719" spans="1:13" hidden="1" x14ac:dyDescent="0.2">
      <c r="A719" s="1">
        <v>2010</v>
      </c>
      <c r="B719" s="2" t="d">
        <v>2010-06-14</v>
      </c>
      <c r="C719" s="1" t="s">
        <v>32</v>
      </c>
      <c r="D719" s="1" t="s">
        <v>317</v>
      </c>
      <c r="E719" s="1" t="s">
        <v>497</v>
      </c>
      <c r="F719" s="1" t="s">
        <v>498</v>
      </c>
      <c r="G719" s="1" t="s">
        <v>389</v>
      </c>
      <c r="H719" s="1" t="s">
        <v>395</v>
      </c>
      <c r="I719" s="1">
        <v>1</v>
      </c>
      <c r="J719" s="1">
        <v>0</v>
      </c>
      <c r="K719" s="1" t="s">
        <v>273</v>
      </c>
      <c r="L719" s="1" t="s">
        <v>19</v>
      </c>
      <c r="M719" s="1" t="str">
        <f t="shared" si="11"/>
        <v xml:space="preserve">2010|40343| 16:00 |Group E|Free State Stadium|Mangaung/Bloemfontein |South Africa|Japan|1|0|Cameroon| </v>
      </c>
    </row>
    <row r="720" spans="1:13" hidden="1" x14ac:dyDescent="0.2">
      <c r="A720" s="1">
        <v>2010</v>
      </c>
      <c r="B720" s="2" t="d">
        <v>2010-06-14</v>
      </c>
      <c r="C720" s="1" t="s">
        <v>403</v>
      </c>
      <c r="D720" s="1" t="s">
        <v>310</v>
      </c>
      <c r="E720" s="1" t="s">
        <v>483</v>
      </c>
      <c r="F720" s="1" t="s">
        <v>484</v>
      </c>
      <c r="G720" s="1" t="s">
        <v>389</v>
      </c>
      <c r="H720" s="1" t="s">
        <v>49</v>
      </c>
      <c r="I720" s="1">
        <v>1</v>
      </c>
      <c r="J720" s="1">
        <v>1</v>
      </c>
      <c r="K720" s="1" t="s">
        <v>37</v>
      </c>
      <c r="L720" s="1" t="s">
        <v>19</v>
      </c>
      <c r="M720" s="1" t="str">
        <f t="shared" si="11"/>
        <v xml:space="preserve">2010|40343| 20:30 |Group F|Cape Town Stadium|Cape Town |South Africa|Italy|1|1|Paraguay| </v>
      </c>
    </row>
    <row r="721" spans="1:13" hidden="1" x14ac:dyDescent="0.2">
      <c r="A721" s="1">
        <v>2010</v>
      </c>
      <c r="B721" s="2" t="d">
        <v>2010-06-15</v>
      </c>
      <c r="C721" s="1" t="s">
        <v>379</v>
      </c>
      <c r="D721" s="1" t="s">
        <v>310</v>
      </c>
      <c r="E721" s="1" t="s">
        <v>488</v>
      </c>
      <c r="F721" s="1" t="s">
        <v>489</v>
      </c>
      <c r="G721" s="1" t="s">
        <v>389</v>
      </c>
      <c r="H721" s="1" t="s">
        <v>278</v>
      </c>
      <c r="I721" s="1">
        <v>1</v>
      </c>
      <c r="J721" s="1">
        <v>1</v>
      </c>
      <c r="K721" s="1" t="s">
        <v>499</v>
      </c>
      <c r="L721" s="1" t="s">
        <v>19</v>
      </c>
      <c r="M721" s="1" t="str">
        <f t="shared" si="11"/>
        <v xml:space="preserve">2010|40344| 13:30 |Group F|Royal Bafokeng Sports Palace|Phokeng |South Africa|New Zealand|1|1|Slovakia| </v>
      </c>
    </row>
    <row r="722" spans="1:13" hidden="1" x14ac:dyDescent="0.2">
      <c r="A722" s="1">
        <v>2010</v>
      </c>
      <c r="B722" s="2" t="d">
        <v>2010-06-15</v>
      </c>
      <c r="C722" s="1" t="s">
        <v>32</v>
      </c>
      <c r="D722" s="1" t="s">
        <v>400</v>
      </c>
      <c r="E722" s="1" t="s">
        <v>485</v>
      </c>
      <c r="F722" s="1" t="s">
        <v>486</v>
      </c>
      <c r="G722" s="1" t="s">
        <v>389</v>
      </c>
      <c r="H722" s="1" t="s">
        <v>459</v>
      </c>
      <c r="I722" s="1">
        <v>0</v>
      </c>
      <c r="J722" s="1">
        <v>0</v>
      </c>
      <c r="K722" s="1" t="s">
        <v>197</v>
      </c>
      <c r="L722" s="1" t="s">
        <v>19</v>
      </c>
      <c r="M722" s="1" t="str">
        <f t="shared" si="11"/>
        <v xml:space="preserve">2010|40344| 16:00 |Group G|Port Elizabeth Stadium|Nelson Mandela Bay/Port Elizabeth |South Africa|Cï¿½te d'Ivoire|0|0|Portugal| </v>
      </c>
    </row>
    <row r="723" spans="1:13" hidden="1" x14ac:dyDescent="0.2">
      <c r="A723" s="1">
        <v>2010</v>
      </c>
      <c r="B723" s="2" t="d">
        <v>2010-06-15</v>
      </c>
      <c r="C723" s="1" t="s">
        <v>403</v>
      </c>
      <c r="D723" s="1" t="s">
        <v>400</v>
      </c>
      <c r="E723" s="1" t="s">
        <v>487</v>
      </c>
      <c r="F723" s="1" t="s">
        <v>482</v>
      </c>
      <c r="G723" s="1" t="s">
        <v>389</v>
      </c>
      <c r="H723" s="1" t="s">
        <v>27</v>
      </c>
      <c r="I723" s="1">
        <v>2</v>
      </c>
      <c r="J723" s="1">
        <v>1</v>
      </c>
      <c r="K723" s="1" t="s">
        <v>194</v>
      </c>
      <c r="L723" s="1" t="s">
        <v>19</v>
      </c>
      <c r="M723" s="1" t="str">
        <f t="shared" si="11"/>
        <v xml:space="preserve">2010|40344| 20:30 |Group G|Ellis Park Stadium|Johannesburg |South Africa|Brazil|2|1|Korea DPR| </v>
      </c>
    </row>
    <row r="724" spans="1:13" hidden="1" x14ac:dyDescent="0.2">
      <c r="A724" s="1">
        <v>2010</v>
      </c>
      <c r="B724" s="2" t="d">
        <v>2010-06-16</v>
      </c>
      <c r="C724" s="1" t="s">
        <v>379</v>
      </c>
      <c r="D724" s="1" t="s">
        <v>394</v>
      </c>
      <c r="E724" s="1" t="s">
        <v>500</v>
      </c>
      <c r="F724" s="1" t="s">
        <v>501</v>
      </c>
      <c r="G724" s="1" t="s">
        <v>389</v>
      </c>
      <c r="H724" s="1" t="s">
        <v>287</v>
      </c>
      <c r="I724" s="1">
        <v>0</v>
      </c>
      <c r="J724" s="1">
        <v>1</v>
      </c>
      <c r="K724" s="1" t="s">
        <v>35</v>
      </c>
      <c r="L724" s="1" t="s">
        <v>19</v>
      </c>
      <c r="M724" s="1" t="str">
        <f t="shared" si="11"/>
        <v xml:space="preserve">2010|40345| 13:30 |Group H|Mbombela Stadium|Nelspruit |South Africa|Honduras|0|1|Chile| </v>
      </c>
    </row>
    <row r="725" spans="1:13" hidden="1" x14ac:dyDescent="0.2">
      <c r="A725" s="1">
        <v>2010</v>
      </c>
      <c r="B725" s="2" t="d">
        <v>2010-06-16</v>
      </c>
      <c r="C725" s="1" t="s">
        <v>32</v>
      </c>
      <c r="D725" s="1" t="s">
        <v>394</v>
      </c>
      <c r="E725" s="1" t="s">
        <v>495</v>
      </c>
      <c r="F725" s="1" t="s">
        <v>496</v>
      </c>
      <c r="G725" s="1" t="s">
        <v>389</v>
      </c>
      <c r="H725" s="1" t="s">
        <v>68</v>
      </c>
      <c r="I725" s="1">
        <v>0</v>
      </c>
      <c r="J725" s="1">
        <v>1</v>
      </c>
      <c r="K725" s="1" t="s">
        <v>58</v>
      </c>
      <c r="L725" s="1" t="s">
        <v>19</v>
      </c>
      <c r="M725" s="1" t="str">
        <f t="shared" si="11"/>
        <v xml:space="preserve">2010|40345| 16:00 |Group H|Durban Stadium|Durban |South Africa|Spain|0|1|Switzerland| </v>
      </c>
    </row>
    <row r="726" spans="1:13" hidden="1" x14ac:dyDescent="0.2">
      <c r="A726" s="1">
        <v>2010</v>
      </c>
      <c r="B726" s="2" t="d">
        <v>2010-06-16</v>
      </c>
      <c r="C726" s="1" t="s">
        <v>403</v>
      </c>
      <c r="D726" s="1" t="s">
        <v>242</v>
      </c>
      <c r="E726" s="1" t="s">
        <v>492</v>
      </c>
      <c r="F726" s="1" t="s">
        <v>493</v>
      </c>
      <c r="G726" s="1" t="s">
        <v>389</v>
      </c>
      <c r="H726" s="1" t="s">
        <v>389</v>
      </c>
      <c r="I726" s="1">
        <v>0</v>
      </c>
      <c r="J726" s="1">
        <v>3</v>
      </c>
      <c r="K726" s="1" t="s">
        <v>16</v>
      </c>
      <c r="L726" s="1" t="s">
        <v>19</v>
      </c>
      <c r="M726" s="1" t="str">
        <f t="shared" si="11"/>
        <v xml:space="preserve">2010|40345| 20:30 |Group A|Loftus Versfeld Stadium|Tshwane/Pretoria |South Africa|South Africa|0|3|Uruguay| </v>
      </c>
    </row>
    <row r="727" spans="1:13" hidden="1" x14ac:dyDescent="0.2">
      <c r="A727" s="1">
        <v>2010</v>
      </c>
      <c r="B727" s="2" t="d">
        <v>2010-06-17</v>
      </c>
      <c r="C727" s="1" t="s">
        <v>379</v>
      </c>
      <c r="D727" s="1" t="s">
        <v>241</v>
      </c>
      <c r="E727" s="1" t="s">
        <v>481</v>
      </c>
      <c r="F727" s="1" t="s">
        <v>482</v>
      </c>
      <c r="G727" s="1" t="s">
        <v>389</v>
      </c>
      <c r="H727" s="1" t="s">
        <v>33</v>
      </c>
      <c r="I727" s="1">
        <v>4</v>
      </c>
      <c r="J727" s="1">
        <v>1</v>
      </c>
      <c r="K727" s="1" t="s">
        <v>135</v>
      </c>
      <c r="L727" s="1" t="s">
        <v>19</v>
      </c>
      <c r="M727" s="1" t="str">
        <f t="shared" si="11"/>
        <v xml:space="preserve">2010|40346| 13:30 |Group B|Soccer City Stadium|Johannesburg |South Africa|Argentina|4|1|Korea Republic| </v>
      </c>
    </row>
    <row r="728" spans="1:13" hidden="1" x14ac:dyDescent="0.2">
      <c r="A728" s="1">
        <v>2010</v>
      </c>
      <c r="B728" s="2" t="d">
        <v>2010-06-17</v>
      </c>
      <c r="C728" s="1" t="s">
        <v>32</v>
      </c>
      <c r="D728" s="1" t="s">
        <v>241</v>
      </c>
      <c r="E728" s="1" t="s">
        <v>497</v>
      </c>
      <c r="F728" s="1" t="s">
        <v>498</v>
      </c>
      <c r="G728" s="1" t="s">
        <v>389</v>
      </c>
      <c r="H728" s="1" t="s">
        <v>377</v>
      </c>
      <c r="I728" s="1">
        <v>2</v>
      </c>
      <c r="J728" s="1">
        <v>1</v>
      </c>
      <c r="K728" s="1" t="s">
        <v>378</v>
      </c>
      <c r="L728" s="1" t="s">
        <v>19</v>
      </c>
      <c r="M728" s="1" t="str">
        <f t="shared" si="11"/>
        <v xml:space="preserve">2010|40346| 16:00 |Group B|Free State Stadium|Mangaung/Bloemfontein |South Africa|Greece|2|1|Nigeria| </v>
      </c>
    </row>
    <row r="729" spans="1:13" hidden="1" x14ac:dyDescent="0.2">
      <c r="A729" s="1">
        <v>2010</v>
      </c>
      <c r="B729" s="2" t="d">
        <v>2010-06-17</v>
      </c>
      <c r="C729" s="1" t="s">
        <v>403</v>
      </c>
      <c r="D729" s="1" t="s">
        <v>242</v>
      </c>
      <c r="E729" s="1" t="s">
        <v>490</v>
      </c>
      <c r="F729" s="1" t="s">
        <v>491</v>
      </c>
      <c r="G729" s="1" t="s">
        <v>389</v>
      </c>
      <c r="H729" s="1" t="s">
        <v>17</v>
      </c>
      <c r="I729" s="1">
        <v>0</v>
      </c>
      <c r="J729" s="1">
        <v>2</v>
      </c>
      <c r="K729" s="1" t="s">
        <v>18</v>
      </c>
      <c r="L729" s="1" t="s">
        <v>19</v>
      </c>
      <c r="M729" s="1" t="str">
        <f t="shared" si="11"/>
        <v xml:space="preserve">2010|40346| 20:30 |Group A|Peter Mokaba Stadium|Polokwane |South Africa|France|0|2|Mexico| </v>
      </c>
    </row>
    <row r="730" spans="1:13" x14ac:dyDescent="0.2">
      <c r="A730" s="1">
        <v>2010</v>
      </c>
      <c r="B730" s="2" t="d">
        <v>2010-06-18</v>
      </c>
      <c r="C730" s="1" t="s">
        <v>379</v>
      </c>
      <c r="D730" s="1" t="s">
        <v>306</v>
      </c>
      <c r="E730" s="1" t="s">
        <v>485</v>
      </c>
      <c r="F730" s="1" t="s">
        <v>486</v>
      </c>
      <c r="G730" s="1" t="s">
        <v>389</v>
      </c>
      <c r="H730" s="1" t="s">
        <v>65</v>
      </c>
      <c r="I730" s="1">
        <v>0</v>
      </c>
      <c r="J730" s="1">
        <v>1</v>
      </c>
      <c r="K730" s="1" t="s">
        <v>494</v>
      </c>
      <c r="L730" s="1" t="s">
        <v>19</v>
      </c>
      <c r="M730" s="1" t="str">
        <f t="shared" si="11"/>
        <v xml:space="preserve">2010|40347| 13:30 |Group D|Port Elizabeth Stadium|Nelson Mandela Bay/Port Elizabeth |South Africa|Germany|0|1|Serbia| </v>
      </c>
    </row>
    <row r="731" spans="1:13" hidden="1" x14ac:dyDescent="0.2">
      <c r="A731" s="1">
        <v>2010</v>
      </c>
      <c r="B731" s="2" t="d">
        <v>2010-06-18</v>
      </c>
      <c r="C731" s="1" t="s">
        <v>32</v>
      </c>
      <c r="D731" s="1" t="s">
        <v>304</v>
      </c>
      <c r="E731" s="1" t="s">
        <v>487</v>
      </c>
      <c r="F731" s="1" t="s">
        <v>482</v>
      </c>
      <c r="G731" s="1" t="s">
        <v>389</v>
      </c>
      <c r="H731" s="1" t="s">
        <v>422</v>
      </c>
      <c r="I731" s="1">
        <v>2</v>
      </c>
      <c r="J731" s="1">
        <v>2</v>
      </c>
      <c r="K731" s="1" t="s">
        <v>22</v>
      </c>
      <c r="L731" s="1" t="s">
        <v>19</v>
      </c>
      <c r="M731" s="1" t="str">
        <f t="shared" si="11"/>
        <v xml:space="preserve">2010|40347| 16:00 |Group C|Ellis Park Stadium|Johannesburg |South Africa|Slovenia|2|2|USA| </v>
      </c>
    </row>
    <row r="732" spans="1:13" hidden="1" x14ac:dyDescent="0.2">
      <c r="A732" s="1">
        <v>2010</v>
      </c>
      <c r="B732" s="2" t="d">
        <v>2010-06-18</v>
      </c>
      <c r="C732" s="1" t="s">
        <v>403</v>
      </c>
      <c r="D732" s="1" t="s">
        <v>304</v>
      </c>
      <c r="E732" s="1" t="s">
        <v>483</v>
      </c>
      <c r="F732" s="1" t="s">
        <v>484</v>
      </c>
      <c r="G732" s="1" t="s">
        <v>389</v>
      </c>
      <c r="H732" s="1" t="s">
        <v>110</v>
      </c>
      <c r="I732" s="1">
        <v>0</v>
      </c>
      <c r="J732" s="1">
        <v>0</v>
      </c>
      <c r="K732" s="1" t="s">
        <v>281</v>
      </c>
      <c r="L732" s="1" t="s">
        <v>19</v>
      </c>
      <c r="M732" s="1" t="str">
        <f t="shared" si="11"/>
        <v xml:space="preserve">2010|40347| 20:30 |Group C|Cape Town Stadium|Cape Town |South Africa|England|0|0|Algeria| </v>
      </c>
    </row>
    <row r="733" spans="1:13" hidden="1" x14ac:dyDescent="0.2">
      <c r="A733" s="1">
        <v>2010</v>
      </c>
      <c r="B733" s="2" t="d">
        <v>2010-06-19</v>
      </c>
      <c r="C733" s="1" t="s">
        <v>379</v>
      </c>
      <c r="D733" s="1" t="s">
        <v>317</v>
      </c>
      <c r="E733" s="1" t="s">
        <v>495</v>
      </c>
      <c r="F733" s="1" t="s">
        <v>496</v>
      </c>
      <c r="G733" s="1" t="s">
        <v>389</v>
      </c>
      <c r="H733" s="1" t="s">
        <v>59</v>
      </c>
      <c r="I733" s="1">
        <v>1</v>
      </c>
      <c r="J733" s="1">
        <v>0</v>
      </c>
      <c r="K733" s="1" t="s">
        <v>395</v>
      </c>
      <c r="L733" s="1" t="s">
        <v>19</v>
      </c>
      <c r="M733" s="1" t="str">
        <f t="shared" si="11"/>
        <v xml:space="preserve">2010|40348| 13:30 |Group E|Durban Stadium|Durban |South Africa|Netherlands|1|0|Japan| </v>
      </c>
    </row>
    <row r="734" spans="1:13" hidden="1" x14ac:dyDescent="0.2">
      <c r="A734" s="1">
        <v>2010</v>
      </c>
      <c r="B734" s="2" t="d">
        <v>2010-06-19</v>
      </c>
      <c r="C734" s="1" t="s">
        <v>32</v>
      </c>
      <c r="D734" s="1" t="s">
        <v>306</v>
      </c>
      <c r="E734" s="1" t="s">
        <v>488</v>
      </c>
      <c r="F734" s="1" t="s">
        <v>489</v>
      </c>
      <c r="G734" s="1" t="s">
        <v>389</v>
      </c>
      <c r="H734" s="1" t="s">
        <v>472</v>
      </c>
      <c r="I734" s="1">
        <v>1</v>
      </c>
      <c r="J734" s="1">
        <v>1</v>
      </c>
      <c r="K734" s="1" t="s">
        <v>227</v>
      </c>
      <c r="L734" s="1" t="s">
        <v>19</v>
      </c>
      <c r="M734" s="1" t="str">
        <f t="shared" si="11"/>
        <v xml:space="preserve">2010|40348| 16:00 |Group D|Royal Bafokeng Sports Palace|Phokeng |South Africa|Ghana|1|1|Australia| </v>
      </c>
    </row>
    <row r="735" spans="1:13" hidden="1" x14ac:dyDescent="0.2">
      <c r="A735" s="1">
        <v>2010</v>
      </c>
      <c r="B735" s="2" t="d">
        <v>2010-06-19</v>
      </c>
      <c r="C735" s="1" t="s">
        <v>403</v>
      </c>
      <c r="D735" s="1" t="s">
        <v>317</v>
      </c>
      <c r="E735" s="1" t="s">
        <v>492</v>
      </c>
      <c r="F735" s="1" t="s">
        <v>493</v>
      </c>
      <c r="G735" s="1" t="s">
        <v>389</v>
      </c>
      <c r="H735" s="1" t="s">
        <v>273</v>
      </c>
      <c r="I735" s="1">
        <v>1</v>
      </c>
      <c r="J735" s="1">
        <v>2</v>
      </c>
      <c r="K735" s="1" t="s">
        <v>320</v>
      </c>
      <c r="L735" s="1" t="s">
        <v>19</v>
      </c>
      <c r="M735" s="1" t="str">
        <f t="shared" si="11"/>
        <v xml:space="preserve">2010|40348| 20:30 |Group E|Loftus Versfeld Stadium|Tshwane/Pretoria |South Africa|Cameroon|1|2|Denmark| </v>
      </c>
    </row>
    <row r="736" spans="1:13" hidden="1" x14ac:dyDescent="0.2">
      <c r="A736" s="1">
        <v>2010</v>
      </c>
      <c r="B736" s="2" t="d">
        <v>2010-06-20</v>
      </c>
      <c r="C736" s="1" t="s">
        <v>379</v>
      </c>
      <c r="D736" s="1" t="s">
        <v>310</v>
      </c>
      <c r="E736" s="1" t="s">
        <v>497</v>
      </c>
      <c r="F736" s="1" t="s">
        <v>498</v>
      </c>
      <c r="G736" s="1" t="s">
        <v>389</v>
      </c>
      <c r="H736" s="1" t="s">
        <v>499</v>
      </c>
      <c r="I736" s="1">
        <v>0</v>
      </c>
      <c r="J736" s="1">
        <v>2</v>
      </c>
      <c r="K736" s="1" t="s">
        <v>37</v>
      </c>
      <c r="L736" s="1" t="s">
        <v>19</v>
      </c>
      <c r="M736" s="1" t="str">
        <f t="shared" si="11"/>
        <v xml:space="preserve">2010|40349| 13:30 |Group F|Free State Stadium|Mangaung/Bloemfontein |South Africa|Slovakia|0|2|Paraguay| </v>
      </c>
    </row>
    <row r="737" spans="1:13" hidden="1" x14ac:dyDescent="0.2">
      <c r="A737" s="1">
        <v>2010</v>
      </c>
      <c r="B737" s="2" t="d">
        <v>2010-06-20</v>
      </c>
      <c r="C737" s="1" t="s">
        <v>32</v>
      </c>
      <c r="D737" s="1" t="s">
        <v>310</v>
      </c>
      <c r="E737" s="1" t="s">
        <v>500</v>
      </c>
      <c r="F737" s="1" t="s">
        <v>501</v>
      </c>
      <c r="G737" s="1" t="s">
        <v>389</v>
      </c>
      <c r="H737" s="1" t="s">
        <v>49</v>
      </c>
      <c r="I737" s="1">
        <v>1</v>
      </c>
      <c r="J737" s="1">
        <v>1</v>
      </c>
      <c r="K737" s="1" t="s">
        <v>278</v>
      </c>
      <c r="L737" s="1" t="s">
        <v>19</v>
      </c>
      <c r="M737" s="1" t="str">
        <f t="shared" si="11"/>
        <v xml:space="preserve">2010|40349| 16:00 |Group F|Mbombela Stadium|Nelspruit |South Africa|Italy|1|1|New Zealand| </v>
      </c>
    </row>
    <row r="738" spans="1:13" hidden="1" x14ac:dyDescent="0.2">
      <c r="A738" s="1">
        <v>2010</v>
      </c>
      <c r="B738" s="2" t="d">
        <v>2010-06-20</v>
      </c>
      <c r="C738" s="1" t="s">
        <v>403</v>
      </c>
      <c r="D738" s="1" t="s">
        <v>400</v>
      </c>
      <c r="E738" s="1" t="s">
        <v>481</v>
      </c>
      <c r="F738" s="1" t="s">
        <v>482</v>
      </c>
      <c r="G738" s="1" t="s">
        <v>389</v>
      </c>
      <c r="H738" s="1" t="s">
        <v>27</v>
      </c>
      <c r="I738" s="1">
        <v>3</v>
      </c>
      <c r="J738" s="1">
        <v>1</v>
      </c>
      <c r="K738" s="1" t="s">
        <v>459</v>
      </c>
      <c r="L738" s="1" t="s">
        <v>19</v>
      </c>
      <c r="M738" s="1" t="str">
        <f t="shared" si="11"/>
        <v xml:space="preserve">2010|40349| 20:30 |Group G|Soccer City Stadium|Johannesburg |South Africa|Brazil|3|1|Cï¿½te d'Ivoire| </v>
      </c>
    </row>
    <row r="739" spans="1:13" hidden="1" x14ac:dyDescent="0.2">
      <c r="A739" s="1">
        <v>2010</v>
      </c>
      <c r="B739" s="2" t="d">
        <v>2010-06-21</v>
      </c>
      <c r="C739" s="1" t="s">
        <v>379</v>
      </c>
      <c r="D739" s="1" t="s">
        <v>400</v>
      </c>
      <c r="E739" s="1" t="s">
        <v>483</v>
      </c>
      <c r="F739" s="1" t="s">
        <v>484</v>
      </c>
      <c r="G739" s="1" t="s">
        <v>389</v>
      </c>
      <c r="H739" s="1" t="s">
        <v>197</v>
      </c>
      <c r="I739" s="1">
        <v>7</v>
      </c>
      <c r="J739" s="1">
        <v>0</v>
      </c>
      <c r="K739" s="1" t="s">
        <v>194</v>
      </c>
      <c r="L739" s="1" t="s">
        <v>19</v>
      </c>
      <c r="M739" s="1" t="str">
        <f t="shared" si="11"/>
        <v xml:space="preserve">2010|40350| 13:30 |Group G|Cape Town Stadium|Cape Town |South Africa|Portugal|7|0|Korea DPR| </v>
      </c>
    </row>
    <row r="740" spans="1:13" hidden="1" x14ac:dyDescent="0.2">
      <c r="A740" s="1">
        <v>2010</v>
      </c>
      <c r="B740" s="2" t="d">
        <v>2010-06-21</v>
      </c>
      <c r="C740" s="1" t="s">
        <v>32</v>
      </c>
      <c r="D740" s="1" t="s">
        <v>394</v>
      </c>
      <c r="E740" s="1" t="s">
        <v>485</v>
      </c>
      <c r="F740" s="1" t="s">
        <v>486</v>
      </c>
      <c r="G740" s="1" t="s">
        <v>389</v>
      </c>
      <c r="H740" s="1" t="s">
        <v>35</v>
      </c>
      <c r="I740" s="1">
        <v>1</v>
      </c>
      <c r="J740" s="1">
        <v>0</v>
      </c>
      <c r="K740" s="1" t="s">
        <v>58</v>
      </c>
      <c r="L740" s="1" t="s">
        <v>19</v>
      </c>
      <c r="M740" s="1" t="str">
        <f t="shared" si="11"/>
        <v xml:space="preserve">2010|40350| 16:00 |Group H|Port Elizabeth Stadium|Nelson Mandela Bay/Port Elizabeth |South Africa|Chile|1|0|Switzerland| </v>
      </c>
    </row>
    <row r="741" spans="1:13" hidden="1" x14ac:dyDescent="0.2">
      <c r="A741" s="1">
        <v>2010</v>
      </c>
      <c r="B741" s="2" t="d">
        <v>2010-06-21</v>
      </c>
      <c r="C741" s="1" t="s">
        <v>403</v>
      </c>
      <c r="D741" s="1" t="s">
        <v>394</v>
      </c>
      <c r="E741" s="1" t="s">
        <v>487</v>
      </c>
      <c r="F741" s="1" t="s">
        <v>482</v>
      </c>
      <c r="G741" s="1" t="s">
        <v>389</v>
      </c>
      <c r="H741" s="1" t="s">
        <v>68</v>
      </c>
      <c r="I741" s="1">
        <v>2</v>
      </c>
      <c r="J741" s="1">
        <v>0</v>
      </c>
      <c r="K741" s="1" t="s">
        <v>287</v>
      </c>
      <c r="L741" s="1" t="s">
        <v>19</v>
      </c>
      <c r="M741" s="1" t="str">
        <f t="shared" si="11"/>
        <v xml:space="preserve">2010|40350| 20:30 |Group H|Ellis Park Stadium|Johannesburg |South Africa|Spain|2|0|Honduras| </v>
      </c>
    </row>
    <row r="742" spans="1:13" hidden="1" x14ac:dyDescent="0.2">
      <c r="A742" s="1">
        <v>2010</v>
      </c>
      <c r="B742" s="2" t="d">
        <v>2010-06-22</v>
      </c>
      <c r="C742" s="1" t="s">
        <v>32</v>
      </c>
      <c r="D742" s="1" t="s">
        <v>242</v>
      </c>
      <c r="E742" s="1" t="s">
        <v>488</v>
      </c>
      <c r="F742" s="1" t="s">
        <v>489</v>
      </c>
      <c r="G742" s="1" t="s">
        <v>389</v>
      </c>
      <c r="H742" s="1" t="s">
        <v>18</v>
      </c>
      <c r="I742" s="1">
        <v>0</v>
      </c>
      <c r="J742" s="1">
        <v>1</v>
      </c>
      <c r="K742" s="1" t="s">
        <v>16</v>
      </c>
      <c r="L742" s="1" t="s">
        <v>19</v>
      </c>
      <c r="M742" s="1" t="str">
        <f t="shared" si="11"/>
        <v xml:space="preserve">2010|40351| 16:00 |Group A|Royal Bafokeng Sports Palace|Phokeng |South Africa|Mexico|0|1|Uruguay| </v>
      </c>
    </row>
    <row r="743" spans="1:13" hidden="1" x14ac:dyDescent="0.2">
      <c r="A743" s="1">
        <v>2010</v>
      </c>
      <c r="B743" s="2" t="d">
        <v>2010-06-22</v>
      </c>
      <c r="C743" s="1" t="s">
        <v>32</v>
      </c>
      <c r="D743" s="1" t="s">
        <v>242</v>
      </c>
      <c r="E743" s="1" t="s">
        <v>497</v>
      </c>
      <c r="F743" s="1" t="s">
        <v>498</v>
      </c>
      <c r="G743" s="1" t="s">
        <v>389</v>
      </c>
      <c r="H743" s="1" t="s">
        <v>17</v>
      </c>
      <c r="I743" s="1">
        <v>1</v>
      </c>
      <c r="J743" s="1">
        <v>2</v>
      </c>
      <c r="K743" s="1" t="s">
        <v>389</v>
      </c>
      <c r="L743" s="1" t="s">
        <v>19</v>
      </c>
      <c r="M743" s="1" t="str">
        <f t="shared" si="11"/>
        <v xml:space="preserve">2010|40351| 16:00 |Group A|Free State Stadium|Mangaung/Bloemfontein |South Africa|France|1|2|South Africa| </v>
      </c>
    </row>
    <row r="744" spans="1:13" hidden="1" x14ac:dyDescent="0.2">
      <c r="A744" s="1">
        <v>2010</v>
      </c>
      <c r="B744" s="2" t="d">
        <v>2010-06-22</v>
      </c>
      <c r="C744" s="1" t="s">
        <v>403</v>
      </c>
      <c r="D744" s="1" t="s">
        <v>241</v>
      </c>
      <c r="E744" s="1" t="s">
        <v>495</v>
      </c>
      <c r="F744" s="1" t="s">
        <v>496</v>
      </c>
      <c r="G744" s="1" t="s">
        <v>389</v>
      </c>
      <c r="H744" s="1" t="s">
        <v>378</v>
      </c>
      <c r="I744" s="1">
        <v>2</v>
      </c>
      <c r="J744" s="1">
        <v>2</v>
      </c>
      <c r="K744" s="1" t="s">
        <v>135</v>
      </c>
      <c r="L744" s="1" t="s">
        <v>19</v>
      </c>
      <c r="M744" s="1" t="str">
        <f t="shared" si="11"/>
        <v xml:space="preserve">2010|40351| 20:30 |Group B|Durban Stadium|Durban |South Africa|Nigeria|2|2|Korea Republic| </v>
      </c>
    </row>
    <row r="745" spans="1:13" hidden="1" x14ac:dyDescent="0.2">
      <c r="A745" s="1">
        <v>2010</v>
      </c>
      <c r="B745" s="2" t="d">
        <v>2010-06-22</v>
      </c>
      <c r="C745" s="1" t="s">
        <v>403</v>
      </c>
      <c r="D745" s="1" t="s">
        <v>241</v>
      </c>
      <c r="E745" s="1" t="s">
        <v>490</v>
      </c>
      <c r="F745" s="1" t="s">
        <v>491</v>
      </c>
      <c r="G745" s="1" t="s">
        <v>389</v>
      </c>
      <c r="H745" s="1" t="s">
        <v>377</v>
      </c>
      <c r="I745" s="1">
        <v>0</v>
      </c>
      <c r="J745" s="1">
        <v>2</v>
      </c>
      <c r="K745" s="1" t="s">
        <v>33</v>
      </c>
      <c r="L745" s="1" t="s">
        <v>19</v>
      </c>
      <c r="M745" s="1" t="str">
        <f t="shared" si="11"/>
        <v xml:space="preserve">2010|40351| 20:30 |Group B|Peter Mokaba Stadium|Polokwane |South Africa|Greece|0|2|Argentina| </v>
      </c>
    </row>
    <row r="746" spans="1:13" hidden="1" x14ac:dyDescent="0.2">
      <c r="A746" s="1">
        <v>2010</v>
      </c>
      <c r="B746" s="2" t="d">
        <v>2010-06-23</v>
      </c>
      <c r="C746" s="1" t="s">
        <v>32</v>
      </c>
      <c r="D746" s="1" t="s">
        <v>304</v>
      </c>
      <c r="E746" s="1" t="s">
        <v>485</v>
      </c>
      <c r="F746" s="1" t="s">
        <v>486</v>
      </c>
      <c r="G746" s="1" t="s">
        <v>389</v>
      </c>
      <c r="H746" s="1" t="s">
        <v>422</v>
      </c>
      <c r="I746" s="1">
        <v>0</v>
      </c>
      <c r="J746" s="1">
        <v>1</v>
      </c>
      <c r="K746" s="1" t="s">
        <v>110</v>
      </c>
      <c r="L746" s="1" t="s">
        <v>19</v>
      </c>
      <c r="M746" s="1" t="str">
        <f t="shared" si="11"/>
        <v xml:space="preserve">2010|40352| 16:00 |Group C|Port Elizabeth Stadium|Nelson Mandela Bay/Port Elizabeth |South Africa|Slovenia|0|1|England| </v>
      </c>
    </row>
    <row r="747" spans="1:13" hidden="1" x14ac:dyDescent="0.2">
      <c r="A747" s="1">
        <v>2010</v>
      </c>
      <c r="B747" s="2" t="d">
        <v>2010-06-23</v>
      </c>
      <c r="C747" s="1" t="s">
        <v>32</v>
      </c>
      <c r="D747" s="1" t="s">
        <v>304</v>
      </c>
      <c r="E747" s="1" t="s">
        <v>492</v>
      </c>
      <c r="F747" s="1" t="s">
        <v>493</v>
      </c>
      <c r="G747" s="1" t="s">
        <v>389</v>
      </c>
      <c r="H747" s="1" t="s">
        <v>22</v>
      </c>
      <c r="I747" s="1">
        <v>1</v>
      </c>
      <c r="J747" s="1">
        <v>0</v>
      </c>
      <c r="K747" s="1" t="s">
        <v>281</v>
      </c>
      <c r="L747" s="1" t="s">
        <v>19</v>
      </c>
      <c r="M747" s="1" t="str">
        <f t="shared" si="11"/>
        <v xml:space="preserve">2010|40352| 16:00 |Group C|Loftus Versfeld Stadium|Tshwane/Pretoria |South Africa|USA|1|0|Algeria| </v>
      </c>
    </row>
    <row r="748" spans="1:13" hidden="1" x14ac:dyDescent="0.2">
      <c r="A748" s="1">
        <v>2010</v>
      </c>
      <c r="B748" s="2" t="d">
        <v>2010-06-23</v>
      </c>
      <c r="C748" s="1" t="s">
        <v>403</v>
      </c>
      <c r="D748" s="1" t="s">
        <v>306</v>
      </c>
      <c r="E748" s="1" t="s">
        <v>481</v>
      </c>
      <c r="F748" s="1" t="s">
        <v>482</v>
      </c>
      <c r="G748" s="1" t="s">
        <v>389</v>
      </c>
      <c r="H748" s="1" t="s">
        <v>472</v>
      </c>
      <c r="I748" s="1">
        <v>0</v>
      </c>
      <c r="J748" s="1">
        <v>1</v>
      </c>
      <c r="K748" s="1" t="s">
        <v>65</v>
      </c>
      <c r="L748" s="1" t="s">
        <v>19</v>
      </c>
      <c r="M748" s="1" t="str">
        <f t="shared" si="11"/>
        <v xml:space="preserve">2010|40352| 20:30 |Group D|Soccer City Stadium|Johannesburg |South Africa|Ghana|0|1|Germany| </v>
      </c>
    </row>
    <row r="749" spans="1:13" hidden="1" x14ac:dyDescent="0.2">
      <c r="A749" s="1">
        <v>2010</v>
      </c>
      <c r="B749" s="2" t="d">
        <v>2010-06-23</v>
      </c>
      <c r="C749" s="1" t="s">
        <v>403</v>
      </c>
      <c r="D749" s="1" t="s">
        <v>306</v>
      </c>
      <c r="E749" s="1" t="s">
        <v>500</v>
      </c>
      <c r="F749" s="1" t="s">
        <v>501</v>
      </c>
      <c r="G749" s="1" t="s">
        <v>389</v>
      </c>
      <c r="H749" s="1" t="s">
        <v>227</v>
      </c>
      <c r="I749" s="1">
        <v>2</v>
      </c>
      <c r="J749" s="1">
        <v>1</v>
      </c>
      <c r="K749" s="1" t="s">
        <v>494</v>
      </c>
      <c r="L749" s="1" t="s">
        <v>19</v>
      </c>
      <c r="M749" s="1" t="str">
        <f t="shared" si="11"/>
        <v xml:space="preserve">2010|40352| 20:30 |Group D|Mbombela Stadium|Nelspruit |South Africa|Australia|2|1|Serbia| </v>
      </c>
    </row>
    <row r="750" spans="1:13" hidden="1" x14ac:dyDescent="0.2">
      <c r="A750" s="1">
        <v>2010</v>
      </c>
      <c r="B750" s="2" t="d">
        <v>2010-06-24</v>
      </c>
      <c r="C750" s="1" t="s">
        <v>32</v>
      </c>
      <c r="D750" s="1" t="s">
        <v>310</v>
      </c>
      <c r="E750" s="1" t="s">
        <v>487</v>
      </c>
      <c r="F750" s="1" t="s">
        <v>482</v>
      </c>
      <c r="G750" s="1" t="s">
        <v>389</v>
      </c>
      <c r="H750" s="1" t="s">
        <v>499</v>
      </c>
      <c r="I750" s="1">
        <v>3</v>
      </c>
      <c r="J750" s="1">
        <v>2</v>
      </c>
      <c r="K750" s="1" t="s">
        <v>49</v>
      </c>
      <c r="L750" s="1" t="s">
        <v>19</v>
      </c>
      <c r="M750" s="1" t="str">
        <f t="shared" si="11"/>
        <v xml:space="preserve">2010|40353| 16:00 |Group F|Ellis Park Stadium|Johannesburg |South Africa|Slovakia|3|2|Italy| </v>
      </c>
    </row>
    <row r="751" spans="1:13" hidden="1" x14ac:dyDescent="0.2">
      <c r="A751" s="1">
        <v>2010</v>
      </c>
      <c r="B751" s="2" t="d">
        <v>2010-06-24</v>
      </c>
      <c r="C751" s="1" t="s">
        <v>32</v>
      </c>
      <c r="D751" s="1" t="s">
        <v>310</v>
      </c>
      <c r="E751" s="1" t="s">
        <v>490</v>
      </c>
      <c r="F751" s="1" t="s">
        <v>491</v>
      </c>
      <c r="G751" s="1" t="s">
        <v>389</v>
      </c>
      <c r="H751" s="1" t="s">
        <v>37</v>
      </c>
      <c r="I751" s="1">
        <v>0</v>
      </c>
      <c r="J751" s="1">
        <v>0</v>
      </c>
      <c r="K751" s="1" t="s">
        <v>278</v>
      </c>
      <c r="L751" s="1" t="s">
        <v>19</v>
      </c>
      <c r="M751" s="1" t="str">
        <f t="shared" si="11"/>
        <v xml:space="preserve">2010|40353| 16:00 |Group F|Peter Mokaba Stadium|Polokwane |South Africa|Paraguay|0|0|New Zealand| </v>
      </c>
    </row>
    <row r="752" spans="1:13" hidden="1" x14ac:dyDescent="0.2">
      <c r="A752" s="1">
        <v>2010</v>
      </c>
      <c r="B752" s="2" t="d">
        <v>2010-06-24</v>
      </c>
      <c r="C752" s="1" t="s">
        <v>403</v>
      </c>
      <c r="D752" s="1" t="s">
        <v>317</v>
      </c>
      <c r="E752" s="1" t="s">
        <v>488</v>
      </c>
      <c r="F752" s="1" t="s">
        <v>489</v>
      </c>
      <c r="G752" s="1" t="s">
        <v>389</v>
      </c>
      <c r="H752" s="1" t="s">
        <v>320</v>
      </c>
      <c r="I752" s="1">
        <v>1</v>
      </c>
      <c r="J752" s="1">
        <v>3</v>
      </c>
      <c r="K752" s="1" t="s">
        <v>395</v>
      </c>
      <c r="L752" s="1" t="s">
        <v>19</v>
      </c>
      <c r="M752" s="1" t="str">
        <f t="shared" si="11"/>
        <v xml:space="preserve">2010|40353| 20:30 |Group E|Royal Bafokeng Sports Palace|Phokeng |South Africa|Denmark|1|3|Japan| </v>
      </c>
    </row>
    <row r="753" spans="1:13" hidden="1" x14ac:dyDescent="0.2">
      <c r="A753" s="1">
        <v>2010</v>
      </c>
      <c r="B753" s="2" t="d">
        <v>2010-06-24</v>
      </c>
      <c r="C753" s="1" t="s">
        <v>403</v>
      </c>
      <c r="D753" s="1" t="s">
        <v>317</v>
      </c>
      <c r="E753" s="1" t="s">
        <v>483</v>
      </c>
      <c r="F753" s="1" t="s">
        <v>484</v>
      </c>
      <c r="G753" s="1" t="s">
        <v>389</v>
      </c>
      <c r="H753" s="1" t="s">
        <v>273</v>
      </c>
      <c r="I753" s="1">
        <v>1</v>
      </c>
      <c r="J753" s="1">
        <v>2</v>
      </c>
      <c r="K753" s="1" t="s">
        <v>59</v>
      </c>
      <c r="L753" s="1" t="s">
        <v>19</v>
      </c>
      <c r="M753" s="1" t="str">
        <f t="shared" si="11"/>
        <v xml:space="preserve">2010|40353| 20:30 |Group E|Cape Town Stadium|Cape Town |South Africa|Cameroon|1|2|Netherlands| </v>
      </c>
    </row>
    <row r="754" spans="1:13" hidden="1" x14ac:dyDescent="0.2">
      <c r="A754" s="1">
        <v>2010</v>
      </c>
      <c r="B754" s="2" t="d">
        <v>2010-06-25</v>
      </c>
      <c r="C754" s="1" t="s">
        <v>32</v>
      </c>
      <c r="D754" s="1" t="s">
        <v>400</v>
      </c>
      <c r="E754" s="1" t="s">
        <v>495</v>
      </c>
      <c r="F754" s="1" t="s">
        <v>496</v>
      </c>
      <c r="G754" s="1" t="s">
        <v>389</v>
      </c>
      <c r="H754" s="1" t="s">
        <v>197</v>
      </c>
      <c r="I754" s="1">
        <v>0</v>
      </c>
      <c r="J754" s="1">
        <v>0</v>
      </c>
      <c r="K754" s="1" t="s">
        <v>27</v>
      </c>
      <c r="L754" s="1" t="s">
        <v>19</v>
      </c>
      <c r="M754" s="1" t="str">
        <f t="shared" si="11"/>
        <v xml:space="preserve">2010|40354| 16:00 |Group G|Durban Stadium|Durban |South Africa|Portugal|0|0|Brazil| </v>
      </c>
    </row>
    <row r="755" spans="1:13" hidden="1" x14ac:dyDescent="0.2">
      <c r="A755" s="1">
        <v>2010</v>
      </c>
      <c r="B755" s="2" t="d">
        <v>2010-06-25</v>
      </c>
      <c r="C755" s="1" t="s">
        <v>32</v>
      </c>
      <c r="D755" s="1" t="s">
        <v>400</v>
      </c>
      <c r="E755" s="1" t="s">
        <v>500</v>
      </c>
      <c r="F755" s="1" t="s">
        <v>501</v>
      </c>
      <c r="G755" s="1" t="s">
        <v>389</v>
      </c>
      <c r="H755" s="1" t="s">
        <v>194</v>
      </c>
      <c r="I755" s="1">
        <v>0</v>
      </c>
      <c r="J755" s="1">
        <v>3</v>
      </c>
      <c r="K755" s="1" t="s">
        <v>459</v>
      </c>
      <c r="L755" s="1" t="s">
        <v>19</v>
      </c>
      <c r="M755" s="1" t="str">
        <f t="shared" si="11"/>
        <v xml:space="preserve">2010|40354| 16:00 |Group G|Mbombela Stadium|Nelspruit |South Africa|Korea DPR|0|3|Cï¿½te d'Ivoire| </v>
      </c>
    </row>
    <row r="756" spans="1:13" hidden="1" x14ac:dyDescent="0.2">
      <c r="A756" s="1">
        <v>2010</v>
      </c>
      <c r="B756" s="2" t="d">
        <v>2010-06-25</v>
      </c>
      <c r="C756" s="1" t="s">
        <v>403</v>
      </c>
      <c r="D756" s="1" t="s">
        <v>394</v>
      </c>
      <c r="E756" s="1" t="s">
        <v>492</v>
      </c>
      <c r="F756" s="1" t="s">
        <v>493</v>
      </c>
      <c r="G756" s="1" t="s">
        <v>389</v>
      </c>
      <c r="H756" s="1" t="s">
        <v>35</v>
      </c>
      <c r="I756" s="1">
        <v>1</v>
      </c>
      <c r="J756" s="1">
        <v>2</v>
      </c>
      <c r="K756" s="1" t="s">
        <v>68</v>
      </c>
      <c r="L756" s="1" t="s">
        <v>19</v>
      </c>
      <c r="M756" s="1" t="str">
        <f t="shared" si="11"/>
        <v xml:space="preserve">2010|40354| 20:30 |Group H|Loftus Versfeld Stadium|Tshwane/Pretoria |South Africa|Chile|1|2|Spain| </v>
      </c>
    </row>
    <row r="757" spans="1:13" hidden="1" x14ac:dyDescent="0.2">
      <c r="A757" s="1">
        <v>2010</v>
      </c>
      <c r="B757" s="2" t="d">
        <v>2010-06-25</v>
      </c>
      <c r="C757" s="1" t="s">
        <v>403</v>
      </c>
      <c r="D757" s="1" t="s">
        <v>394</v>
      </c>
      <c r="E757" s="1" t="s">
        <v>497</v>
      </c>
      <c r="F757" s="1" t="s">
        <v>498</v>
      </c>
      <c r="G757" s="1" t="s">
        <v>389</v>
      </c>
      <c r="H757" s="1" t="s">
        <v>58</v>
      </c>
      <c r="I757" s="1">
        <v>0</v>
      </c>
      <c r="J757" s="1">
        <v>0</v>
      </c>
      <c r="K757" s="1" t="s">
        <v>287</v>
      </c>
      <c r="L757" s="1" t="s">
        <v>19</v>
      </c>
      <c r="M757" s="1" t="str">
        <f t="shared" si="11"/>
        <v xml:space="preserve">2010|40354| 20:30 |Group H|Free State Stadium|Mangaung/Bloemfontein |South Africa|Switzerland|0|0|Honduras| </v>
      </c>
    </row>
    <row r="758" spans="1:13" hidden="1" x14ac:dyDescent="0.2">
      <c r="A758" s="1">
        <v>2010</v>
      </c>
      <c r="B758" s="2" t="d">
        <v>2010-06-26</v>
      </c>
      <c r="C758" s="1" t="s">
        <v>32</v>
      </c>
      <c r="D758" s="12" t="s">
        <v>323</v>
      </c>
      <c r="E758" s="1" t="s">
        <v>485</v>
      </c>
      <c r="F758" s="1" t="s">
        <v>486</v>
      </c>
      <c r="G758" s="1" t="s">
        <v>389</v>
      </c>
      <c r="H758" s="1" t="s">
        <v>16</v>
      </c>
      <c r="I758" s="1">
        <v>2</v>
      </c>
      <c r="J758" s="1">
        <v>1</v>
      </c>
      <c r="K758" s="1" t="s">
        <v>135</v>
      </c>
      <c r="L758" s="1" t="s">
        <v>19</v>
      </c>
      <c r="M758" s="1" t="str">
        <f t="shared" si="11"/>
        <v xml:space="preserve">2010|40355| 16:00 |Round of 16|Port Elizabeth Stadium|Nelson Mandela Bay/Port Elizabeth |South Africa|Uruguay|2|1|Korea Republic| </v>
      </c>
    </row>
    <row r="759" spans="1:13" hidden="1" x14ac:dyDescent="0.2">
      <c r="A759" s="1">
        <v>2010</v>
      </c>
      <c r="B759" s="2" t="d">
        <v>2010-06-26</v>
      </c>
      <c r="C759" s="1" t="s">
        <v>403</v>
      </c>
      <c r="D759" s="12" t="s">
        <v>323</v>
      </c>
      <c r="E759" s="1" t="s">
        <v>488</v>
      </c>
      <c r="F759" s="1" t="s">
        <v>489</v>
      </c>
      <c r="G759" s="1" t="s">
        <v>389</v>
      </c>
      <c r="H759" s="1" t="s">
        <v>22</v>
      </c>
      <c r="I759" s="1">
        <v>1</v>
      </c>
      <c r="J759" s="1">
        <v>2</v>
      </c>
      <c r="K759" s="1" t="s">
        <v>472</v>
      </c>
      <c r="L759" s="1" t="s">
        <v>502</v>
      </c>
      <c r="M759" s="1" t="str">
        <f t="shared" si="11"/>
        <v xml:space="preserve">2010|40355| 20:30 |Round of 16|Royal Bafokeng Sports Palace|Phokeng |South Africa|USA|1|2|Ghana|Ghana win after extra time </v>
      </c>
    </row>
    <row r="760" spans="1:13" x14ac:dyDescent="0.2">
      <c r="A760" s="1">
        <v>2010</v>
      </c>
      <c r="B760" s="2" t="d">
        <v>2010-06-27</v>
      </c>
      <c r="C760" s="1" t="s">
        <v>32</v>
      </c>
      <c r="D760" s="12" t="s">
        <v>323</v>
      </c>
      <c r="E760" s="1" t="s">
        <v>497</v>
      </c>
      <c r="F760" s="1" t="s">
        <v>498</v>
      </c>
      <c r="G760" s="1" t="s">
        <v>389</v>
      </c>
      <c r="H760" s="1" t="s">
        <v>65</v>
      </c>
      <c r="I760" s="1">
        <v>4</v>
      </c>
      <c r="J760" s="1">
        <v>1</v>
      </c>
      <c r="K760" s="1" t="s">
        <v>110</v>
      </c>
      <c r="L760" s="1" t="s">
        <v>19</v>
      </c>
      <c r="M760" s="1" t="str">
        <f t="shared" si="11"/>
        <v xml:space="preserve">2010|40356| 16:00 |Round of 16|Free State Stadium|Mangaung/Bloemfontein |South Africa|Germany|4|1|England| </v>
      </c>
    </row>
    <row r="761" spans="1:13" hidden="1" x14ac:dyDescent="0.2">
      <c r="A761" s="1">
        <v>2010</v>
      </c>
      <c r="B761" s="2" t="d">
        <v>2010-06-27</v>
      </c>
      <c r="C761" s="1" t="s">
        <v>403</v>
      </c>
      <c r="D761" s="12" t="s">
        <v>323</v>
      </c>
      <c r="E761" s="1" t="s">
        <v>481</v>
      </c>
      <c r="F761" s="1" t="s">
        <v>482</v>
      </c>
      <c r="G761" s="1" t="s">
        <v>389</v>
      </c>
      <c r="H761" s="1" t="s">
        <v>33</v>
      </c>
      <c r="I761" s="1">
        <v>3</v>
      </c>
      <c r="J761" s="1">
        <v>1</v>
      </c>
      <c r="K761" s="1" t="s">
        <v>18</v>
      </c>
      <c r="L761" s="1" t="s">
        <v>19</v>
      </c>
      <c r="M761" s="1" t="str">
        <f t="shared" si="11"/>
        <v xml:space="preserve">2010|40356| 20:30 |Round of 16|Soccer City Stadium|Johannesburg |South Africa|Argentina|3|1|Mexico| </v>
      </c>
    </row>
    <row r="762" spans="1:13" hidden="1" x14ac:dyDescent="0.2">
      <c r="A762" s="1">
        <v>2010</v>
      </c>
      <c r="B762" s="2" t="d">
        <v>2010-06-28</v>
      </c>
      <c r="C762" s="1" t="s">
        <v>32</v>
      </c>
      <c r="D762" s="12" t="s">
        <v>323</v>
      </c>
      <c r="E762" s="1" t="s">
        <v>495</v>
      </c>
      <c r="F762" s="1" t="s">
        <v>496</v>
      </c>
      <c r="G762" s="1" t="s">
        <v>389</v>
      </c>
      <c r="H762" s="1" t="s">
        <v>59</v>
      </c>
      <c r="I762" s="1">
        <v>2</v>
      </c>
      <c r="J762" s="1">
        <v>1</v>
      </c>
      <c r="K762" s="1" t="s">
        <v>499</v>
      </c>
      <c r="L762" s="1" t="s">
        <v>19</v>
      </c>
      <c r="M762" s="1" t="str">
        <f t="shared" si="11"/>
        <v xml:space="preserve">2010|40357| 16:00 |Round of 16|Durban Stadium|Durban |South Africa|Netherlands|2|1|Slovakia| </v>
      </c>
    </row>
    <row r="763" spans="1:13" hidden="1" x14ac:dyDescent="0.2">
      <c r="A763" s="1">
        <v>2010</v>
      </c>
      <c r="B763" s="2" t="d">
        <v>2010-06-28</v>
      </c>
      <c r="C763" s="1" t="s">
        <v>403</v>
      </c>
      <c r="D763" s="12" t="s">
        <v>323</v>
      </c>
      <c r="E763" s="1" t="s">
        <v>487</v>
      </c>
      <c r="F763" s="1" t="s">
        <v>482</v>
      </c>
      <c r="G763" s="1" t="s">
        <v>389</v>
      </c>
      <c r="H763" s="1" t="s">
        <v>27</v>
      </c>
      <c r="I763" s="1">
        <v>3</v>
      </c>
      <c r="J763" s="1">
        <v>0</v>
      </c>
      <c r="K763" s="1" t="s">
        <v>35</v>
      </c>
      <c r="L763" s="1" t="s">
        <v>19</v>
      </c>
      <c r="M763" s="1" t="str">
        <f t="shared" si="11"/>
        <v xml:space="preserve">2010|40357| 20:30 |Round of 16|Ellis Park Stadium|Johannesburg |South Africa|Brazil|3|0|Chile| </v>
      </c>
    </row>
    <row r="764" spans="1:13" hidden="1" x14ac:dyDescent="0.2">
      <c r="A764" s="1">
        <v>2010</v>
      </c>
      <c r="B764" s="2" t="d">
        <v>2010-06-29</v>
      </c>
      <c r="C764" s="1" t="s">
        <v>32</v>
      </c>
      <c r="D764" s="12" t="s">
        <v>323</v>
      </c>
      <c r="E764" s="1" t="s">
        <v>492</v>
      </c>
      <c r="F764" s="1" t="s">
        <v>493</v>
      </c>
      <c r="G764" s="1" t="s">
        <v>389</v>
      </c>
      <c r="H764" s="1" t="s">
        <v>37</v>
      </c>
      <c r="I764" s="1">
        <v>0</v>
      </c>
      <c r="J764" s="1">
        <v>0</v>
      </c>
      <c r="K764" s="1" t="s">
        <v>395</v>
      </c>
      <c r="L764" s="1" t="s">
        <v>503</v>
      </c>
      <c r="M764" s="1" t="str">
        <f t="shared" si="11"/>
        <v xml:space="preserve">2010|40358| 16:00 |Round of 16|Loftus Versfeld Stadium|Tshwane/Pretoria |South Africa|Paraguay|0|0|Japan|Paraguay win on penalties (5 - 3) </v>
      </c>
    </row>
    <row r="765" spans="1:13" hidden="1" x14ac:dyDescent="0.2">
      <c r="A765" s="1">
        <v>2010</v>
      </c>
      <c r="B765" s="2" t="d">
        <v>2010-06-29</v>
      </c>
      <c r="C765" s="1" t="s">
        <v>403</v>
      </c>
      <c r="D765" s="12" t="s">
        <v>323</v>
      </c>
      <c r="E765" s="1" t="s">
        <v>483</v>
      </c>
      <c r="F765" s="1" t="s">
        <v>484</v>
      </c>
      <c r="G765" s="1" t="s">
        <v>389</v>
      </c>
      <c r="H765" s="1" t="s">
        <v>68</v>
      </c>
      <c r="I765" s="1">
        <v>1</v>
      </c>
      <c r="J765" s="1">
        <v>0</v>
      </c>
      <c r="K765" s="1" t="s">
        <v>197</v>
      </c>
      <c r="L765" s="1" t="s">
        <v>19</v>
      </c>
      <c r="M765" s="1" t="str">
        <f t="shared" si="11"/>
        <v xml:space="preserve">2010|40358| 20:30 |Round of 16|Cape Town Stadium|Cape Town |South Africa|Spain|1|0|Portugal| </v>
      </c>
    </row>
    <row r="766" spans="1:13" hidden="1" x14ac:dyDescent="0.2">
      <c r="A766" s="1">
        <v>2010</v>
      </c>
      <c r="B766" s="2" t="d">
        <v>2010-07-02</v>
      </c>
      <c r="C766" s="1" t="s">
        <v>32</v>
      </c>
      <c r="D766" s="12" t="s">
        <v>74</v>
      </c>
      <c r="E766" s="1" t="s">
        <v>485</v>
      </c>
      <c r="F766" s="1" t="s">
        <v>486</v>
      </c>
      <c r="G766" s="1" t="s">
        <v>389</v>
      </c>
      <c r="H766" s="1" t="s">
        <v>59</v>
      </c>
      <c r="I766" s="1">
        <v>2</v>
      </c>
      <c r="J766" s="1">
        <v>1</v>
      </c>
      <c r="K766" s="1" t="s">
        <v>27</v>
      </c>
      <c r="L766" s="1" t="s">
        <v>19</v>
      </c>
      <c r="M766" s="1" t="str">
        <f t="shared" si="11"/>
        <v xml:space="preserve">2010|40361| 16:00 |Quarter-finals|Port Elizabeth Stadium|Nelson Mandela Bay/Port Elizabeth |South Africa|Netherlands|2|1|Brazil| </v>
      </c>
    </row>
    <row r="767" spans="1:13" hidden="1" x14ac:dyDescent="0.2">
      <c r="A767" s="1">
        <v>2010</v>
      </c>
      <c r="B767" s="2" t="d">
        <v>2010-07-02</v>
      </c>
      <c r="C767" s="1" t="s">
        <v>403</v>
      </c>
      <c r="D767" s="12" t="s">
        <v>74</v>
      </c>
      <c r="E767" s="1" t="s">
        <v>481</v>
      </c>
      <c r="F767" s="1" t="s">
        <v>482</v>
      </c>
      <c r="G767" s="1" t="s">
        <v>389</v>
      </c>
      <c r="H767" s="1" t="s">
        <v>16</v>
      </c>
      <c r="I767" s="1">
        <v>1</v>
      </c>
      <c r="J767" s="1">
        <v>1</v>
      </c>
      <c r="K767" s="1" t="s">
        <v>472</v>
      </c>
      <c r="L767" s="1" t="s">
        <v>504</v>
      </c>
      <c r="M767" s="1" t="str">
        <f t="shared" si="11"/>
        <v xml:space="preserve">2010|40361| 20:30 |Quarter-finals|Soccer City Stadium|Johannesburg |South Africa|Uruguay|1|1|Ghana|Uruguay win on penalties (4 - 2) </v>
      </c>
    </row>
    <row r="768" spans="1:13" hidden="1" x14ac:dyDescent="0.2">
      <c r="A768" s="1">
        <v>2010</v>
      </c>
      <c r="B768" s="2" t="d">
        <v>2010-07-03</v>
      </c>
      <c r="C768" s="1" t="s">
        <v>32</v>
      </c>
      <c r="D768" s="12" t="s">
        <v>74</v>
      </c>
      <c r="E768" s="1" t="s">
        <v>483</v>
      </c>
      <c r="F768" s="1" t="s">
        <v>484</v>
      </c>
      <c r="G768" s="1" t="s">
        <v>389</v>
      </c>
      <c r="H768" s="1" t="s">
        <v>33</v>
      </c>
      <c r="I768" s="1">
        <v>0</v>
      </c>
      <c r="J768" s="1">
        <v>4</v>
      </c>
      <c r="K768" s="1" t="s">
        <v>65</v>
      </c>
      <c r="L768" s="1" t="s">
        <v>19</v>
      </c>
      <c r="M768" s="1" t="str">
        <f t="shared" si="11"/>
        <v xml:space="preserve">2010|40362| 16:00 |Quarter-finals|Cape Town Stadium|Cape Town |South Africa|Argentina|0|4|Germany| </v>
      </c>
    </row>
    <row r="769" spans="1:13" hidden="1" x14ac:dyDescent="0.2">
      <c r="A769" s="1">
        <v>2010</v>
      </c>
      <c r="B769" s="2" t="d">
        <v>2010-07-03</v>
      </c>
      <c r="C769" s="1" t="s">
        <v>403</v>
      </c>
      <c r="D769" s="12" t="s">
        <v>74</v>
      </c>
      <c r="E769" s="1" t="s">
        <v>487</v>
      </c>
      <c r="F769" s="1" t="s">
        <v>482</v>
      </c>
      <c r="G769" s="1" t="s">
        <v>389</v>
      </c>
      <c r="H769" s="1" t="s">
        <v>37</v>
      </c>
      <c r="I769" s="1">
        <v>0</v>
      </c>
      <c r="J769" s="1">
        <v>1</v>
      </c>
      <c r="K769" s="1" t="s">
        <v>68</v>
      </c>
      <c r="L769" s="1" t="s">
        <v>19</v>
      </c>
      <c r="M769" s="1" t="str">
        <f t="shared" si="11"/>
        <v xml:space="preserve">2010|40362| 20:30 |Quarter-finals|Ellis Park Stadium|Johannesburg |South Africa|Paraguay|0|1|Spain| </v>
      </c>
    </row>
    <row r="770" spans="1:13" hidden="1" x14ac:dyDescent="0.2">
      <c r="A770" s="1">
        <v>2010</v>
      </c>
      <c r="B770" s="2" t="d">
        <v>2010-07-06</v>
      </c>
      <c r="C770" s="1" t="s">
        <v>403</v>
      </c>
      <c r="D770" s="12" t="s">
        <v>42</v>
      </c>
      <c r="E770" s="1" t="s">
        <v>483</v>
      </c>
      <c r="F770" s="1" t="s">
        <v>484</v>
      </c>
      <c r="G770" s="1" t="s">
        <v>389</v>
      </c>
      <c r="H770" s="1" t="s">
        <v>16</v>
      </c>
      <c r="I770" s="1">
        <v>2</v>
      </c>
      <c r="J770" s="1">
        <v>3</v>
      </c>
      <c r="K770" s="1" t="s">
        <v>59</v>
      </c>
      <c r="L770" s="1" t="s">
        <v>19</v>
      </c>
      <c r="M770" s="1" t="str">
        <f t="shared" si="11"/>
        <v xml:space="preserve">2010|40365| 20:30 |Semi-finals|Cape Town Stadium|Cape Town |South Africa|Uruguay|2|3|Netherlands| </v>
      </c>
    </row>
    <row r="771" spans="1:13" x14ac:dyDescent="0.2">
      <c r="A771" s="1">
        <v>2010</v>
      </c>
      <c r="B771" s="2" t="d">
        <v>2010-07-07</v>
      </c>
      <c r="C771" s="1" t="s">
        <v>403</v>
      </c>
      <c r="D771" s="12" t="s">
        <v>42</v>
      </c>
      <c r="E771" s="1" t="s">
        <v>495</v>
      </c>
      <c r="F771" s="1" t="s">
        <v>496</v>
      </c>
      <c r="G771" s="1" t="s">
        <v>389</v>
      </c>
      <c r="H771" s="1" t="s">
        <v>65</v>
      </c>
      <c r="I771" s="1">
        <v>0</v>
      </c>
      <c r="J771" s="1">
        <v>1</v>
      </c>
      <c r="K771" s="1" t="s">
        <v>68</v>
      </c>
      <c r="L771" s="1" t="s">
        <v>19</v>
      </c>
      <c r="M771" s="1" t="str">
        <f t="shared" ref="M771:M834" si="12">_xlfn.TEXTJOIN("|",TRUE,A771,B771,C771,D771,E771,F771,G771,H771,I771,J771,K771,L771)</f>
        <v xml:space="preserve">2010|40366| 20:30 |Semi-finals|Durban Stadium|Durban |South Africa|Germany|0|1|Spain| </v>
      </c>
    </row>
    <row r="772" spans="1:13" hidden="1" x14ac:dyDescent="0.2">
      <c r="A772" s="1">
        <v>2010</v>
      </c>
      <c r="B772" s="2" t="d">
        <v>2010-07-10</v>
      </c>
      <c r="C772" s="1" t="s">
        <v>403</v>
      </c>
      <c r="D772" s="12" t="s">
        <v>76</v>
      </c>
      <c r="E772" s="1" t="s">
        <v>485</v>
      </c>
      <c r="F772" s="1" t="s">
        <v>486</v>
      </c>
      <c r="G772" s="1" t="s">
        <v>389</v>
      </c>
      <c r="H772" s="1" t="s">
        <v>16</v>
      </c>
      <c r="I772" s="1">
        <v>2</v>
      </c>
      <c r="J772" s="1">
        <v>3</v>
      </c>
      <c r="K772" s="1" t="s">
        <v>65</v>
      </c>
      <c r="L772" s="1" t="s">
        <v>19</v>
      </c>
      <c r="M772" s="1" t="str">
        <f t="shared" si="12"/>
        <v xml:space="preserve">2010|40369| 20:30 |Match for third place|Port Elizabeth Stadium|Nelson Mandela Bay/Port Elizabeth |South Africa|Uruguay|2|3|Germany| </v>
      </c>
    </row>
    <row r="773" spans="1:13" hidden="1" x14ac:dyDescent="0.2">
      <c r="A773" s="1">
        <v>2010</v>
      </c>
      <c r="B773" s="2" t="d">
        <v>2010-07-11</v>
      </c>
      <c r="C773" s="1" t="s">
        <v>403</v>
      </c>
      <c r="D773" s="12" t="s">
        <v>44</v>
      </c>
      <c r="E773" s="1" t="s">
        <v>481</v>
      </c>
      <c r="F773" s="1" t="s">
        <v>482</v>
      </c>
      <c r="G773" s="1" t="s">
        <v>389</v>
      </c>
      <c r="H773" s="1" t="s">
        <v>59</v>
      </c>
      <c r="I773" s="1">
        <v>0</v>
      </c>
      <c r="J773" s="1">
        <v>1</v>
      </c>
      <c r="K773" s="1" t="s">
        <v>68</v>
      </c>
      <c r="L773" s="1" t="s">
        <v>505</v>
      </c>
      <c r="M773" s="1" t="str">
        <f t="shared" si="12"/>
        <v xml:space="preserve">2010|40370| 20:30 |Final|Soccer City Stadium|Johannesburg |South Africa|Netherlands|0|1|Spain|Spain win after extra time </v>
      </c>
    </row>
    <row r="774" spans="1:13" hidden="1" x14ac:dyDescent="0.2">
      <c r="A774" s="1">
        <v>2014</v>
      </c>
      <c r="B774" s="2" t="d">
        <v>2014-06-12</v>
      </c>
      <c r="C774" s="1" t="s">
        <v>79</v>
      </c>
      <c r="D774" s="1" t="s">
        <v>242</v>
      </c>
      <c r="E774" s="1" t="s">
        <v>506</v>
      </c>
      <c r="F774" s="1" t="s">
        <v>114</v>
      </c>
      <c r="G774" s="1" t="s">
        <v>27</v>
      </c>
      <c r="H774" s="1" t="s">
        <v>27</v>
      </c>
      <c r="I774" s="1">
        <v>3</v>
      </c>
      <c r="J774" s="1">
        <v>1</v>
      </c>
      <c r="K774" s="1" t="s">
        <v>399</v>
      </c>
      <c r="L774" s="1" t="s">
        <v>19</v>
      </c>
      <c r="M774" s="1" t="str">
        <f t="shared" si="12"/>
        <v xml:space="preserve">2014|41802| 17:00 |Group A|Arena de Sao Paulo|Sao Paulo |Brazil|Brazil|3|1|Croatia| </v>
      </c>
    </row>
    <row r="775" spans="1:13" hidden="1" x14ac:dyDescent="0.2">
      <c r="A775" s="1">
        <v>2014</v>
      </c>
      <c r="B775" s="2" t="d">
        <v>2014-06-13</v>
      </c>
      <c r="C775" s="1" t="s">
        <v>41</v>
      </c>
      <c r="D775" s="1" t="s">
        <v>242</v>
      </c>
      <c r="E775" s="1" t="s">
        <v>507</v>
      </c>
      <c r="F775" s="1" t="s">
        <v>508</v>
      </c>
      <c r="G775" s="1" t="s">
        <v>27</v>
      </c>
      <c r="H775" s="1" t="s">
        <v>18</v>
      </c>
      <c r="I775" s="1">
        <v>1</v>
      </c>
      <c r="J775" s="1">
        <v>0</v>
      </c>
      <c r="K775" s="1" t="s">
        <v>273</v>
      </c>
      <c r="L775" s="1" t="s">
        <v>19</v>
      </c>
      <c r="M775" s="1" t="str">
        <f t="shared" si="12"/>
        <v xml:space="preserve">2014|41803| 13:00 |Group A|Estadio das Dunas|Natal |Brazil|Mexico|1|0|Cameroon| </v>
      </c>
    </row>
    <row r="776" spans="1:13" hidden="1" x14ac:dyDescent="0.2">
      <c r="A776" s="1">
        <v>2014</v>
      </c>
      <c r="B776" s="2" t="d">
        <v>2014-06-13</v>
      </c>
      <c r="C776" s="1" t="s">
        <v>32</v>
      </c>
      <c r="D776" s="1" t="s">
        <v>241</v>
      </c>
      <c r="E776" s="1" t="s">
        <v>509</v>
      </c>
      <c r="F776" s="1" t="s">
        <v>510</v>
      </c>
      <c r="G776" s="1" t="s">
        <v>27</v>
      </c>
      <c r="H776" s="1" t="s">
        <v>68</v>
      </c>
      <c r="I776" s="1">
        <v>1</v>
      </c>
      <c r="J776" s="1">
        <v>5</v>
      </c>
      <c r="K776" s="1" t="s">
        <v>59</v>
      </c>
      <c r="L776" s="1" t="s">
        <v>19</v>
      </c>
      <c r="M776" s="1" t="str">
        <f t="shared" si="12"/>
        <v xml:space="preserve">2014|41803| 16:00 |Group B|Arena Fonte Nova|Salvador |Brazil|Spain|1|5|Netherlands| </v>
      </c>
    </row>
    <row r="777" spans="1:13" hidden="1" x14ac:dyDescent="0.2">
      <c r="A777" s="1">
        <v>2014</v>
      </c>
      <c r="B777" s="2" t="d">
        <v>2014-06-13</v>
      </c>
      <c r="C777" s="1" t="s">
        <v>75</v>
      </c>
      <c r="D777" s="1" t="s">
        <v>241</v>
      </c>
      <c r="E777" s="1" t="s">
        <v>511</v>
      </c>
      <c r="F777" s="1" t="s">
        <v>512</v>
      </c>
      <c r="G777" s="1" t="s">
        <v>27</v>
      </c>
      <c r="H777" s="1" t="s">
        <v>35</v>
      </c>
      <c r="I777" s="1">
        <v>3</v>
      </c>
      <c r="J777" s="1">
        <v>1</v>
      </c>
      <c r="K777" s="1" t="s">
        <v>227</v>
      </c>
      <c r="L777" s="1" t="s">
        <v>19</v>
      </c>
      <c r="M777" s="1" t="str">
        <f t="shared" si="12"/>
        <v xml:space="preserve">2014|41803| 18:00 |Group B|Arena Pantanal|Cuiaba |Brazil|Chile|3|1|Australia| </v>
      </c>
    </row>
    <row r="778" spans="1:13" hidden="1" x14ac:dyDescent="0.2">
      <c r="A778" s="1">
        <v>2014</v>
      </c>
      <c r="B778" s="2" t="d">
        <v>2014-06-14</v>
      </c>
      <c r="C778" s="1" t="s">
        <v>41</v>
      </c>
      <c r="D778" s="1" t="s">
        <v>304</v>
      </c>
      <c r="E778" s="1" t="s">
        <v>513</v>
      </c>
      <c r="F778" s="1" t="s">
        <v>116</v>
      </c>
      <c r="G778" s="1" t="s">
        <v>27</v>
      </c>
      <c r="H778" s="1" t="s">
        <v>177</v>
      </c>
      <c r="I778" s="1">
        <v>3</v>
      </c>
      <c r="J778" s="1">
        <v>0</v>
      </c>
      <c r="K778" s="1" t="s">
        <v>377</v>
      </c>
      <c r="L778" s="1" t="s">
        <v>19</v>
      </c>
      <c r="M778" s="1" t="str">
        <f t="shared" si="12"/>
        <v xml:space="preserve">2014|41804| 13:00 |Group C|Estadio Mineirao|Belo Horizonte |Brazil|Colombia|3|0|Greece| </v>
      </c>
    </row>
    <row r="779" spans="1:13" hidden="1" x14ac:dyDescent="0.2">
      <c r="A779" s="1">
        <v>2014</v>
      </c>
      <c r="B779" s="2" t="d">
        <v>2014-06-14</v>
      </c>
      <c r="C779" s="1" t="s">
        <v>32</v>
      </c>
      <c r="D779" s="1" t="s">
        <v>306</v>
      </c>
      <c r="E779" s="1" t="s">
        <v>514</v>
      </c>
      <c r="F779" s="1" t="s">
        <v>515</v>
      </c>
      <c r="G779" s="1" t="s">
        <v>27</v>
      </c>
      <c r="H779" s="1" t="s">
        <v>16</v>
      </c>
      <c r="I779" s="1">
        <v>1</v>
      </c>
      <c r="J779" s="1">
        <v>3</v>
      </c>
      <c r="K779" s="1" t="s">
        <v>337</v>
      </c>
      <c r="L779" s="1" t="s">
        <v>19</v>
      </c>
      <c r="M779" s="1" t="str">
        <f t="shared" si="12"/>
        <v xml:space="preserve">2014|41804| 16:00 |Group D|Estadio Castelao|Fortaleza |Brazil|Uruguay|1|3|Costa Rica| </v>
      </c>
    </row>
    <row r="780" spans="1:13" hidden="1" x14ac:dyDescent="0.2">
      <c r="A780" s="1">
        <v>2014</v>
      </c>
      <c r="B780" s="2" t="d">
        <v>2014-06-14</v>
      </c>
      <c r="C780" s="1" t="s">
        <v>75</v>
      </c>
      <c r="D780" s="1" t="s">
        <v>306</v>
      </c>
      <c r="E780" s="1" t="s">
        <v>516</v>
      </c>
      <c r="F780" s="1" t="s">
        <v>517</v>
      </c>
      <c r="G780" s="1" t="s">
        <v>27</v>
      </c>
      <c r="H780" s="1" t="s">
        <v>110</v>
      </c>
      <c r="I780" s="1">
        <v>1</v>
      </c>
      <c r="J780" s="1">
        <v>2</v>
      </c>
      <c r="K780" s="1" t="s">
        <v>49</v>
      </c>
      <c r="L780" s="1" t="s">
        <v>19</v>
      </c>
      <c r="M780" s="1" t="str">
        <f t="shared" si="12"/>
        <v xml:space="preserve">2014|41804| 18:00 |Group D|Arena Amazonia|Manaus |Brazil|England|1|2|Italy| </v>
      </c>
    </row>
    <row r="781" spans="1:13" hidden="1" x14ac:dyDescent="0.2">
      <c r="A781" s="1">
        <v>2014</v>
      </c>
      <c r="B781" s="2" t="d">
        <v>2014-06-14</v>
      </c>
      <c r="C781" s="1" t="s">
        <v>518</v>
      </c>
      <c r="D781" s="1" t="s">
        <v>304</v>
      </c>
      <c r="E781" s="1" t="s">
        <v>519</v>
      </c>
      <c r="F781" s="1" t="s">
        <v>122</v>
      </c>
      <c r="G781" s="1" t="s">
        <v>27</v>
      </c>
      <c r="H781" s="1" t="s">
        <v>459</v>
      </c>
      <c r="I781" s="1">
        <v>2</v>
      </c>
      <c r="J781" s="1">
        <v>1</v>
      </c>
      <c r="K781" s="1" t="s">
        <v>395</v>
      </c>
      <c r="L781" s="1" t="s">
        <v>19</v>
      </c>
      <c r="M781" s="1" t="str">
        <f t="shared" si="12"/>
        <v xml:space="preserve">2014|41804| 22:00 |Group C|Arena Pernambuco|Recife |Brazil|Cï¿½te d'Ivoire|2|1|Japan| </v>
      </c>
    </row>
    <row r="782" spans="1:13" hidden="1" x14ac:dyDescent="0.2">
      <c r="A782" s="1">
        <v>2014</v>
      </c>
      <c r="B782" s="2" t="d">
        <v>2014-06-15</v>
      </c>
      <c r="C782" s="1" t="s">
        <v>41</v>
      </c>
      <c r="D782" s="1" t="s">
        <v>317</v>
      </c>
      <c r="E782" s="1" t="s">
        <v>520</v>
      </c>
      <c r="F782" s="1" t="s">
        <v>521</v>
      </c>
      <c r="G782" s="1" t="s">
        <v>27</v>
      </c>
      <c r="H782" s="1" t="s">
        <v>58</v>
      </c>
      <c r="I782" s="1">
        <v>2</v>
      </c>
      <c r="J782" s="1">
        <v>1</v>
      </c>
      <c r="K782" s="1" t="s">
        <v>423</v>
      </c>
      <c r="L782" s="1" t="s">
        <v>19</v>
      </c>
      <c r="M782" s="1" t="str">
        <f t="shared" si="12"/>
        <v xml:space="preserve">2014|41805| 13:00 |Group E|Estadio Nacional|Brasilia |Brazil|Switzerland|2|1|Ecuador| </v>
      </c>
    </row>
    <row r="783" spans="1:13" hidden="1" x14ac:dyDescent="0.2">
      <c r="A783" s="1">
        <v>2014</v>
      </c>
      <c r="B783" s="2" t="d">
        <v>2014-06-15</v>
      </c>
      <c r="C783" s="1" t="s">
        <v>32</v>
      </c>
      <c r="D783" s="1" t="s">
        <v>317</v>
      </c>
      <c r="E783" s="1" t="s">
        <v>522</v>
      </c>
      <c r="F783" s="1" t="s">
        <v>118</v>
      </c>
      <c r="G783" s="1" t="s">
        <v>27</v>
      </c>
      <c r="H783" s="1" t="s">
        <v>17</v>
      </c>
      <c r="I783" s="1">
        <v>3</v>
      </c>
      <c r="J783" s="1">
        <v>0</v>
      </c>
      <c r="K783" s="1" t="s">
        <v>287</v>
      </c>
      <c r="L783" s="1" t="s">
        <v>19</v>
      </c>
      <c r="M783" s="1" t="str">
        <f t="shared" si="12"/>
        <v xml:space="preserve">2014|41805| 16:00 |Group E|Estadio Beira-Rio|Porto Alegre |Brazil|France|3|0|Honduras| </v>
      </c>
    </row>
    <row r="784" spans="1:13" hidden="1" x14ac:dyDescent="0.2">
      <c r="A784" s="1">
        <v>2014</v>
      </c>
      <c r="B784" s="2" t="d">
        <v>2014-06-15</v>
      </c>
      <c r="C784" s="1" t="s">
        <v>148</v>
      </c>
      <c r="D784" s="1" t="s">
        <v>310</v>
      </c>
      <c r="E784" s="1" t="s">
        <v>523</v>
      </c>
      <c r="F784" s="1" t="s">
        <v>109</v>
      </c>
      <c r="G784" s="1" t="s">
        <v>27</v>
      </c>
      <c r="H784" s="1" t="s">
        <v>33</v>
      </c>
      <c r="I784" s="1">
        <v>2</v>
      </c>
      <c r="J784" s="1">
        <v>1</v>
      </c>
      <c r="K784" s="1" t="s">
        <v>524</v>
      </c>
      <c r="L784" s="1" t="s">
        <v>19</v>
      </c>
      <c r="M784" s="1" t="str">
        <f t="shared" si="12"/>
        <v xml:space="preserve">2014|41805| 19:00 |Group F|Estadio do Maracana|Rio De Janeiro |Brazil|Argentina|2|1|Bosnia and Herzegovina| </v>
      </c>
    </row>
    <row r="785" spans="1:13" x14ac:dyDescent="0.2">
      <c r="A785" s="1">
        <v>2014</v>
      </c>
      <c r="B785" s="2" t="d">
        <v>2014-06-16</v>
      </c>
      <c r="C785" s="1" t="s">
        <v>41</v>
      </c>
      <c r="D785" s="1" t="s">
        <v>400</v>
      </c>
      <c r="E785" s="1" t="s">
        <v>509</v>
      </c>
      <c r="F785" s="1" t="s">
        <v>510</v>
      </c>
      <c r="G785" s="1" t="s">
        <v>27</v>
      </c>
      <c r="H785" s="1" t="s">
        <v>65</v>
      </c>
      <c r="I785" s="1">
        <v>4</v>
      </c>
      <c r="J785" s="1">
        <v>0</v>
      </c>
      <c r="K785" s="1" t="s">
        <v>197</v>
      </c>
      <c r="L785" s="1" t="s">
        <v>19</v>
      </c>
      <c r="M785" s="1" t="str">
        <f t="shared" si="12"/>
        <v xml:space="preserve">2014|41806| 13:00 |Group G|Arena Fonte Nova|Salvador |Brazil|Germany|4|0|Portugal| </v>
      </c>
    </row>
    <row r="786" spans="1:13" hidden="1" x14ac:dyDescent="0.2">
      <c r="A786" s="1">
        <v>2014</v>
      </c>
      <c r="B786" s="2" t="d">
        <v>2014-06-16</v>
      </c>
      <c r="C786" s="1" t="s">
        <v>32</v>
      </c>
      <c r="D786" s="1" t="s">
        <v>310</v>
      </c>
      <c r="E786" s="1" t="s">
        <v>525</v>
      </c>
      <c r="F786" s="1" t="s">
        <v>112</v>
      </c>
      <c r="G786" s="1" t="s">
        <v>27</v>
      </c>
      <c r="H786" s="1" t="s">
        <v>258</v>
      </c>
      <c r="I786" s="1">
        <v>0</v>
      </c>
      <c r="J786" s="1">
        <v>0</v>
      </c>
      <c r="K786" s="1" t="s">
        <v>378</v>
      </c>
      <c r="L786" s="1" t="s">
        <v>19</v>
      </c>
      <c r="M786" s="1" t="str">
        <f t="shared" si="12"/>
        <v xml:space="preserve">2014|41806| 16:00 |Group F|Arena da Baixada|Curitiba |Brazil|IR Iran|0|0|Nigeria| </v>
      </c>
    </row>
    <row r="787" spans="1:13" hidden="1" x14ac:dyDescent="0.2">
      <c r="A787" s="1">
        <v>2014</v>
      </c>
      <c r="B787" s="2" t="d">
        <v>2014-06-16</v>
      </c>
      <c r="C787" s="1" t="s">
        <v>148</v>
      </c>
      <c r="D787" s="1" t="s">
        <v>400</v>
      </c>
      <c r="E787" s="1" t="s">
        <v>507</v>
      </c>
      <c r="F787" s="1" t="s">
        <v>508</v>
      </c>
      <c r="G787" s="1" t="s">
        <v>27</v>
      </c>
      <c r="H787" s="1" t="s">
        <v>472</v>
      </c>
      <c r="I787" s="1">
        <v>1</v>
      </c>
      <c r="J787" s="1">
        <v>2</v>
      </c>
      <c r="K787" s="1" t="s">
        <v>22</v>
      </c>
      <c r="L787" s="1" t="s">
        <v>19</v>
      </c>
      <c r="M787" s="1" t="str">
        <f t="shared" si="12"/>
        <v xml:space="preserve">2014|41806| 19:00 |Group G|Estadio das Dunas|Natal |Brazil|Ghana|1|2|USA| </v>
      </c>
    </row>
    <row r="788" spans="1:13" hidden="1" x14ac:dyDescent="0.2">
      <c r="A788" s="1">
        <v>2014</v>
      </c>
      <c r="B788" s="2" t="d">
        <v>2014-06-17</v>
      </c>
      <c r="C788" s="1" t="s">
        <v>41</v>
      </c>
      <c r="D788" s="1" t="s">
        <v>394</v>
      </c>
      <c r="E788" s="1" t="s">
        <v>513</v>
      </c>
      <c r="F788" s="1" t="s">
        <v>116</v>
      </c>
      <c r="G788" s="1" t="s">
        <v>27</v>
      </c>
      <c r="H788" s="1" t="s">
        <v>23</v>
      </c>
      <c r="I788" s="1">
        <v>2</v>
      </c>
      <c r="J788" s="1">
        <v>1</v>
      </c>
      <c r="K788" s="1" t="s">
        <v>281</v>
      </c>
      <c r="L788" s="1" t="s">
        <v>19</v>
      </c>
      <c r="M788" s="1" t="str">
        <f t="shared" si="12"/>
        <v xml:space="preserve">2014|41807| 13:00 |Group H|Estadio Mineirao|Belo Horizonte |Brazil|Belgium|2|1|Algeria| </v>
      </c>
    </row>
    <row r="789" spans="1:13" hidden="1" x14ac:dyDescent="0.2">
      <c r="A789" s="1">
        <v>2014</v>
      </c>
      <c r="B789" s="2" t="d">
        <v>2014-06-17</v>
      </c>
      <c r="C789" s="1" t="s">
        <v>32</v>
      </c>
      <c r="D789" s="1" t="s">
        <v>242</v>
      </c>
      <c r="E789" s="1" t="s">
        <v>514</v>
      </c>
      <c r="F789" s="1" t="s">
        <v>515</v>
      </c>
      <c r="G789" s="1" t="s">
        <v>27</v>
      </c>
      <c r="H789" s="1" t="s">
        <v>27</v>
      </c>
      <c r="I789" s="1">
        <v>0</v>
      </c>
      <c r="J789" s="1">
        <v>0</v>
      </c>
      <c r="K789" s="1" t="s">
        <v>18</v>
      </c>
      <c r="L789" s="1" t="s">
        <v>19</v>
      </c>
      <c r="M789" s="1" t="str">
        <f t="shared" si="12"/>
        <v xml:space="preserve">2014|41807| 16:00 |Group A|Estadio Castelao|Fortaleza |Brazil|Brazil|0|0|Mexico| </v>
      </c>
    </row>
    <row r="790" spans="1:13" hidden="1" x14ac:dyDescent="0.2">
      <c r="A790" s="1">
        <v>2014</v>
      </c>
      <c r="B790" s="2" t="d">
        <v>2014-06-17</v>
      </c>
      <c r="C790" s="1" t="s">
        <v>75</v>
      </c>
      <c r="D790" s="1" t="s">
        <v>394</v>
      </c>
      <c r="E790" s="1" t="s">
        <v>511</v>
      </c>
      <c r="F790" s="1" t="s">
        <v>512</v>
      </c>
      <c r="G790" s="1" t="s">
        <v>27</v>
      </c>
      <c r="H790" s="1" t="s">
        <v>374</v>
      </c>
      <c r="I790" s="1">
        <v>1</v>
      </c>
      <c r="J790" s="1">
        <v>1</v>
      </c>
      <c r="K790" s="1" t="s">
        <v>135</v>
      </c>
      <c r="L790" s="1" t="s">
        <v>19</v>
      </c>
      <c r="M790" s="1" t="str">
        <f t="shared" si="12"/>
        <v xml:space="preserve">2014|41807| 18:00 |Group H|Arena Pantanal|Cuiaba |Brazil|Russia|1|1|Korea Republic| </v>
      </c>
    </row>
    <row r="791" spans="1:13" hidden="1" x14ac:dyDescent="0.2">
      <c r="A791" s="1">
        <v>2014</v>
      </c>
      <c r="B791" s="2" t="d">
        <v>2014-06-18</v>
      </c>
      <c r="C791" s="1" t="s">
        <v>41</v>
      </c>
      <c r="D791" s="1" t="s">
        <v>241</v>
      </c>
      <c r="E791" s="1" t="s">
        <v>522</v>
      </c>
      <c r="F791" s="1" t="s">
        <v>118</v>
      </c>
      <c r="G791" s="1" t="s">
        <v>27</v>
      </c>
      <c r="H791" s="1" t="s">
        <v>227</v>
      </c>
      <c r="I791" s="1">
        <v>2</v>
      </c>
      <c r="J791" s="1">
        <v>3</v>
      </c>
      <c r="K791" s="1" t="s">
        <v>59</v>
      </c>
      <c r="L791" s="1" t="s">
        <v>19</v>
      </c>
      <c r="M791" s="1" t="str">
        <f t="shared" si="12"/>
        <v xml:space="preserve">2014|41808| 13:00 |Group B|Estadio Beira-Rio|Porto Alegre |Brazil|Australia|2|3|Netherlands| </v>
      </c>
    </row>
    <row r="792" spans="1:13" hidden="1" x14ac:dyDescent="0.2">
      <c r="A792" s="1">
        <v>2014</v>
      </c>
      <c r="B792" s="2" t="d">
        <v>2014-06-18</v>
      </c>
      <c r="C792" s="1" t="s">
        <v>32</v>
      </c>
      <c r="D792" s="1" t="s">
        <v>241</v>
      </c>
      <c r="E792" s="1" t="s">
        <v>523</v>
      </c>
      <c r="F792" s="1" t="s">
        <v>109</v>
      </c>
      <c r="G792" s="1" t="s">
        <v>27</v>
      </c>
      <c r="H792" s="1" t="s">
        <v>68</v>
      </c>
      <c r="I792" s="1">
        <v>0</v>
      </c>
      <c r="J792" s="1">
        <v>2</v>
      </c>
      <c r="K792" s="1" t="s">
        <v>35</v>
      </c>
      <c r="L792" s="1" t="s">
        <v>19</v>
      </c>
      <c r="M792" s="1" t="str">
        <f t="shared" si="12"/>
        <v xml:space="preserve">2014|41808| 16:00 |Group B|Estadio do Maracana|Rio De Janeiro |Brazil|Spain|0|2|Chile| </v>
      </c>
    </row>
    <row r="793" spans="1:13" hidden="1" x14ac:dyDescent="0.2">
      <c r="A793" s="1">
        <v>2014</v>
      </c>
      <c r="B793" s="2" t="d">
        <v>2014-06-18</v>
      </c>
      <c r="C793" s="1" t="s">
        <v>75</v>
      </c>
      <c r="D793" s="1" t="s">
        <v>242</v>
      </c>
      <c r="E793" s="1" t="s">
        <v>516</v>
      </c>
      <c r="F793" s="1" t="s">
        <v>517</v>
      </c>
      <c r="G793" s="1" t="s">
        <v>27</v>
      </c>
      <c r="H793" s="1" t="s">
        <v>273</v>
      </c>
      <c r="I793" s="1">
        <v>0</v>
      </c>
      <c r="J793" s="1">
        <v>4</v>
      </c>
      <c r="K793" s="1" t="s">
        <v>399</v>
      </c>
      <c r="L793" s="1" t="s">
        <v>19</v>
      </c>
      <c r="M793" s="1" t="str">
        <f t="shared" si="12"/>
        <v xml:space="preserve">2014|41808| 18:00 |Group A|Arena Amazonia|Manaus |Brazil|Cameroon|0|4|Croatia| </v>
      </c>
    </row>
    <row r="794" spans="1:13" hidden="1" x14ac:dyDescent="0.2">
      <c r="A794" s="1">
        <v>2014</v>
      </c>
      <c r="B794" s="2" t="d">
        <v>2014-06-19</v>
      </c>
      <c r="C794" s="1" t="s">
        <v>41</v>
      </c>
      <c r="D794" s="1" t="s">
        <v>304</v>
      </c>
      <c r="E794" s="1" t="s">
        <v>520</v>
      </c>
      <c r="F794" s="1" t="s">
        <v>521</v>
      </c>
      <c r="G794" s="1" t="s">
        <v>27</v>
      </c>
      <c r="H794" s="1" t="s">
        <v>177</v>
      </c>
      <c r="I794" s="1">
        <v>2</v>
      </c>
      <c r="J794" s="1">
        <v>1</v>
      </c>
      <c r="K794" s="1" t="s">
        <v>459</v>
      </c>
      <c r="L794" s="1" t="s">
        <v>19</v>
      </c>
      <c r="M794" s="1" t="str">
        <f t="shared" si="12"/>
        <v xml:space="preserve">2014|41809| 13:00 |Group C|Estadio Nacional|Brasilia |Brazil|Colombia|2|1|Cï¿½te d'Ivoire| </v>
      </c>
    </row>
    <row r="795" spans="1:13" hidden="1" x14ac:dyDescent="0.2">
      <c r="A795" s="1">
        <v>2014</v>
      </c>
      <c r="B795" s="2" t="d">
        <v>2014-06-19</v>
      </c>
      <c r="C795" s="1" t="s">
        <v>32</v>
      </c>
      <c r="D795" s="1" t="s">
        <v>306</v>
      </c>
      <c r="E795" s="1" t="s">
        <v>506</v>
      </c>
      <c r="F795" s="1" t="s">
        <v>114</v>
      </c>
      <c r="G795" s="1" t="s">
        <v>27</v>
      </c>
      <c r="H795" s="1" t="s">
        <v>16</v>
      </c>
      <c r="I795" s="1">
        <v>2</v>
      </c>
      <c r="J795" s="1">
        <v>1</v>
      </c>
      <c r="K795" s="1" t="s">
        <v>110</v>
      </c>
      <c r="L795" s="1" t="s">
        <v>19</v>
      </c>
      <c r="M795" s="1" t="str">
        <f t="shared" si="12"/>
        <v xml:space="preserve">2014|41809| 16:00 |Group D|Arena de Sao Paulo|Sao Paulo |Brazil|Uruguay|2|1|England| </v>
      </c>
    </row>
    <row r="796" spans="1:13" hidden="1" x14ac:dyDescent="0.2">
      <c r="A796" s="1">
        <v>2014</v>
      </c>
      <c r="B796" s="2" t="d">
        <v>2014-06-19</v>
      </c>
      <c r="C796" s="1" t="s">
        <v>148</v>
      </c>
      <c r="D796" s="1" t="s">
        <v>304</v>
      </c>
      <c r="E796" s="1" t="s">
        <v>507</v>
      </c>
      <c r="F796" s="1" t="s">
        <v>508</v>
      </c>
      <c r="G796" s="1" t="s">
        <v>27</v>
      </c>
      <c r="H796" s="1" t="s">
        <v>395</v>
      </c>
      <c r="I796" s="1">
        <v>0</v>
      </c>
      <c r="J796" s="1">
        <v>0</v>
      </c>
      <c r="K796" s="1" t="s">
        <v>377</v>
      </c>
      <c r="L796" s="1" t="s">
        <v>19</v>
      </c>
      <c r="M796" s="1" t="str">
        <f t="shared" si="12"/>
        <v xml:space="preserve">2014|41809| 19:00 |Group C|Estadio das Dunas|Natal |Brazil|Japan|0|0|Greece| </v>
      </c>
    </row>
    <row r="797" spans="1:13" hidden="1" x14ac:dyDescent="0.2">
      <c r="A797" s="1">
        <v>2014</v>
      </c>
      <c r="B797" s="2" t="d">
        <v>2014-06-20</v>
      </c>
      <c r="C797" s="1" t="s">
        <v>41</v>
      </c>
      <c r="D797" s="1" t="s">
        <v>306</v>
      </c>
      <c r="E797" s="1" t="s">
        <v>519</v>
      </c>
      <c r="F797" s="1" t="s">
        <v>122</v>
      </c>
      <c r="G797" s="1" t="s">
        <v>27</v>
      </c>
      <c r="H797" s="1" t="s">
        <v>49</v>
      </c>
      <c r="I797" s="1">
        <v>0</v>
      </c>
      <c r="J797" s="1">
        <v>1</v>
      </c>
      <c r="K797" s="1" t="s">
        <v>337</v>
      </c>
      <c r="L797" s="1" t="s">
        <v>19</v>
      </c>
      <c r="M797" s="1" t="str">
        <f t="shared" si="12"/>
        <v xml:space="preserve">2014|41810| 13:00 |Group D|Arena Pernambuco|Recife |Brazil|Italy|0|1|Costa Rica| </v>
      </c>
    </row>
    <row r="798" spans="1:13" hidden="1" x14ac:dyDescent="0.2">
      <c r="A798" s="1">
        <v>2014</v>
      </c>
      <c r="B798" s="2" t="d">
        <v>2014-06-20</v>
      </c>
      <c r="C798" s="1" t="s">
        <v>32</v>
      </c>
      <c r="D798" s="1" t="s">
        <v>317</v>
      </c>
      <c r="E798" s="1" t="s">
        <v>509</v>
      </c>
      <c r="F798" s="1" t="s">
        <v>510</v>
      </c>
      <c r="G798" s="1" t="s">
        <v>27</v>
      </c>
      <c r="H798" s="1" t="s">
        <v>58</v>
      </c>
      <c r="I798" s="1">
        <v>2</v>
      </c>
      <c r="J798" s="1">
        <v>5</v>
      </c>
      <c r="K798" s="1" t="s">
        <v>17</v>
      </c>
      <c r="L798" s="1" t="s">
        <v>19</v>
      </c>
      <c r="M798" s="1" t="str">
        <f t="shared" si="12"/>
        <v xml:space="preserve">2014|41810| 16:00 |Group E|Arena Fonte Nova|Salvador |Brazil|Switzerland|2|5|France| </v>
      </c>
    </row>
    <row r="799" spans="1:13" hidden="1" x14ac:dyDescent="0.2">
      <c r="A799" s="1">
        <v>2014</v>
      </c>
      <c r="B799" s="2" t="d">
        <v>2014-06-20</v>
      </c>
      <c r="C799" s="1" t="s">
        <v>148</v>
      </c>
      <c r="D799" s="1" t="s">
        <v>317</v>
      </c>
      <c r="E799" s="1" t="s">
        <v>525</v>
      </c>
      <c r="F799" s="1" t="s">
        <v>112</v>
      </c>
      <c r="G799" s="1" t="s">
        <v>27</v>
      </c>
      <c r="H799" s="1" t="s">
        <v>287</v>
      </c>
      <c r="I799" s="1">
        <v>1</v>
      </c>
      <c r="J799" s="1">
        <v>2</v>
      </c>
      <c r="K799" s="1" t="s">
        <v>423</v>
      </c>
      <c r="L799" s="1" t="s">
        <v>19</v>
      </c>
      <c r="M799" s="1" t="str">
        <f t="shared" si="12"/>
        <v xml:space="preserve">2014|41810| 19:00 |Group E|Arena da Baixada|Curitiba |Brazil|Honduras|1|2|Ecuador| </v>
      </c>
    </row>
    <row r="800" spans="1:13" hidden="1" x14ac:dyDescent="0.2">
      <c r="A800" s="1">
        <v>2014</v>
      </c>
      <c r="B800" s="2" t="d">
        <v>2014-06-21</v>
      </c>
      <c r="C800" s="1" t="s">
        <v>41</v>
      </c>
      <c r="D800" s="1" t="s">
        <v>310</v>
      </c>
      <c r="E800" s="1" t="s">
        <v>513</v>
      </c>
      <c r="F800" s="1" t="s">
        <v>116</v>
      </c>
      <c r="G800" s="1" t="s">
        <v>27</v>
      </c>
      <c r="H800" s="1" t="s">
        <v>33</v>
      </c>
      <c r="I800" s="1">
        <v>1</v>
      </c>
      <c r="J800" s="1">
        <v>0</v>
      </c>
      <c r="K800" s="1" t="s">
        <v>258</v>
      </c>
      <c r="L800" s="1" t="s">
        <v>19</v>
      </c>
      <c r="M800" s="1" t="str">
        <f t="shared" si="12"/>
        <v xml:space="preserve">2014|41811| 13:00 |Group F|Estadio Mineirao|Belo Horizonte |Brazil|Argentina|1|0|IR Iran| </v>
      </c>
    </row>
    <row r="801" spans="1:13" x14ac:dyDescent="0.2">
      <c r="A801" s="1">
        <v>2014</v>
      </c>
      <c r="B801" s="2" t="d">
        <v>2014-06-21</v>
      </c>
      <c r="C801" s="1" t="s">
        <v>32</v>
      </c>
      <c r="D801" s="1" t="s">
        <v>400</v>
      </c>
      <c r="E801" s="1" t="s">
        <v>514</v>
      </c>
      <c r="F801" s="1" t="s">
        <v>515</v>
      </c>
      <c r="G801" s="1" t="s">
        <v>27</v>
      </c>
      <c r="H801" s="1" t="s">
        <v>65</v>
      </c>
      <c r="I801" s="1">
        <v>2</v>
      </c>
      <c r="J801" s="1">
        <v>2</v>
      </c>
      <c r="K801" s="1" t="s">
        <v>472</v>
      </c>
      <c r="L801" s="1" t="s">
        <v>19</v>
      </c>
      <c r="M801" s="1" t="str">
        <f t="shared" si="12"/>
        <v xml:space="preserve">2014|41811| 16:00 |Group G|Estadio Castelao|Fortaleza |Brazil|Germany|2|2|Ghana| </v>
      </c>
    </row>
    <row r="802" spans="1:13" hidden="1" x14ac:dyDescent="0.2">
      <c r="A802" s="1">
        <v>2014</v>
      </c>
      <c r="B802" s="2" t="d">
        <v>2014-06-21</v>
      </c>
      <c r="C802" s="1" t="s">
        <v>75</v>
      </c>
      <c r="D802" s="1" t="s">
        <v>310</v>
      </c>
      <c r="E802" s="1" t="s">
        <v>511</v>
      </c>
      <c r="F802" s="1" t="s">
        <v>512</v>
      </c>
      <c r="G802" s="1" t="s">
        <v>27</v>
      </c>
      <c r="H802" s="1" t="s">
        <v>378</v>
      </c>
      <c r="I802" s="1">
        <v>1</v>
      </c>
      <c r="J802" s="1">
        <v>0</v>
      </c>
      <c r="K802" s="1" t="s">
        <v>524</v>
      </c>
      <c r="L802" s="1" t="s">
        <v>19</v>
      </c>
      <c r="M802" s="1" t="str">
        <f t="shared" si="12"/>
        <v xml:space="preserve">2014|41811| 18:00 |Group F|Arena Pantanal|Cuiaba |Brazil|Nigeria|1|0|Bosnia and Herzegovina| </v>
      </c>
    </row>
    <row r="803" spans="1:13" hidden="1" x14ac:dyDescent="0.2">
      <c r="A803" s="1">
        <v>2014</v>
      </c>
      <c r="B803" s="2" t="d">
        <v>2014-06-22</v>
      </c>
      <c r="C803" s="1" t="s">
        <v>41</v>
      </c>
      <c r="D803" s="1" t="s">
        <v>394</v>
      </c>
      <c r="E803" s="1" t="s">
        <v>523</v>
      </c>
      <c r="F803" s="1" t="s">
        <v>109</v>
      </c>
      <c r="G803" s="1" t="s">
        <v>27</v>
      </c>
      <c r="H803" s="1" t="s">
        <v>23</v>
      </c>
      <c r="I803" s="1">
        <v>1</v>
      </c>
      <c r="J803" s="1">
        <v>0</v>
      </c>
      <c r="K803" s="1" t="s">
        <v>374</v>
      </c>
      <c r="L803" s="1" t="s">
        <v>19</v>
      </c>
      <c r="M803" s="1" t="str">
        <f t="shared" si="12"/>
        <v xml:space="preserve">2014|41812| 13:00 |Group H|Estadio do Maracana|Rio De Janeiro |Brazil|Belgium|1|0|Russia| </v>
      </c>
    </row>
    <row r="804" spans="1:13" hidden="1" x14ac:dyDescent="0.2">
      <c r="A804" s="1">
        <v>2014</v>
      </c>
      <c r="B804" s="2" t="d">
        <v>2014-06-22</v>
      </c>
      <c r="C804" s="1" t="s">
        <v>32</v>
      </c>
      <c r="D804" s="1" t="s">
        <v>394</v>
      </c>
      <c r="E804" s="1" t="s">
        <v>522</v>
      </c>
      <c r="F804" s="1" t="s">
        <v>118</v>
      </c>
      <c r="G804" s="1" t="s">
        <v>27</v>
      </c>
      <c r="H804" s="1" t="s">
        <v>135</v>
      </c>
      <c r="I804" s="1">
        <v>2</v>
      </c>
      <c r="J804" s="1">
        <v>4</v>
      </c>
      <c r="K804" s="1" t="s">
        <v>281</v>
      </c>
      <c r="L804" s="1" t="s">
        <v>19</v>
      </c>
      <c r="M804" s="1" t="str">
        <f t="shared" si="12"/>
        <v xml:space="preserve">2014|41812| 16:00 |Group H|Estadio Beira-Rio|Porto Alegre |Brazil|Korea Republic|2|4|Algeria| </v>
      </c>
    </row>
    <row r="805" spans="1:13" hidden="1" x14ac:dyDescent="0.2">
      <c r="A805" s="1">
        <v>2014</v>
      </c>
      <c r="B805" s="2" t="d">
        <v>2014-06-22</v>
      </c>
      <c r="C805" s="1" t="s">
        <v>75</v>
      </c>
      <c r="D805" s="1" t="s">
        <v>400</v>
      </c>
      <c r="E805" s="1" t="s">
        <v>516</v>
      </c>
      <c r="F805" s="1" t="s">
        <v>517</v>
      </c>
      <c r="G805" s="1" t="s">
        <v>27</v>
      </c>
      <c r="H805" s="1" t="s">
        <v>22</v>
      </c>
      <c r="I805" s="1">
        <v>2</v>
      </c>
      <c r="J805" s="1">
        <v>2</v>
      </c>
      <c r="K805" s="1" t="s">
        <v>197</v>
      </c>
      <c r="L805" s="1" t="s">
        <v>19</v>
      </c>
      <c r="M805" s="1" t="str">
        <f t="shared" si="12"/>
        <v xml:space="preserve">2014|41812| 18:00 |Group G|Arena Amazonia|Manaus |Brazil|USA|2|2|Portugal| </v>
      </c>
    </row>
    <row r="806" spans="1:13" hidden="1" x14ac:dyDescent="0.2">
      <c r="A806" s="1">
        <v>2014</v>
      </c>
      <c r="B806" s="2" t="d">
        <v>2014-06-23</v>
      </c>
      <c r="C806" s="1" t="s">
        <v>41</v>
      </c>
      <c r="D806" s="1" t="s">
        <v>241</v>
      </c>
      <c r="E806" s="1" t="s">
        <v>525</v>
      </c>
      <c r="F806" s="1" t="s">
        <v>112</v>
      </c>
      <c r="G806" s="1" t="s">
        <v>27</v>
      </c>
      <c r="H806" s="1" t="s">
        <v>227</v>
      </c>
      <c r="I806" s="1">
        <v>0</v>
      </c>
      <c r="J806" s="1">
        <v>3</v>
      </c>
      <c r="K806" s="1" t="s">
        <v>68</v>
      </c>
      <c r="L806" s="1" t="s">
        <v>19</v>
      </c>
      <c r="M806" s="1" t="str">
        <f t="shared" si="12"/>
        <v xml:space="preserve">2014|41813| 13:00 |Group B|Arena da Baixada|Curitiba |Brazil|Australia|0|3|Spain| </v>
      </c>
    </row>
    <row r="807" spans="1:13" hidden="1" x14ac:dyDescent="0.2">
      <c r="A807" s="1">
        <v>2014</v>
      </c>
      <c r="B807" s="2" t="d">
        <v>2014-06-23</v>
      </c>
      <c r="C807" s="1" t="s">
        <v>41</v>
      </c>
      <c r="D807" s="1" t="s">
        <v>241</v>
      </c>
      <c r="E807" s="1" t="s">
        <v>506</v>
      </c>
      <c r="F807" s="1" t="s">
        <v>114</v>
      </c>
      <c r="G807" s="1" t="s">
        <v>27</v>
      </c>
      <c r="H807" s="1" t="s">
        <v>59</v>
      </c>
      <c r="I807" s="1">
        <v>2</v>
      </c>
      <c r="J807" s="1">
        <v>0</v>
      </c>
      <c r="K807" s="1" t="s">
        <v>35</v>
      </c>
      <c r="L807" s="1" t="s">
        <v>19</v>
      </c>
      <c r="M807" s="1" t="str">
        <f t="shared" si="12"/>
        <v xml:space="preserve">2014|41813| 13:00 |Group B|Arena de Sao Paulo|Sao Paulo |Brazil|Netherlands|2|0|Chile| </v>
      </c>
    </row>
    <row r="808" spans="1:13" hidden="1" x14ac:dyDescent="0.2">
      <c r="A808" s="1">
        <v>2014</v>
      </c>
      <c r="B808" s="2" t="d">
        <v>2014-06-23</v>
      </c>
      <c r="C808" s="1" t="s">
        <v>79</v>
      </c>
      <c r="D808" s="1" t="s">
        <v>242</v>
      </c>
      <c r="E808" s="1" t="s">
        <v>520</v>
      </c>
      <c r="F808" s="1" t="s">
        <v>521</v>
      </c>
      <c r="G808" s="1" t="s">
        <v>27</v>
      </c>
      <c r="H808" s="1" t="s">
        <v>273</v>
      </c>
      <c r="I808" s="1">
        <v>1</v>
      </c>
      <c r="J808" s="1">
        <v>4</v>
      </c>
      <c r="K808" s="1" t="s">
        <v>27</v>
      </c>
      <c r="L808" s="1" t="s">
        <v>19</v>
      </c>
      <c r="M808" s="1" t="str">
        <f t="shared" si="12"/>
        <v xml:space="preserve">2014|41813| 17:00 |Group A|Estadio Nacional|Brasilia |Brazil|Cameroon|1|4|Brazil| </v>
      </c>
    </row>
    <row r="809" spans="1:13" hidden="1" x14ac:dyDescent="0.2">
      <c r="A809" s="1">
        <v>2014</v>
      </c>
      <c r="B809" s="2" t="d">
        <v>2014-06-23</v>
      </c>
      <c r="C809" s="1" t="s">
        <v>79</v>
      </c>
      <c r="D809" s="1" t="s">
        <v>242</v>
      </c>
      <c r="E809" s="1" t="s">
        <v>519</v>
      </c>
      <c r="F809" s="1" t="s">
        <v>122</v>
      </c>
      <c r="G809" s="1" t="s">
        <v>27</v>
      </c>
      <c r="H809" s="1" t="s">
        <v>399</v>
      </c>
      <c r="I809" s="1">
        <v>1</v>
      </c>
      <c r="J809" s="1">
        <v>3</v>
      </c>
      <c r="K809" s="1" t="s">
        <v>18</v>
      </c>
      <c r="L809" s="1" t="s">
        <v>19</v>
      </c>
      <c r="M809" s="1" t="str">
        <f t="shared" si="12"/>
        <v xml:space="preserve">2014|41813| 17:00 |Group A|Arena Pernambuco|Recife |Brazil|Croatia|1|3|Mexico| </v>
      </c>
    </row>
    <row r="810" spans="1:13" hidden="1" x14ac:dyDescent="0.2">
      <c r="A810" s="1">
        <v>2014</v>
      </c>
      <c r="B810" s="2" t="d">
        <v>2014-06-24</v>
      </c>
      <c r="C810" s="1" t="s">
        <v>41</v>
      </c>
      <c r="D810" s="1" t="s">
        <v>306</v>
      </c>
      <c r="E810" s="1" t="s">
        <v>507</v>
      </c>
      <c r="F810" s="1" t="s">
        <v>508</v>
      </c>
      <c r="G810" s="1" t="s">
        <v>27</v>
      </c>
      <c r="H810" s="1" t="s">
        <v>49</v>
      </c>
      <c r="I810" s="1">
        <v>0</v>
      </c>
      <c r="J810" s="1">
        <v>1</v>
      </c>
      <c r="K810" s="1" t="s">
        <v>16</v>
      </c>
      <c r="L810" s="1" t="s">
        <v>19</v>
      </c>
      <c r="M810" s="1" t="str">
        <f t="shared" si="12"/>
        <v xml:space="preserve">2014|41814| 13:00 |Group D|Estadio das Dunas|Natal |Brazil|Italy|0|1|Uruguay| </v>
      </c>
    </row>
    <row r="811" spans="1:13" hidden="1" x14ac:dyDescent="0.2">
      <c r="A811" s="1">
        <v>2014</v>
      </c>
      <c r="B811" s="2" t="d">
        <v>2014-06-24</v>
      </c>
      <c r="C811" s="1" t="s">
        <v>41</v>
      </c>
      <c r="D811" s="1" t="s">
        <v>306</v>
      </c>
      <c r="E811" s="1" t="s">
        <v>513</v>
      </c>
      <c r="F811" s="1" t="s">
        <v>116</v>
      </c>
      <c r="G811" s="1" t="s">
        <v>27</v>
      </c>
      <c r="H811" s="1" t="s">
        <v>337</v>
      </c>
      <c r="I811" s="1">
        <v>0</v>
      </c>
      <c r="J811" s="1">
        <v>0</v>
      </c>
      <c r="K811" s="1" t="s">
        <v>110</v>
      </c>
      <c r="L811" s="1" t="s">
        <v>19</v>
      </c>
      <c r="M811" s="1" t="str">
        <f t="shared" si="12"/>
        <v xml:space="preserve">2014|41814| 13:00 |Group D|Estadio Mineirao|Belo Horizonte |Brazil|Costa Rica|0|0|England| </v>
      </c>
    </row>
    <row r="812" spans="1:13" hidden="1" x14ac:dyDescent="0.2">
      <c r="A812" s="1">
        <v>2014</v>
      </c>
      <c r="B812" s="2" t="d">
        <v>2014-06-24</v>
      </c>
      <c r="C812" s="1" t="s">
        <v>32</v>
      </c>
      <c r="D812" s="1" t="s">
        <v>304</v>
      </c>
      <c r="E812" s="1" t="s">
        <v>511</v>
      </c>
      <c r="F812" s="1" t="s">
        <v>512</v>
      </c>
      <c r="G812" s="1" t="s">
        <v>27</v>
      </c>
      <c r="H812" s="1" t="s">
        <v>395</v>
      </c>
      <c r="I812" s="1">
        <v>1</v>
      </c>
      <c r="J812" s="1">
        <v>4</v>
      </c>
      <c r="K812" s="1" t="s">
        <v>177</v>
      </c>
      <c r="L812" s="1" t="s">
        <v>19</v>
      </c>
      <c r="M812" s="1" t="str">
        <f t="shared" si="12"/>
        <v xml:space="preserve">2014|41814| 16:00 |Group C|Arena Pantanal|Cuiaba |Brazil|Japan|1|4|Colombia| </v>
      </c>
    </row>
    <row r="813" spans="1:13" hidden="1" x14ac:dyDescent="0.2">
      <c r="A813" s="1">
        <v>2014</v>
      </c>
      <c r="B813" s="2" t="d">
        <v>2014-06-24</v>
      </c>
      <c r="C813" s="1" t="s">
        <v>79</v>
      </c>
      <c r="D813" s="1" t="s">
        <v>304</v>
      </c>
      <c r="E813" s="1" t="s">
        <v>514</v>
      </c>
      <c r="F813" s="1" t="s">
        <v>515</v>
      </c>
      <c r="G813" s="1" t="s">
        <v>27</v>
      </c>
      <c r="H813" s="1" t="s">
        <v>377</v>
      </c>
      <c r="I813" s="1">
        <v>2</v>
      </c>
      <c r="J813" s="1">
        <v>1</v>
      </c>
      <c r="K813" s="1" t="s">
        <v>459</v>
      </c>
      <c r="L813" s="1" t="s">
        <v>19</v>
      </c>
      <c r="M813" s="1" t="str">
        <f t="shared" si="12"/>
        <v xml:space="preserve">2014|41814| 17:00 |Group C|Estadio Castelao|Fortaleza |Brazil|Greece|2|1|Cï¿½te d'Ivoire| </v>
      </c>
    </row>
    <row r="814" spans="1:13" hidden="1" x14ac:dyDescent="0.2">
      <c r="A814" s="1">
        <v>2014</v>
      </c>
      <c r="B814" s="2" t="d">
        <v>2014-06-25</v>
      </c>
      <c r="C814" s="1" t="s">
        <v>41</v>
      </c>
      <c r="D814" s="1" t="s">
        <v>310</v>
      </c>
      <c r="E814" s="1" t="s">
        <v>522</v>
      </c>
      <c r="F814" s="1" t="s">
        <v>118</v>
      </c>
      <c r="G814" s="1" t="s">
        <v>27</v>
      </c>
      <c r="H814" s="1" t="s">
        <v>378</v>
      </c>
      <c r="I814" s="1">
        <v>2</v>
      </c>
      <c r="J814" s="1">
        <v>3</v>
      </c>
      <c r="K814" s="1" t="s">
        <v>33</v>
      </c>
      <c r="L814" s="1" t="s">
        <v>19</v>
      </c>
      <c r="M814" s="1" t="str">
        <f t="shared" si="12"/>
        <v xml:space="preserve">2014|41815| 13:00 |Group F|Estadio Beira-Rio|Porto Alegre |Brazil|Nigeria|2|3|Argentina| </v>
      </c>
    </row>
    <row r="815" spans="1:13" hidden="1" x14ac:dyDescent="0.2">
      <c r="A815" s="1">
        <v>2014</v>
      </c>
      <c r="B815" s="2" t="d">
        <v>2014-06-25</v>
      </c>
      <c r="C815" s="1" t="s">
        <v>41</v>
      </c>
      <c r="D815" s="1" t="s">
        <v>310</v>
      </c>
      <c r="E815" s="1" t="s">
        <v>509</v>
      </c>
      <c r="F815" s="1" t="s">
        <v>510</v>
      </c>
      <c r="G815" s="1" t="s">
        <v>27</v>
      </c>
      <c r="H815" s="1" t="s">
        <v>524</v>
      </c>
      <c r="I815" s="1">
        <v>3</v>
      </c>
      <c r="J815" s="1">
        <v>1</v>
      </c>
      <c r="K815" s="1" t="s">
        <v>258</v>
      </c>
      <c r="L815" s="1" t="s">
        <v>19</v>
      </c>
      <c r="M815" s="1" t="str">
        <f t="shared" si="12"/>
        <v xml:space="preserve">2014|41815| 13:00 |Group F|Arena Fonte Nova|Salvador |Brazil|Bosnia and Herzegovina|3|1|IR Iran| </v>
      </c>
    </row>
    <row r="816" spans="1:13" hidden="1" x14ac:dyDescent="0.2">
      <c r="A816" s="1">
        <v>2014</v>
      </c>
      <c r="B816" s="2" t="d">
        <v>2014-06-25</v>
      </c>
      <c r="C816" s="1" t="s">
        <v>32</v>
      </c>
      <c r="D816" s="1" t="s">
        <v>317</v>
      </c>
      <c r="E816" s="1" t="s">
        <v>516</v>
      </c>
      <c r="F816" s="1" t="s">
        <v>517</v>
      </c>
      <c r="G816" s="1" t="s">
        <v>27</v>
      </c>
      <c r="H816" s="1" t="s">
        <v>287</v>
      </c>
      <c r="I816" s="1">
        <v>0</v>
      </c>
      <c r="J816" s="1">
        <v>3</v>
      </c>
      <c r="K816" s="1" t="s">
        <v>58</v>
      </c>
      <c r="L816" s="1" t="s">
        <v>19</v>
      </c>
      <c r="M816" s="1" t="str">
        <f t="shared" si="12"/>
        <v xml:space="preserve">2014|41815| 16:00 |Group E|Arena Amazonia|Manaus |Brazil|Honduras|0|3|Switzerland| </v>
      </c>
    </row>
    <row r="817" spans="1:13" hidden="1" x14ac:dyDescent="0.2">
      <c r="A817" s="1">
        <v>2014</v>
      </c>
      <c r="B817" s="2" t="d">
        <v>2014-06-25</v>
      </c>
      <c r="C817" s="1" t="s">
        <v>79</v>
      </c>
      <c r="D817" s="1" t="s">
        <v>317</v>
      </c>
      <c r="E817" s="1" t="s">
        <v>523</v>
      </c>
      <c r="F817" s="1" t="s">
        <v>109</v>
      </c>
      <c r="G817" s="1" t="s">
        <v>27</v>
      </c>
      <c r="H817" s="1" t="s">
        <v>423</v>
      </c>
      <c r="I817" s="1">
        <v>0</v>
      </c>
      <c r="J817" s="1">
        <v>0</v>
      </c>
      <c r="K817" s="1" t="s">
        <v>17</v>
      </c>
      <c r="L817" s="1" t="s">
        <v>19</v>
      </c>
      <c r="M817" s="1" t="str">
        <f t="shared" si="12"/>
        <v xml:space="preserve">2014|41815| 17:00 |Group E|Estadio do Maracana|Rio De Janeiro |Brazil|Ecuador|0|0|France| </v>
      </c>
    </row>
    <row r="818" spans="1:13" hidden="1" x14ac:dyDescent="0.2">
      <c r="A818" s="1">
        <v>2014</v>
      </c>
      <c r="B818" s="2" t="d">
        <v>2014-06-26</v>
      </c>
      <c r="C818" s="1" t="s">
        <v>41</v>
      </c>
      <c r="D818" s="1" t="s">
        <v>400</v>
      </c>
      <c r="E818" s="1" t="s">
        <v>519</v>
      </c>
      <c r="F818" s="1" t="s">
        <v>122</v>
      </c>
      <c r="G818" s="1" t="s">
        <v>27</v>
      </c>
      <c r="H818" s="1" t="s">
        <v>22</v>
      </c>
      <c r="I818" s="1">
        <v>0</v>
      </c>
      <c r="J818" s="1">
        <v>1</v>
      </c>
      <c r="K818" s="1" t="s">
        <v>65</v>
      </c>
      <c r="L818" s="1" t="s">
        <v>19</v>
      </c>
      <c r="M818" s="1" t="str">
        <f t="shared" si="12"/>
        <v xml:space="preserve">2014|41816| 13:00 |Group G|Arena Pernambuco|Recife |Brazil|USA|0|1|Germany| </v>
      </c>
    </row>
    <row r="819" spans="1:13" hidden="1" x14ac:dyDescent="0.2">
      <c r="A819" s="1">
        <v>2014</v>
      </c>
      <c r="B819" s="2" t="d">
        <v>2014-06-26</v>
      </c>
      <c r="C819" s="1" t="s">
        <v>41</v>
      </c>
      <c r="D819" s="1" t="s">
        <v>400</v>
      </c>
      <c r="E819" s="1" t="s">
        <v>520</v>
      </c>
      <c r="F819" s="1" t="s">
        <v>521</v>
      </c>
      <c r="G819" s="1" t="s">
        <v>27</v>
      </c>
      <c r="H819" s="1" t="s">
        <v>197</v>
      </c>
      <c r="I819" s="1">
        <v>2</v>
      </c>
      <c r="J819" s="1">
        <v>1</v>
      </c>
      <c r="K819" s="1" t="s">
        <v>472</v>
      </c>
      <c r="L819" s="1" t="s">
        <v>19</v>
      </c>
      <c r="M819" s="1" t="str">
        <f t="shared" si="12"/>
        <v xml:space="preserve">2014|41816| 13:00 |Group G|Estadio Nacional|Brasilia |Brazil|Portugal|2|1|Ghana| </v>
      </c>
    </row>
    <row r="820" spans="1:13" hidden="1" x14ac:dyDescent="0.2">
      <c r="A820" s="1">
        <v>2014</v>
      </c>
      <c r="B820" s="2" t="d">
        <v>2014-06-26</v>
      </c>
      <c r="C820" s="1" t="s">
        <v>79</v>
      </c>
      <c r="D820" s="1" t="s">
        <v>394</v>
      </c>
      <c r="E820" s="1" t="s">
        <v>506</v>
      </c>
      <c r="F820" s="1" t="s">
        <v>114</v>
      </c>
      <c r="G820" s="1" t="s">
        <v>27</v>
      </c>
      <c r="H820" s="1" t="s">
        <v>135</v>
      </c>
      <c r="I820" s="1">
        <v>0</v>
      </c>
      <c r="J820" s="1">
        <v>1</v>
      </c>
      <c r="K820" s="1" t="s">
        <v>23</v>
      </c>
      <c r="L820" s="1" t="s">
        <v>19</v>
      </c>
      <c r="M820" s="1" t="str">
        <f t="shared" si="12"/>
        <v xml:space="preserve">2014|41816| 17:00 |Group H|Arena de Sao Paulo|Sao Paulo |Brazil|Korea Republic|0|1|Belgium| </v>
      </c>
    </row>
    <row r="821" spans="1:13" hidden="1" x14ac:dyDescent="0.2">
      <c r="A821" s="1">
        <v>2014</v>
      </c>
      <c r="B821" s="2" t="d">
        <v>2014-06-26</v>
      </c>
      <c r="C821" s="1" t="s">
        <v>79</v>
      </c>
      <c r="D821" s="1" t="s">
        <v>394</v>
      </c>
      <c r="E821" s="1" t="s">
        <v>525</v>
      </c>
      <c r="F821" s="1" t="s">
        <v>112</v>
      </c>
      <c r="G821" s="1" t="s">
        <v>27</v>
      </c>
      <c r="H821" s="1" t="s">
        <v>281</v>
      </c>
      <c r="I821" s="1">
        <v>1</v>
      </c>
      <c r="J821" s="1">
        <v>1</v>
      </c>
      <c r="K821" s="1" t="s">
        <v>374</v>
      </c>
      <c r="L821" s="1" t="s">
        <v>19</v>
      </c>
      <c r="M821" s="1" t="str">
        <f t="shared" si="12"/>
        <v xml:space="preserve">2014|41816| 17:00 |Group H|Arena da Baixada|Curitiba |Brazil|Algeria|1|1|Russia| </v>
      </c>
    </row>
    <row r="822" spans="1:13" hidden="1" x14ac:dyDescent="0.2">
      <c r="A822" s="1">
        <v>2014</v>
      </c>
      <c r="B822" s="2" t="d">
        <v>2014-06-28</v>
      </c>
      <c r="C822" s="1" t="s">
        <v>41</v>
      </c>
      <c r="D822" s="12" t="s">
        <v>323</v>
      </c>
      <c r="E822" s="1" t="s">
        <v>513</v>
      </c>
      <c r="F822" s="1" t="s">
        <v>116</v>
      </c>
      <c r="G822" s="1" t="s">
        <v>27</v>
      </c>
      <c r="H822" s="1" t="s">
        <v>27</v>
      </c>
      <c r="I822" s="1">
        <v>1</v>
      </c>
      <c r="J822" s="1">
        <v>1</v>
      </c>
      <c r="K822" s="1" t="s">
        <v>35</v>
      </c>
      <c r="L822" s="1" t="s">
        <v>382</v>
      </c>
      <c r="M822" s="1" t="str">
        <f t="shared" si="12"/>
        <v xml:space="preserve">2014|41818| 13:00 |Round of 16|Estadio Mineirao|Belo Horizonte |Brazil|Brazil|1|1|Chile|Brazil win on penalties (3 - 2) </v>
      </c>
    </row>
    <row r="823" spans="1:13" hidden="1" x14ac:dyDescent="0.2">
      <c r="A823" s="1">
        <v>2014</v>
      </c>
      <c r="B823" s="2" t="d">
        <v>2014-06-28</v>
      </c>
      <c r="C823" s="1" t="s">
        <v>79</v>
      </c>
      <c r="D823" s="12" t="s">
        <v>323</v>
      </c>
      <c r="E823" s="1" t="s">
        <v>523</v>
      </c>
      <c r="F823" s="1" t="s">
        <v>109</v>
      </c>
      <c r="G823" s="1" t="s">
        <v>27</v>
      </c>
      <c r="H823" s="1" t="s">
        <v>177</v>
      </c>
      <c r="I823" s="1">
        <v>2</v>
      </c>
      <c r="J823" s="1">
        <v>0</v>
      </c>
      <c r="K823" s="1" t="s">
        <v>16</v>
      </c>
      <c r="L823" s="1" t="s">
        <v>19</v>
      </c>
      <c r="M823" s="1" t="str">
        <f t="shared" si="12"/>
        <v xml:space="preserve">2014|41818| 17:00 |Round of 16|Estadio do Maracana|Rio De Janeiro |Brazil|Colombia|2|0|Uruguay| </v>
      </c>
    </row>
    <row r="824" spans="1:13" hidden="1" x14ac:dyDescent="0.2">
      <c r="A824" s="1">
        <v>2014</v>
      </c>
      <c r="B824" s="2" t="d">
        <v>2014-06-30</v>
      </c>
      <c r="C824" s="1" t="s">
        <v>41</v>
      </c>
      <c r="D824" s="12" t="s">
        <v>323</v>
      </c>
      <c r="E824" s="1" t="s">
        <v>520</v>
      </c>
      <c r="F824" s="1" t="s">
        <v>521</v>
      </c>
      <c r="G824" s="1" t="s">
        <v>27</v>
      </c>
      <c r="H824" s="1" t="s">
        <v>17</v>
      </c>
      <c r="I824" s="1">
        <v>2</v>
      </c>
      <c r="J824" s="1">
        <v>0</v>
      </c>
      <c r="K824" s="1" t="s">
        <v>378</v>
      </c>
      <c r="L824" s="1" t="s">
        <v>19</v>
      </c>
      <c r="M824" s="1" t="str">
        <f t="shared" si="12"/>
        <v xml:space="preserve">2014|41820| 13:00 |Round of 16|Estadio Nacional|Brasilia |Brazil|France|2|0|Nigeria| </v>
      </c>
    </row>
    <row r="825" spans="1:13" x14ac:dyDescent="0.2">
      <c r="A825" s="1">
        <v>2014</v>
      </c>
      <c r="B825" s="2" t="d">
        <v>2014-06-30</v>
      </c>
      <c r="C825" s="1" t="s">
        <v>79</v>
      </c>
      <c r="D825" s="12" t="s">
        <v>323</v>
      </c>
      <c r="E825" s="1" t="s">
        <v>522</v>
      </c>
      <c r="F825" s="1" t="s">
        <v>118</v>
      </c>
      <c r="G825" s="1" t="s">
        <v>27</v>
      </c>
      <c r="H825" s="1" t="s">
        <v>65</v>
      </c>
      <c r="I825" s="1">
        <v>2</v>
      </c>
      <c r="J825" s="1">
        <v>1</v>
      </c>
      <c r="K825" s="1" t="s">
        <v>281</v>
      </c>
      <c r="L825" s="1" t="s">
        <v>526</v>
      </c>
      <c r="M825" s="1" t="str">
        <f t="shared" si="12"/>
        <v xml:space="preserve">2014|41820| 17:00 |Round of 16|Estadio Beira-Rio|Porto Alegre |Brazil|Germany|2|1|Algeria|Germany win after extra time </v>
      </c>
    </row>
    <row r="826" spans="1:13" hidden="1" x14ac:dyDescent="0.2">
      <c r="A826" s="1">
        <v>2014</v>
      </c>
      <c r="B826" s="2" t="d">
        <v>2014-07-04</v>
      </c>
      <c r="C826" s="1" t="s">
        <v>79</v>
      </c>
      <c r="D826" s="12" t="s">
        <v>74</v>
      </c>
      <c r="E826" s="1" t="s">
        <v>514</v>
      </c>
      <c r="F826" s="1" t="s">
        <v>515</v>
      </c>
      <c r="G826" s="1" t="s">
        <v>27</v>
      </c>
      <c r="H826" s="1" t="s">
        <v>27</v>
      </c>
      <c r="I826" s="1">
        <v>2</v>
      </c>
      <c r="J826" s="1">
        <v>1</v>
      </c>
      <c r="K826" s="1" t="s">
        <v>177</v>
      </c>
      <c r="L826" s="1" t="s">
        <v>19</v>
      </c>
      <c r="M826" s="1" t="str">
        <f t="shared" si="12"/>
        <v xml:space="preserve">2014|41824| 17:00 |Quarter-finals|Estadio Castelao|Fortaleza |Brazil|Brazil|2|1|Colombia| </v>
      </c>
    </row>
    <row r="827" spans="1:13" hidden="1" x14ac:dyDescent="0.2">
      <c r="A827" s="1">
        <v>2014</v>
      </c>
      <c r="B827" s="2" t="d">
        <v>2014-07-04</v>
      </c>
      <c r="C827" s="1" t="s">
        <v>41</v>
      </c>
      <c r="D827" s="12" t="s">
        <v>74</v>
      </c>
      <c r="E827" s="1" t="s">
        <v>523</v>
      </c>
      <c r="F827" s="1" t="s">
        <v>109</v>
      </c>
      <c r="G827" s="1" t="s">
        <v>27</v>
      </c>
      <c r="H827" s="1" t="s">
        <v>17</v>
      </c>
      <c r="I827" s="1">
        <v>0</v>
      </c>
      <c r="J827" s="1">
        <v>1</v>
      </c>
      <c r="K827" s="1" t="s">
        <v>65</v>
      </c>
      <c r="L827" s="1" t="s">
        <v>19</v>
      </c>
      <c r="M827" s="1" t="str">
        <f t="shared" si="12"/>
        <v xml:space="preserve">2014|41824| 13:00 |Quarter-finals|Estadio do Maracana|Rio De Janeiro |Brazil|France|0|1|Germany| </v>
      </c>
    </row>
    <row r="828" spans="1:13" hidden="1" x14ac:dyDescent="0.2">
      <c r="A828" s="1">
        <v>2014</v>
      </c>
      <c r="B828" s="2" t="d">
        <v>2014-07-08</v>
      </c>
      <c r="C828" s="1" t="s">
        <v>79</v>
      </c>
      <c r="D828" s="12" t="s">
        <v>42</v>
      </c>
      <c r="E828" s="1" t="s">
        <v>513</v>
      </c>
      <c r="F828" s="1" t="s">
        <v>116</v>
      </c>
      <c r="G828" s="1" t="s">
        <v>27</v>
      </c>
      <c r="H828" s="1" t="s">
        <v>27</v>
      </c>
      <c r="I828" s="1">
        <v>1</v>
      </c>
      <c r="J828" s="1">
        <v>7</v>
      </c>
      <c r="K828" s="1" t="s">
        <v>65</v>
      </c>
      <c r="L828" s="1" t="s">
        <v>19</v>
      </c>
      <c r="M828" s="1" t="str">
        <f t="shared" si="12"/>
        <v xml:space="preserve">2014|41828| 17:00 |Semi-finals|Estadio Mineirao|Belo Horizonte |Brazil|Brazil|1|7|Germany| </v>
      </c>
    </row>
    <row r="829" spans="1:13" hidden="1" x14ac:dyDescent="0.2">
      <c r="A829" s="1">
        <v>2014</v>
      </c>
      <c r="B829" s="2" t="d">
        <v>2014-07-12</v>
      </c>
      <c r="C829" s="1" t="s">
        <v>79</v>
      </c>
      <c r="D829" s="12" t="s">
        <v>527</v>
      </c>
      <c r="E829" s="1" t="s">
        <v>520</v>
      </c>
      <c r="F829" s="1" t="s">
        <v>521</v>
      </c>
      <c r="G829" s="1" t="s">
        <v>27</v>
      </c>
      <c r="H829" s="1" t="s">
        <v>27</v>
      </c>
      <c r="I829" s="1">
        <v>0</v>
      </c>
      <c r="J829" s="1">
        <v>3</v>
      </c>
      <c r="K829" s="1" t="s">
        <v>59</v>
      </c>
      <c r="L829" s="1" t="s">
        <v>19</v>
      </c>
      <c r="M829" s="1" t="str">
        <f t="shared" si="12"/>
        <v xml:space="preserve">2014|41832| 17:00 |Play-off for third place|Estadio Nacional|Brasilia |Brazil|Brazil|0|3|Netherlands| </v>
      </c>
    </row>
    <row r="830" spans="1:13" x14ac:dyDescent="0.2">
      <c r="A830" s="1">
        <v>2014</v>
      </c>
      <c r="B830" s="2" t="d">
        <v>2014-07-13</v>
      </c>
      <c r="C830" s="1" t="s">
        <v>32</v>
      </c>
      <c r="D830" s="12" t="s">
        <v>44</v>
      </c>
      <c r="E830" s="1" t="s">
        <v>523</v>
      </c>
      <c r="F830" s="1" t="s">
        <v>109</v>
      </c>
      <c r="G830" s="1" t="s">
        <v>27</v>
      </c>
      <c r="H830" s="1" t="s">
        <v>65</v>
      </c>
      <c r="I830" s="1">
        <v>1</v>
      </c>
      <c r="J830" s="1">
        <v>0</v>
      </c>
      <c r="K830" s="1" t="s">
        <v>33</v>
      </c>
      <c r="L830" s="1" t="s">
        <v>526</v>
      </c>
      <c r="M830" s="1" t="str">
        <f t="shared" si="12"/>
        <v xml:space="preserve">2014|41833| 16:00 |Final|Estadio do Maracana|Rio De Janeiro |Brazil|Germany|1|0|Argentina|Germany win after extra time </v>
      </c>
    </row>
    <row r="831" spans="1:13" hidden="1" x14ac:dyDescent="0.2">
      <c r="A831" s="1">
        <v>2014</v>
      </c>
      <c r="B831" s="2" t="d">
        <v>2014-07-09</v>
      </c>
      <c r="C831" s="1" t="s">
        <v>79</v>
      </c>
      <c r="D831" s="12" t="s">
        <v>42</v>
      </c>
      <c r="E831" s="1" t="s">
        <v>506</v>
      </c>
      <c r="F831" s="1" t="s">
        <v>114</v>
      </c>
      <c r="G831" s="1" t="s">
        <v>27</v>
      </c>
      <c r="H831" s="1" t="s">
        <v>59</v>
      </c>
      <c r="I831" s="1">
        <v>0</v>
      </c>
      <c r="J831" s="1">
        <v>0</v>
      </c>
      <c r="K831" s="1" t="s">
        <v>33</v>
      </c>
      <c r="L831" s="1" t="s">
        <v>528</v>
      </c>
      <c r="M831" s="1" t="str">
        <f t="shared" si="12"/>
        <v xml:space="preserve">2014|41829| 17:00 |Semi-finals|Arena de Sao Paulo|Sao Paulo |Brazil|Netherlands|0|0|Argentina|Argentina win on penalties (2 - 4) </v>
      </c>
    </row>
    <row r="832" spans="1:13" hidden="1" x14ac:dyDescent="0.2">
      <c r="A832" s="1">
        <v>2014</v>
      </c>
      <c r="B832" s="2" t="d">
        <v>2014-07-05</v>
      </c>
      <c r="C832" s="1" t="s">
        <v>79</v>
      </c>
      <c r="D832" s="12" t="s">
        <v>74</v>
      </c>
      <c r="E832" s="1" t="s">
        <v>509</v>
      </c>
      <c r="F832" s="1" t="s">
        <v>510</v>
      </c>
      <c r="G832" s="1" t="s">
        <v>27</v>
      </c>
      <c r="H832" s="1" t="s">
        <v>59</v>
      </c>
      <c r="I832" s="1">
        <v>0</v>
      </c>
      <c r="J832" s="1">
        <v>0</v>
      </c>
      <c r="K832" s="1" t="s">
        <v>337</v>
      </c>
      <c r="L832" s="1" t="s">
        <v>529</v>
      </c>
      <c r="M832" s="1" t="str">
        <f t="shared" si="12"/>
        <v xml:space="preserve">2014|41825| 17:00 |Quarter-finals|Arena Fonte Nova|Salvador |Brazil|Netherlands|0|0|Costa Rica|Netherlands win on penalties (4 - 3) </v>
      </c>
    </row>
    <row r="833" spans="1:14" hidden="1" x14ac:dyDescent="0.2">
      <c r="A833" s="1">
        <v>2014</v>
      </c>
      <c r="B833" s="2" t="d">
        <v>2014-07-05</v>
      </c>
      <c r="C833" s="1" t="s">
        <v>41</v>
      </c>
      <c r="D833" s="12" t="s">
        <v>74</v>
      </c>
      <c r="E833" s="1" t="s">
        <v>520</v>
      </c>
      <c r="F833" s="1" t="s">
        <v>521</v>
      </c>
      <c r="G833" s="1" t="s">
        <v>27</v>
      </c>
      <c r="H833" s="1" t="s">
        <v>33</v>
      </c>
      <c r="I833" s="1">
        <v>1</v>
      </c>
      <c r="J833" s="1">
        <v>0</v>
      </c>
      <c r="K833" s="1" t="s">
        <v>23</v>
      </c>
      <c r="L833" s="1" t="s">
        <v>19</v>
      </c>
      <c r="M833" s="1" t="str">
        <f t="shared" si="12"/>
        <v xml:space="preserve">2014|41825| 13:00 |Quarter-finals|Estadio Nacional|Brasilia |Brazil|Argentina|1|0|Belgium| </v>
      </c>
    </row>
    <row r="834" spans="1:14" hidden="1" x14ac:dyDescent="0.2">
      <c r="A834" s="1">
        <v>2014</v>
      </c>
      <c r="B834" s="2" t="d">
        <v>2014-06-29</v>
      </c>
      <c r="C834" s="1" t="s">
        <v>41</v>
      </c>
      <c r="D834" s="12" t="s">
        <v>323</v>
      </c>
      <c r="E834" s="1" t="s">
        <v>514</v>
      </c>
      <c r="F834" s="1" t="s">
        <v>515</v>
      </c>
      <c r="G834" s="1" t="s">
        <v>27</v>
      </c>
      <c r="H834" s="1" t="s">
        <v>59</v>
      </c>
      <c r="I834" s="1">
        <v>2</v>
      </c>
      <c r="J834" s="1">
        <v>1</v>
      </c>
      <c r="K834" s="1" t="s">
        <v>18</v>
      </c>
      <c r="L834" s="1" t="s">
        <v>19</v>
      </c>
      <c r="M834" s="1" t="str">
        <f t="shared" si="12"/>
        <v xml:space="preserve">2014|41819| 13:00 |Round of 16|Estadio Castelao|Fortaleza |Brazil|Netherlands|2|1|Mexico| </v>
      </c>
    </row>
    <row r="835" spans="1:14" hidden="1" x14ac:dyDescent="0.2">
      <c r="A835" s="1">
        <v>2014</v>
      </c>
      <c r="B835" s="2" t="d">
        <v>2014-06-29</v>
      </c>
      <c r="C835" s="1" t="s">
        <v>79</v>
      </c>
      <c r="D835" s="12" t="s">
        <v>323</v>
      </c>
      <c r="E835" s="1" t="s">
        <v>519</v>
      </c>
      <c r="F835" s="1" t="s">
        <v>122</v>
      </c>
      <c r="G835" s="1" t="s">
        <v>27</v>
      </c>
      <c r="H835" s="1" t="s">
        <v>337</v>
      </c>
      <c r="I835" s="1">
        <v>1</v>
      </c>
      <c r="J835" s="1">
        <v>1</v>
      </c>
      <c r="K835" s="1" t="s">
        <v>377</v>
      </c>
      <c r="L835" s="1" t="s">
        <v>530</v>
      </c>
      <c r="M835" s="1" t="str">
        <f t="shared" ref="M835:M853" si="13">_xlfn.TEXTJOIN("|",TRUE,A835,B835,C835,D835,E835,F835,G835,H835,I835,J835,K835,L835)</f>
        <v xml:space="preserve">2014|41819| 17:00 |Round of 16|Arena Pernambuco|Recife |Brazil|Costa Rica|1|1|Greece|Costa Rica win on penalties (5 - 3) </v>
      </c>
    </row>
    <row r="836" spans="1:14" hidden="1" x14ac:dyDescent="0.2">
      <c r="A836" s="1">
        <v>2014</v>
      </c>
      <c r="B836" s="2" t="d">
        <v>2014-07-01</v>
      </c>
      <c r="C836" s="1" t="s">
        <v>41</v>
      </c>
      <c r="D836" s="12" t="s">
        <v>323</v>
      </c>
      <c r="E836" s="1" t="s">
        <v>506</v>
      </c>
      <c r="F836" s="1" t="s">
        <v>114</v>
      </c>
      <c r="G836" s="1" t="s">
        <v>27</v>
      </c>
      <c r="H836" s="1" t="s">
        <v>33</v>
      </c>
      <c r="I836" s="1">
        <v>1</v>
      </c>
      <c r="J836" s="1">
        <v>0</v>
      </c>
      <c r="K836" s="1" t="s">
        <v>58</v>
      </c>
      <c r="L836" s="1" t="s">
        <v>261</v>
      </c>
      <c r="M836" s="1" t="str">
        <f t="shared" si="13"/>
        <v xml:space="preserve">2014|41821| 13:00 |Round of 16|Arena de Sao Paulo|Sao Paulo |Brazil|Argentina|1|0|Switzerland|Argentina win after extra time </v>
      </c>
    </row>
    <row r="837" spans="1:14" hidden="1" x14ac:dyDescent="0.2">
      <c r="A837" s="1">
        <v>2014</v>
      </c>
      <c r="B837" s="2" t="d">
        <v>2014-07-01</v>
      </c>
      <c r="C837" s="1" t="s">
        <v>79</v>
      </c>
      <c r="D837" s="12" t="s">
        <v>323</v>
      </c>
      <c r="E837" s="1" t="s">
        <v>509</v>
      </c>
      <c r="F837" s="1" t="s">
        <v>510</v>
      </c>
      <c r="G837" s="1" t="s">
        <v>27</v>
      </c>
      <c r="H837" s="1" t="s">
        <v>23</v>
      </c>
      <c r="I837" s="1">
        <v>2</v>
      </c>
      <c r="J837" s="1">
        <v>1</v>
      </c>
      <c r="K837" s="1" t="s">
        <v>22</v>
      </c>
      <c r="L837" s="1" t="s">
        <v>324</v>
      </c>
      <c r="M837" s="1" t="str">
        <f t="shared" si="13"/>
        <v xml:space="preserve">2014|41821| 17:00 |Round of 16|Arena Fonte Nova|Salvador |Brazil|Belgium|2|1|USA|Belgium win after extra time </v>
      </c>
    </row>
    <row r="838" spans="1:14" hidden="1" x14ac:dyDescent="0.2">
      <c r="A838" s="1">
        <v>2014</v>
      </c>
      <c r="B838" s="2" t="d">
        <v>2014-06-28</v>
      </c>
      <c r="C838" s="1" t="s">
        <v>41</v>
      </c>
      <c r="D838" s="12" t="s">
        <v>323</v>
      </c>
      <c r="E838" s="1" t="s">
        <v>513</v>
      </c>
      <c r="F838" s="1" t="s">
        <v>116</v>
      </c>
      <c r="G838" s="1" t="s">
        <v>27</v>
      </c>
      <c r="H838" s="1" t="s">
        <v>27</v>
      </c>
      <c r="I838" s="1">
        <v>1</v>
      </c>
      <c r="J838" s="1">
        <v>1</v>
      </c>
      <c r="K838" s="1" t="s">
        <v>35</v>
      </c>
      <c r="L838" s="1" t="s">
        <v>382</v>
      </c>
      <c r="M838" s="1" t="str">
        <f t="shared" si="13"/>
        <v xml:space="preserve">2014|41818| 13:00 |Round of 16|Estadio Mineirao|Belo Horizonte |Brazil|Brazil|1|1|Chile|Brazil win on penalties (3 - 2) </v>
      </c>
      <c r="N838" s="1" t="s">
        <v>559</v>
      </c>
    </row>
    <row r="839" spans="1:14" hidden="1" x14ac:dyDescent="0.2">
      <c r="A839" s="1">
        <v>2014</v>
      </c>
      <c r="B839" s="2" t="d">
        <v>2014-06-28</v>
      </c>
      <c r="C839" s="1" t="s">
        <v>79</v>
      </c>
      <c r="D839" s="12" t="s">
        <v>323</v>
      </c>
      <c r="E839" s="1" t="s">
        <v>523</v>
      </c>
      <c r="F839" s="1" t="s">
        <v>109</v>
      </c>
      <c r="G839" s="1" t="s">
        <v>27</v>
      </c>
      <c r="H839" s="1" t="s">
        <v>177</v>
      </c>
      <c r="I839" s="1">
        <v>2</v>
      </c>
      <c r="J839" s="1">
        <v>0</v>
      </c>
      <c r="K839" s="1" t="s">
        <v>16</v>
      </c>
      <c r="L839" s="1" t="s">
        <v>19</v>
      </c>
      <c r="M839" s="1" t="str">
        <f t="shared" si="13"/>
        <v xml:space="preserve">2014|41818| 17:00 |Round of 16|Estadio do Maracana|Rio De Janeiro |Brazil|Colombia|2|0|Uruguay| </v>
      </c>
      <c r="N839" s="1" t="s">
        <v>559</v>
      </c>
    </row>
    <row r="840" spans="1:14" hidden="1" x14ac:dyDescent="0.2">
      <c r="A840" s="1">
        <v>2014</v>
      </c>
      <c r="B840" s="2" t="d">
        <v>2014-06-29</v>
      </c>
      <c r="C840" s="1" t="s">
        <v>41</v>
      </c>
      <c r="D840" s="12" t="s">
        <v>323</v>
      </c>
      <c r="E840" s="1" t="s">
        <v>514</v>
      </c>
      <c r="F840" s="1" t="s">
        <v>515</v>
      </c>
      <c r="G840" s="1" t="s">
        <v>27</v>
      </c>
      <c r="H840" s="1" t="s">
        <v>59</v>
      </c>
      <c r="I840" s="1">
        <v>2</v>
      </c>
      <c r="J840" s="1">
        <v>1</v>
      </c>
      <c r="K840" s="1" t="s">
        <v>18</v>
      </c>
      <c r="L840" s="1" t="s">
        <v>19</v>
      </c>
      <c r="M840" s="1" t="str">
        <f t="shared" si="13"/>
        <v xml:space="preserve">2014|41819| 13:00 |Round of 16|Estadio Castelao|Fortaleza |Brazil|Netherlands|2|1|Mexico| </v>
      </c>
      <c r="N840" s="1" t="s">
        <v>559</v>
      </c>
    </row>
    <row r="841" spans="1:14" hidden="1" x14ac:dyDescent="0.2">
      <c r="A841" s="1">
        <v>2014</v>
      </c>
      <c r="B841" s="2" t="d">
        <v>2014-06-29</v>
      </c>
      <c r="C841" s="1" t="s">
        <v>79</v>
      </c>
      <c r="D841" s="12" t="s">
        <v>323</v>
      </c>
      <c r="E841" s="1" t="s">
        <v>519</v>
      </c>
      <c r="F841" s="1" t="s">
        <v>122</v>
      </c>
      <c r="G841" s="1" t="s">
        <v>27</v>
      </c>
      <c r="H841" s="1" t="s">
        <v>337</v>
      </c>
      <c r="I841" s="1">
        <v>1</v>
      </c>
      <c r="J841" s="1">
        <v>1</v>
      </c>
      <c r="K841" s="1" t="s">
        <v>377</v>
      </c>
      <c r="L841" s="1" t="s">
        <v>530</v>
      </c>
      <c r="M841" s="1" t="str">
        <f t="shared" si="13"/>
        <v xml:space="preserve">2014|41819| 17:00 |Round of 16|Arena Pernambuco|Recife |Brazil|Costa Rica|1|1|Greece|Costa Rica win on penalties (5 - 3) </v>
      </c>
      <c r="N841" s="1" t="s">
        <v>559</v>
      </c>
    </row>
    <row r="842" spans="1:14" hidden="1" x14ac:dyDescent="0.2">
      <c r="A842" s="1">
        <v>2014</v>
      </c>
      <c r="B842" s="2" t="d">
        <v>2014-06-30</v>
      </c>
      <c r="C842" s="1" t="s">
        <v>41</v>
      </c>
      <c r="D842" s="12" t="s">
        <v>323</v>
      </c>
      <c r="E842" s="1" t="s">
        <v>520</v>
      </c>
      <c r="F842" s="1" t="s">
        <v>521</v>
      </c>
      <c r="G842" s="1" t="s">
        <v>27</v>
      </c>
      <c r="H842" s="1" t="s">
        <v>17</v>
      </c>
      <c r="I842" s="1">
        <v>2</v>
      </c>
      <c r="J842" s="1">
        <v>0</v>
      </c>
      <c r="K842" s="1" t="s">
        <v>378</v>
      </c>
      <c r="L842" s="1" t="s">
        <v>19</v>
      </c>
      <c r="M842" s="1" t="str">
        <f t="shared" si="13"/>
        <v xml:space="preserve">2014|41820| 13:00 |Round of 16|Estadio Nacional|Brasilia |Brazil|France|2|0|Nigeria| </v>
      </c>
      <c r="N842" s="1" t="s">
        <v>559</v>
      </c>
    </row>
    <row r="843" spans="1:14" x14ac:dyDescent="0.2">
      <c r="A843" s="1">
        <v>2014</v>
      </c>
      <c r="B843" s="2" t="d">
        <v>2014-06-30</v>
      </c>
      <c r="C843" s="1" t="s">
        <v>79</v>
      </c>
      <c r="D843" s="12" t="s">
        <v>323</v>
      </c>
      <c r="E843" s="1" t="s">
        <v>522</v>
      </c>
      <c r="F843" s="1" t="s">
        <v>118</v>
      </c>
      <c r="G843" s="1" t="s">
        <v>27</v>
      </c>
      <c r="H843" s="1" t="s">
        <v>65</v>
      </c>
      <c r="I843" s="1">
        <v>2</v>
      </c>
      <c r="J843" s="1">
        <v>1</v>
      </c>
      <c r="K843" s="1" t="s">
        <v>281</v>
      </c>
      <c r="L843" s="1" t="s">
        <v>526</v>
      </c>
      <c r="M843" s="1" t="str">
        <f t="shared" si="13"/>
        <v xml:space="preserve">2014|41820| 17:00 |Round of 16|Estadio Beira-Rio|Porto Alegre |Brazil|Germany|2|1|Algeria|Germany win after extra time </v>
      </c>
      <c r="N843" s="1" t="s">
        <v>559</v>
      </c>
    </row>
    <row r="844" spans="1:14" hidden="1" x14ac:dyDescent="0.2">
      <c r="A844" s="1">
        <v>2014</v>
      </c>
      <c r="B844" s="2" t="d">
        <v>2014-07-01</v>
      </c>
      <c r="C844" s="1" t="s">
        <v>41</v>
      </c>
      <c r="D844" s="12" t="s">
        <v>323</v>
      </c>
      <c r="E844" s="1" t="s">
        <v>506</v>
      </c>
      <c r="F844" s="1" t="s">
        <v>114</v>
      </c>
      <c r="G844" s="1" t="s">
        <v>27</v>
      </c>
      <c r="H844" s="1" t="s">
        <v>33</v>
      </c>
      <c r="I844" s="1">
        <v>1</v>
      </c>
      <c r="J844" s="1">
        <v>0</v>
      </c>
      <c r="K844" s="1" t="s">
        <v>58</v>
      </c>
      <c r="L844" s="1" t="s">
        <v>261</v>
      </c>
      <c r="M844" s="1" t="str">
        <f t="shared" si="13"/>
        <v xml:space="preserve">2014|41821| 13:00 |Round of 16|Arena de Sao Paulo|Sao Paulo |Brazil|Argentina|1|0|Switzerland|Argentina win after extra time </v>
      </c>
      <c r="N844" s="1" t="s">
        <v>559</v>
      </c>
    </row>
    <row r="845" spans="1:14" hidden="1" x14ac:dyDescent="0.2">
      <c r="A845" s="1">
        <v>2014</v>
      </c>
      <c r="B845" s="2" t="d">
        <v>2014-07-01</v>
      </c>
      <c r="C845" s="1" t="s">
        <v>79</v>
      </c>
      <c r="D845" s="12" t="s">
        <v>323</v>
      </c>
      <c r="E845" s="1" t="s">
        <v>509</v>
      </c>
      <c r="F845" s="1" t="s">
        <v>510</v>
      </c>
      <c r="G845" s="1" t="s">
        <v>27</v>
      </c>
      <c r="H845" s="1" t="s">
        <v>23</v>
      </c>
      <c r="I845" s="1">
        <v>2</v>
      </c>
      <c r="J845" s="1">
        <v>1</v>
      </c>
      <c r="K845" s="1" t="s">
        <v>22</v>
      </c>
      <c r="L845" s="1" t="s">
        <v>324</v>
      </c>
      <c r="M845" s="1" t="str">
        <f t="shared" si="13"/>
        <v xml:space="preserve">2014|41821| 17:00 |Round of 16|Arena Fonte Nova|Salvador |Brazil|Belgium|2|1|USA|Belgium win after extra time </v>
      </c>
      <c r="N845" s="1" t="s">
        <v>559</v>
      </c>
    </row>
    <row r="846" spans="1:14" hidden="1" x14ac:dyDescent="0.2">
      <c r="A846" s="1">
        <v>2014</v>
      </c>
      <c r="B846" s="2" t="d">
        <v>2014-07-04</v>
      </c>
      <c r="C846" s="1" t="s">
        <v>41</v>
      </c>
      <c r="D846" s="12" t="s">
        <v>74</v>
      </c>
      <c r="E846" s="1" t="s">
        <v>523</v>
      </c>
      <c r="F846" s="1" t="s">
        <v>109</v>
      </c>
      <c r="G846" s="1" t="s">
        <v>27</v>
      </c>
      <c r="H846" s="1" t="s">
        <v>17</v>
      </c>
      <c r="I846" s="1">
        <v>0</v>
      </c>
      <c r="J846" s="1">
        <v>1</v>
      </c>
      <c r="K846" s="1" t="s">
        <v>65</v>
      </c>
      <c r="L846" s="1" t="s">
        <v>19</v>
      </c>
      <c r="M846" s="1" t="str">
        <f t="shared" si="13"/>
        <v xml:space="preserve">2014|41824| 13:00 |Quarter-finals|Estadio do Maracana|Rio De Janeiro |Brazil|France|0|1|Germany| </v>
      </c>
      <c r="N846" s="1" t="s">
        <v>559</v>
      </c>
    </row>
    <row r="847" spans="1:14" hidden="1" x14ac:dyDescent="0.2">
      <c r="A847" s="1">
        <v>2014</v>
      </c>
      <c r="B847" s="2" t="d">
        <v>2014-07-04</v>
      </c>
      <c r="C847" s="1" t="s">
        <v>79</v>
      </c>
      <c r="D847" s="12" t="s">
        <v>74</v>
      </c>
      <c r="E847" s="1" t="s">
        <v>514</v>
      </c>
      <c r="F847" s="1" t="s">
        <v>515</v>
      </c>
      <c r="G847" s="1" t="s">
        <v>27</v>
      </c>
      <c r="H847" s="1" t="s">
        <v>27</v>
      </c>
      <c r="I847" s="1">
        <v>2</v>
      </c>
      <c r="J847" s="1">
        <v>1</v>
      </c>
      <c r="K847" s="1" t="s">
        <v>177</v>
      </c>
      <c r="L847" s="1" t="s">
        <v>19</v>
      </c>
      <c r="M847" s="1" t="str">
        <f t="shared" si="13"/>
        <v xml:space="preserve">2014|41824| 17:00 |Quarter-finals|Estadio Castelao|Fortaleza |Brazil|Brazil|2|1|Colombia| </v>
      </c>
      <c r="N847" s="1" t="s">
        <v>559</v>
      </c>
    </row>
    <row r="848" spans="1:14" hidden="1" x14ac:dyDescent="0.2">
      <c r="A848" s="1">
        <v>2014</v>
      </c>
      <c r="B848" s="2" t="d">
        <v>2014-07-05</v>
      </c>
      <c r="C848" s="1" t="s">
        <v>41</v>
      </c>
      <c r="D848" s="12" t="s">
        <v>74</v>
      </c>
      <c r="E848" s="1" t="s">
        <v>520</v>
      </c>
      <c r="F848" s="1" t="s">
        <v>521</v>
      </c>
      <c r="G848" s="1" t="s">
        <v>27</v>
      </c>
      <c r="H848" s="1" t="s">
        <v>33</v>
      </c>
      <c r="I848" s="1">
        <v>1</v>
      </c>
      <c r="J848" s="1">
        <v>0</v>
      </c>
      <c r="K848" s="1" t="s">
        <v>23</v>
      </c>
      <c r="L848" s="1" t="s">
        <v>19</v>
      </c>
      <c r="M848" s="1" t="str">
        <f t="shared" si="13"/>
        <v xml:space="preserve">2014|41825| 13:00 |Quarter-finals|Estadio Nacional|Brasilia |Brazil|Argentina|1|0|Belgium| </v>
      </c>
      <c r="N848" s="1" t="s">
        <v>559</v>
      </c>
    </row>
    <row r="849" spans="1:14" hidden="1" x14ac:dyDescent="0.2">
      <c r="A849" s="1">
        <v>2014</v>
      </c>
      <c r="B849" s="2" t="d">
        <v>2014-07-05</v>
      </c>
      <c r="C849" s="1" t="s">
        <v>79</v>
      </c>
      <c r="D849" s="12" t="s">
        <v>74</v>
      </c>
      <c r="E849" s="1" t="s">
        <v>509</v>
      </c>
      <c r="F849" s="1" t="s">
        <v>510</v>
      </c>
      <c r="G849" s="1" t="s">
        <v>27</v>
      </c>
      <c r="H849" s="1" t="s">
        <v>59</v>
      </c>
      <c r="I849" s="1">
        <v>0</v>
      </c>
      <c r="J849" s="1">
        <v>0</v>
      </c>
      <c r="K849" s="1" t="s">
        <v>337</v>
      </c>
      <c r="L849" s="1" t="s">
        <v>529</v>
      </c>
      <c r="M849" s="1" t="str">
        <f t="shared" si="13"/>
        <v xml:space="preserve">2014|41825| 17:00 |Quarter-finals|Arena Fonte Nova|Salvador |Brazil|Netherlands|0|0|Costa Rica|Netherlands win on penalties (4 - 3) </v>
      </c>
      <c r="N849" s="1" t="s">
        <v>559</v>
      </c>
    </row>
    <row r="850" spans="1:14" hidden="1" x14ac:dyDescent="0.2">
      <c r="A850" s="1">
        <v>2014</v>
      </c>
      <c r="B850" s="2" t="d">
        <v>2014-07-08</v>
      </c>
      <c r="C850" s="1" t="s">
        <v>79</v>
      </c>
      <c r="D850" s="12" t="s">
        <v>42</v>
      </c>
      <c r="E850" s="1" t="s">
        <v>513</v>
      </c>
      <c r="F850" s="1" t="s">
        <v>116</v>
      </c>
      <c r="G850" s="1" t="s">
        <v>27</v>
      </c>
      <c r="H850" s="1" t="s">
        <v>27</v>
      </c>
      <c r="I850" s="1">
        <v>1</v>
      </c>
      <c r="J850" s="1">
        <v>7</v>
      </c>
      <c r="K850" s="1" t="s">
        <v>65</v>
      </c>
      <c r="L850" s="1" t="s">
        <v>19</v>
      </c>
      <c r="M850" s="1" t="str">
        <f t="shared" si="13"/>
        <v xml:space="preserve">2014|41828| 17:00 |Semi-finals|Estadio Mineirao|Belo Horizonte |Brazil|Brazil|1|7|Germany| </v>
      </c>
      <c r="N850" s="1" t="s">
        <v>559</v>
      </c>
    </row>
    <row r="851" spans="1:14" hidden="1" x14ac:dyDescent="0.2">
      <c r="A851" s="1">
        <v>2014</v>
      </c>
      <c r="B851" s="2" t="d">
        <v>2014-07-09</v>
      </c>
      <c r="C851" s="1" t="s">
        <v>79</v>
      </c>
      <c r="D851" s="12" t="s">
        <v>42</v>
      </c>
      <c r="E851" s="1" t="s">
        <v>506</v>
      </c>
      <c r="F851" s="1" t="s">
        <v>114</v>
      </c>
      <c r="G851" s="1" t="s">
        <v>27</v>
      </c>
      <c r="H851" s="1" t="s">
        <v>59</v>
      </c>
      <c r="I851" s="1">
        <v>0</v>
      </c>
      <c r="J851" s="1">
        <v>0</v>
      </c>
      <c r="K851" s="1" t="s">
        <v>33</v>
      </c>
      <c r="L851" s="1" t="s">
        <v>528</v>
      </c>
      <c r="M851" s="1" t="str">
        <f t="shared" si="13"/>
        <v xml:space="preserve">2014|41829| 17:00 |Semi-finals|Arena de Sao Paulo|Sao Paulo |Brazil|Netherlands|0|0|Argentina|Argentina win on penalties (2 - 4) </v>
      </c>
      <c r="N851" s="1" t="s">
        <v>559</v>
      </c>
    </row>
    <row r="852" spans="1:14" hidden="1" x14ac:dyDescent="0.2">
      <c r="A852" s="1">
        <v>2014</v>
      </c>
      <c r="B852" s="2" t="d">
        <v>2014-07-12</v>
      </c>
      <c r="C852" s="1" t="s">
        <v>79</v>
      </c>
      <c r="D852" s="12" t="s">
        <v>527</v>
      </c>
      <c r="E852" s="1" t="s">
        <v>520</v>
      </c>
      <c r="F852" s="1" t="s">
        <v>521</v>
      </c>
      <c r="G852" s="1" t="s">
        <v>27</v>
      </c>
      <c r="H852" s="1" t="s">
        <v>27</v>
      </c>
      <c r="I852" s="1">
        <v>0</v>
      </c>
      <c r="J852" s="1">
        <v>3</v>
      </c>
      <c r="K852" s="1" t="s">
        <v>59</v>
      </c>
      <c r="L852" s="1" t="s">
        <v>19</v>
      </c>
      <c r="M852" s="1" t="str">
        <f t="shared" si="13"/>
        <v xml:space="preserve">2014|41832| 17:00 |Play-off for third place|Estadio Nacional|Brasilia |Brazil|Brazil|0|3|Netherlands| </v>
      </c>
      <c r="N852" s="1" t="s">
        <v>559</v>
      </c>
    </row>
    <row r="853" spans="1:14" x14ac:dyDescent="0.2">
      <c r="A853" s="1">
        <v>2014</v>
      </c>
      <c r="B853" s="2" t="d">
        <v>2014-07-13</v>
      </c>
      <c r="C853" s="1" t="s">
        <v>32</v>
      </c>
      <c r="D853" s="12" t="s">
        <v>44</v>
      </c>
      <c r="E853" s="1" t="s">
        <v>523</v>
      </c>
      <c r="F853" s="1" t="s">
        <v>109</v>
      </c>
      <c r="G853" s="1" t="s">
        <v>27</v>
      </c>
      <c r="H853" s="1" t="s">
        <v>65</v>
      </c>
      <c r="I853" s="1">
        <v>1</v>
      </c>
      <c r="J853" s="1">
        <v>0</v>
      </c>
      <c r="K853" s="1" t="s">
        <v>33</v>
      </c>
      <c r="L853" s="1" t="s">
        <v>526</v>
      </c>
      <c r="M853" s="1" t="str">
        <f t="shared" si="13"/>
        <v xml:space="preserve">2014|41833| 16:00 |Final|Estadio do Maracana|Rio De Janeiro |Brazil|Germany|1|0|Argentina|Germany win after extra time </v>
      </c>
      <c r="N853" s="1" t="s">
        <v>559</v>
      </c>
    </row>
  </sheetData>
  <autoFilter ref="A1:N853" xr:uid="{FEC7FCD5-F467-914E-AFC8-3E719D7FA79B}">
    <filterColumn colId="7">
      <filters>
        <filter val="German DR"/>
        <filter val="Germany"/>
        <filter val="Germany FR"/>
      </filters>
    </filterColumn>
  </autoFilter>
  <conditionalFormatting sqref="M4:M853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ACF1-DB37-5B44-A039-1A8A38C94513}">
  <dimension ref="A1:H26"/>
  <sheetViews>
    <sheetView topLeftCell="A2" zoomScale="144" workbookViewId="0">
      <selection activeCell="B6" sqref="B6:B25"/>
    </sheetView>
  </sheetViews>
  <sheetFormatPr baseColWidth="10" defaultRowHeight="16" x14ac:dyDescent="0.2"/>
  <cols>
    <col min="1" max="1" width="18" bestFit="1" customWidth="1"/>
    <col min="2" max="2" width="12.83203125" bestFit="1" customWidth="1"/>
    <col min="3" max="3" width="19.6640625" bestFit="1" customWidth="1"/>
    <col min="4" max="4" width="19.33203125" bestFit="1" customWidth="1"/>
    <col min="5" max="5" width="16.6640625" bestFit="1" customWidth="1"/>
    <col min="6" max="6" width="19.1640625" bestFit="1" customWidth="1"/>
    <col min="7" max="7" width="20" bestFit="1" customWidth="1"/>
    <col min="8" max="8" width="21.83203125" bestFit="1" customWidth="1"/>
  </cols>
  <sheetData>
    <row r="1" spans="1:8" s="1" customFormat="1" x14ac:dyDescent="0.2">
      <c r="A1" s="7" t="s">
        <v>531</v>
      </c>
    </row>
    <row r="2" spans="1:8" s="1" customFormat="1" x14ac:dyDescent="0.2"/>
    <row r="4" spans="1:8" x14ac:dyDescent="0.2">
      <c r="A4" s="1"/>
      <c r="B4" s="1"/>
      <c r="C4" s="5" t="s">
        <v>540</v>
      </c>
      <c r="D4" s="1"/>
      <c r="E4" s="1"/>
      <c r="F4" s="1"/>
    </row>
    <row r="5" spans="1:8" x14ac:dyDescent="0.2">
      <c r="A5" s="5" t="s">
        <v>0</v>
      </c>
      <c r="B5" s="5" t="s">
        <v>6</v>
      </c>
      <c r="C5" s="1" t="s">
        <v>534</v>
      </c>
      <c r="D5" s="1" t="s">
        <v>535</v>
      </c>
      <c r="E5" s="1" t="s">
        <v>539</v>
      </c>
      <c r="F5" s="1" t="s">
        <v>551</v>
      </c>
      <c r="G5" s="3" t="s">
        <v>552</v>
      </c>
      <c r="H5" s="3" t="s">
        <v>554</v>
      </c>
    </row>
    <row r="6" spans="1:8" x14ac:dyDescent="0.2">
      <c r="A6" s="1">
        <v>1930</v>
      </c>
      <c r="B6" s="1" t="s">
        <v>16</v>
      </c>
      <c r="C6" s="1">
        <v>59</v>
      </c>
      <c r="D6" s="1">
        <v>11</v>
      </c>
      <c r="E6" s="1">
        <v>18</v>
      </c>
      <c r="F6" s="1">
        <v>70</v>
      </c>
      <c r="G6" s="11"/>
    </row>
    <row r="7" spans="1:8" x14ac:dyDescent="0.2">
      <c r="A7" s="1">
        <v>1934</v>
      </c>
      <c r="B7" s="1" t="s">
        <v>49</v>
      </c>
      <c r="C7" s="1">
        <v>48</v>
      </c>
      <c r="D7" s="1">
        <v>22</v>
      </c>
      <c r="E7" s="1">
        <v>17</v>
      </c>
      <c r="F7" s="1">
        <v>70</v>
      </c>
    </row>
    <row r="8" spans="1:8" x14ac:dyDescent="0.2">
      <c r="A8" s="1">
        <v>1938</v>
      </c>
      <c r="B8" s="1" t="s">
        <v>17</v>
      </c>
      <c r="C8" s="1">
        <v>61</v>
      </c>
      <c r="D8" s="1">
        <v>23</v>
      </c>
      <c r="E8" s="1">
        <v>18</v>
      </c>
      <c r="F8" s="1">
        <v>84</v>
      </c>
    </row>
    <row r="9" spans="1:8" x14ac:dyDescent="0.2">
      <c r="A9" s="1">
        <v>1950</v>
      </c>
      <c r="B9" s="1" t="s">
        <v>27</v>
      </c>
      <c r="C9" s="1">
        <v>69</v>
      </c>
      <c r="D9" s="1">
        <v>19</v>
      </c>
      <c r="E9" s="1">
        <v>22</v>
      </c>
      <c r="F9" s="1">
        <v>88</v>
      </c>
    </row>
    <row r="10" spans="1:8" x14ac:dyDescent="0.2">
      <c r="A10" s="1">
        <v>1954</v>
      </c>
      <c r="B10" s="1" t="s">
        <v>58</v>
      </c>
      <c r="C10" s="1">
        <v>109</v>
      </c>
      <c r="D10" s="1">
        <v>31</v>
      </c>
      <c r="E10" s="1">
        <v>26</v>
      </c>
      <c r="F10" s="1">
        <v>140</v>
      </c>
      <c r="G10" s="11">
        <f>GETPIVOTDATA("Sum of Total Goals",$A$4,"Year",1954,"Country","Switzerland")/GETPIVOTDATA("Count of Games",$A$4,"Year",1954,"Country","Switzerland")</f>
        <v>5.384615384615385</v>
      </c>
      <c r="H10" s="1" t="s">
        <v>553</v>
      </c>
    </row>
    <row r="11" spans="1:8" x14ac:dyDescent="0.2">
      <c r="A11" s="1">
        <v>1958</v>
      </c>
      <c r="B11" s="1" t="s">
        <v>62</v>
      </c>
      <c r="C11" s="1">
        <v>88</v>
      </c>
      <c r="D11" s="1">
        <v>38</v>
      </c>
      <c r="E11" s="1">
        <v>35</v>
      </c>
      <c r="F11" s="1">
        <v>126</v>
      </c>
    </row>
    <row r="12" spans="1:8" x14ac:dyDescent="0.2">
      <c r="A12" s="1">
        <v>1962</v>
      </c>
      <c r="B12" s="1" t="s">
        <v>35</v>
      </c>
      <c r="C12" s="1">
        <v>69</v>
      </c>
      <c r="D12" s="1">
        <v>20</v>
      </c>
      <c r="E12" s="1">
        <v>32</v>
      </c>
      <c r="F12" s="1">
        <v>89</v>
      </c>
    </row>
    <row r="13" spans="1:8" x14ac:dyDescent="0.2">
      <c r="A13" s="1">
        <v>1966</v>
      </c>
      <c r="B13" s="1" t="s">
        <v>110</v>
      </c>
      <c r="C13" s="1">
        <v>69</v>
      </c>
      <c r="D13" s="1">
        <v>20</v>
      </c>
      <c r="E13" s="1">
        <v>32</v>
      </c>
      <c r="F13" s="1">
        <v>89</v>
      </c>
    </row>
    <row r="14" spans="1:8" x14ac:dyDescent="0.2">
      <c r="A14" s="1">
        <v>1970</v>
      </c>
      <c r="B14" s="1" t="s">
        <v>18</v>
      </c>
      <c r="C14" s="1">
        <v>72</v>
      </c>
      <c r="D14" s="1">
        <v>23</v>
      </c>
      <c r="E14" s="1">
        <v>32</v>
      </c>
      <c r="F14" s="1">
        <v>95</v>
      </c>
    </row>
    <row r="15" spans="1:8" x14ac:dyDescent="0.2">
      <c r="A15" s="1">
        <v>1974</v>
      </c>
      <c r="B15" s="1" t="s">
        <v>65</v>
      </c>
      <c r="C15" s="1">
        <v>51</v>
      </c>
      <c r="D15" s="1">
        <v>46</v>
      </c>
      <c r="E15" s="1">
        <v>38</v>
      </c>
      <c r="F15" s="1">
        <v>97</v>
      </c>
    </row>
    <row r="16" spans="1:8" x14ac:dyDescent="0.2">
      <c r="A16" s="1">
        <v>1978</v>
      </c>
      <c r="B16" s="1" t="s">
        <v>33</v>
      </c>
      <c r="C16" s="1">
        <v>79</v>
      </c>
      <c r="D16" s="1">
        <v>23</v>
      </c>
      <c r="E16" s="1">
        <v>38</v>
      </c>
      <c r="F16" s="1">
        <v>102</v>
      </c>
    </row>
    <row r="17" spans="1:8" x14ac:dyDescent="0.2">
      <c r="A17" s="1">
        <v>1982</v>
      </c>
      <c r="B17" s="1" t="s">
        <v>68</v>
      </c>
      <c r="C17" s="1">
        <v>97</v>
      </c>
      <c r="D17" s="1">
        <v>49</v>
      </c>
      <c r="E17" s="1">
        <v>52</v>
      </c>
      <c r="F17" s="1">
        <v>146</v>
      </c>
    </row>
    <row r="18" spans="1:8" x14ac:dyDescent="0.2">
      <c r="A18" s="1">
        <v>1986</v>
      </c>
      <c r="B18" s="1" t="s">
        <v>18</v>
      </c>
      <c r="C18" s="1">
        <v>74</v>
      </c>
      <c r="D18" s="1">
        <v>58</v>
      </c>
      <c r="E18" s="1">
        <v>52</v>
      </c>
      <c r="F18" s="1">
        <v>132</v>
      </c>
    </row>
    <row r="19" spans="1:8" x14ac:dyDescent="0.2">
      <c r="A19" s="1">
        <v>1990</v>
      </c>
      <c r="B19" s="1" t="s">
        <v>49</v>
      </c>
      <c r="C19" s="1">
        <v>67</v>
      </c>
      <c r="D19" s="1">
        <v>48</v>
      </c>
      <c r="E19" s="1">
        <v>52</v>
      </c>
      <c r="F19" s="1">
        <v>115</v>
      </c>
    </row>
    <row r="20" spans="1:8" x14ac:dyDescent="0.2">
      <c r="A20" s="1">
        <v>1994</v>
      </c>
      <c r="B20" s="1" t="s">
        <v>22</v>
      </c>
      <c r="C20" s="1">
        <v>83</v>
      </c>
      <c r="D20" s="1">
        <v>58</v>
      </c>
      <c r="E20" s="1">
        <v>52</v>
      </c>
      <c r="F20" s="1">
        <v>141</v>
      </c>
    </row>
    <row r="21" spans="1:8" x14ac:dyDescent="0.2">
      <c r="A21" s="1">
        <v>1998</v>
      </c>
      <c r="B21" s="1" t="s">
        <v>17</v>
      </c>
      <c r="C21" s="1">
        <v>98</v>
      </c>
      <c r="D21" s="1">
        <v>73</v>
      </c>
      <c r="E21" s="1">
        <v>64</v>
      </c>
      <c r="F21" s="10">
        <v>171</v>
      </c>
      <c r="H21" s="1" t="s">
        <v>536</v>
      </c>
    </row>
    <row r="22" spans="1:8" x14ac:dyDescent="0.2">
      <c r="A22" s="1">
        <v>2002</v>
      </c>
      <c r="B22" s="1" t="s">
        <v>406</v>
      </c>
      <c r="C22" s="1">
        <v>89</v>
      </c>
      <c r="D22" s="1">
        <v>72</v>
      </c>
      <c r="E22" s="1">
        <v>64</v>
      </c>
      <c r="F22" s="1">
        <v>161</v>
      </c>
    </row>
    <row r="23" spans="1:8" x14ac:dyDescent="0.2">
      <c r="A23" s="1">
        <v>2006</v>
      </c>
      <c r="B23" s="1" t="s">
        <v>65</v>
      </c>
      <c r="C23" s="1">
        <v>86</v>
      </c>
      <c r="D23" s="1">
        <v>61</v>
      </c>
      <c r="E23" s="1">
        <v>64</v>
      </c>
      <c r="F23" s="1">
        <v>147</v>
      </c>
    </row>
    <row r="24" spans="1:8" x14ac:dyDescent="0.2">
      <c r="A24" s="1">
        <v>2010</v>
      </c>
      <c r="B24" s="1" t="s">
        <v>389</v>
      </c>
      <c r="C24" s="1">
        <v>76</v>
      </c>
      <c r="D24" s="1">
        <v>69</v>
      </c>
      <c r="E24" s="1">
        <v>64</v>
      </c>
      <c r="F24" s="1">
        <v>145</v>
      </c>
    </row>
    <row r="25" spans="1:8" x14ac:dyDescent="0.2">
      <c r="A25" s="1">
        <v>2014</v>
      </c>
      <c r="B25" s="1" t="s">
        <v>27</v>
      </c>
      <c r="C25" s="1">
        <v>81</v>
      </c>
      <c r="D25" s="1">
        <v>90</v>
      </c>
      <c r="E25" s="10">
        <v>64</v>
      </c>
      <c r="F25" s="10">
        <v>171</v>
      </c>
      <c r="G25" s="11">
        <f>GETPIVOTDATA("Sum of Total Goals",$A$4,"Year",2014,"Country","Brazil")/GETPIVOTDATA("Count of Games",$A$4,"Year",2014,"Country","Brazil")</f>
        <v>2.671875</v>
      </c>
      <c r="H25" s="1" t="s">
        <v>555</v>
      </c>
    </row>
    <row r="26" spans="1:8" x14ac:dyDescent="0.2">
      <c r="A26" s="1" t="s">
        <v>533</v>
      </c>
      <c r="B26" s="1"/>
      <c r="C26" s="1">
        <v>1525</v>
      </c>
      <c r="D26" s="1">
        <v>854</v>
      </c>
      <c r="E26" s="1">
        <v>836</v>
      </c>
      <c r="F26" s="1">
        <v>2379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1D56-1C7D-A84F-9474-C8CD59F61286}">
  <dimension ref="A1:W744"/>
  <sheetViews>
    <sheetView topLeftCell="S1" zoomScale="150" zoomScaleNormal="174" workbookViewId="0">
      <selection activeCell="AB1" sqref="AB1"/>
    </sheetView>
  </sheetViews>
  <sheetFormatPr baseColWidth="10" defaultRowHeight="16" x14ac:dyDescent="0.2"/>
  <cols>
    <col min="1" max="1" width="24" style="1" bestFit="1" customWidth="1"/>
    <col min="2" max="2" width="19.6640625" style="1" bestFit="1" customWidth="1"/>
    <col min="3" max="4" width="10.83203125" style="1"/>
    <col min="5" max="5" width="24" style="1" bestFit="1" customWidth="1"/>
    <col min="6" max="6" width="19.33203125" style="1" bestFit="1" customWidth="1"/>
    <col min="7" max="7" width="10.83203125" style="1"/>
    <col min="8" max="8" width="12.33203125" style="1" bestFit="1" customWidth="1"/>
    <col min="9" max="9" width="24" style="1" bestFit="1" customWidth="1"/>
    <col min="10" max="10" width="6.6640625" style="1" bestFit="1" customWidth="1"/>
    <col min="11" max="12" width="10.83203125" style="1"/>
    <col min="13" max="13" width="24" style="1" bestFit="1" customWidth="1"/>
    <col min="14" max="14" width="13.83203125" style="1" bestFit="1" customWidth="1"/>
    <col min="15" max="17" width="10.83203125" style="1"/>
    <col min="18" max="18" width="24.5" style="1" bestFit="1" customWidth="1"/>
    <col min="19" max="19" width="16.33203125" style="1" bestFit="1" customWidth="1"/>
    <col min="20" max="21" width="10.83203125" style="1"/>
    <col min="22" max="22" width="24" style="1" bestFit="1" customWidth="1"/>
    <col min="23" max="23" width="21.1640625" style="1" bestFit="1" customWidth="1"/>
    <col min="24" max="16384" width="10.83203125" style="1"/>
  </cols>
  <sheetData>
    <row r="1" spans="1:23" s="8" customFormat="1" ht="18" x14ac:dyDescent="0.2">
      <c r="A1" s="4" t="s">
        <v>537</v>
      </c>
    </row>
    <row r="2" spans="1:23" x14ac:dyDescent="0.2">
      <c r="R2" s="9" t="s">
        <v>546</v>
      </c>
      <c r="V2" s="9" t="s">
        <v>548</v>
      </c>
    </row>
    <row r="4" spans="1:23" x14ac:dyDescent="0.2">
      <c r="A4" s="5" t="s">
        <v>541</v>
      </c>
      <c r="B4" s="1" t="s">
        <v>534</v>
      </c>
      <c r="E4" s="5" t="s">
        <v>542</v>
      </c>
      <c r="F4" s="1" t="s">
        <v>535</v>
      </c>
      <c r="H4" s="3" t="s">
        <v>543</v>
      </c>
      <c r="I4" s="3" t="s">
        <v>6</v>
      </c>
      <c r="J4" s="3" t="s">
        <v>544</v>
      </c>
      <c r="M4" s="5" t="s">
        <v>532</v>
      </c>
      <c r="N4" s="1" t="s">
        <v>545</v>
      </c>
      <c r="Q4"/>
      <c r="R4" s="3" t="s">
        <v>6</v>
      </c>
      <c r="S4" s="3" t="s">
        <v>545</v>
      </c>
      <c r="V4" s="5" t="s">
        <v>532</v>
      </c>
      <c r="W4" s="1" t="s">
        <v>547</v>
      </c>
    </row>
    <row r="5" spans="1:23" x14ac:dyDescent="0.2">
      <c r="A5" s="6" t="s">
        <v>281</v>
      </c>
      <c r="B5" s="1">
        <v>5</v>
      </c>
      <c r="E5" s="6" t="s">
        <v>281</v>
      </c>
      <c r="F5" s="1">
        <v>8</v>
      </c>
      <c r="H5" s="1" t="s">
        <v>541</v>
      </c>
      <c r="I5" s="6" t="s">
        <v>281</v>
      </c>
      <c r="J5" s="1">
        <v>5</v>
      </c>
      <c r="M5" s="6" t="s">
        <v>281</v>
      </c>
      <c r="N5" s="1">
        <v>13</v>
      </c>
      <c r="Q5"/>
      <c r="R5" s="6" t="s">
        <v>281</v>
      </c>
      <c r="S5" s="1">
        <v>13</v>
      </c>
      <c r="V5" s="6" t="s">
        <v>65</v>
      </c>
      <c r="W5" s="1">
        <v>229</v>
      </c>
    </row>
    <row r="6" spans="1:23" x14ac:dyDescent="0.2">
      <c r="A6" s="6" t="s">
        <v>467</v>
      </c>
      <c r="B6" s="1">
        <v>0</v>
      </c>
      <c r="E6" s="6" t="s">
        <v>467</v>
      </c>
      <c r="F6" s="1">
        <v>1</v>
      </c>
      <c r="H6" s="1" t="s">
        <v>541</v>
      </c>
      <c r="I6" s="6" t="s">
        <v>467</v>
      </c>
      <c r="J6" s="1">
        <v>0</v>
      </c>
      <c r="M6" s="6" t="s">
        <v>467</v>
      </c>
      <c r="N6" s="1">
        <v>1</v>
      </c>
      <c r="Q6"/>
      <c r="R6" s="6" t="s">
        <v>467</v>
      </c>
      <c r="S6" s="1">
        <v>1</v>
      </c>
      <c r="V6" s="6" t="s">
        <v>27</v>
      </c>
      <c r="W6" s="1">
        <v>221</v>
      </c>
    </row>
    <row r="7" spans="1:23" x14ac:dyDescent="0.2">
      <c r="A7" s="6" t="s">
        <v>33</v>
      </c>
      <c r="B7" s="1">
        <v>109</v>
      </c>
      <c r="E7" s="6" t="s">
        <v>33</v>
      </c>
      <c r="F7" s="1">
        <v>22</v>
      </c>
      <c r="H7" s="1" t="s">
        <v>541</v>
      </c>
      <c r="I7" s="6" t="s">
        <v>33</v>
      </c>
      <c r="J7" s="1">
        <v>109</v>
      </c>
      <c r="M7" s="6" t="s">
        <v>33</v>
      </c>
      <c r="N7" s="1">
        <v>131</v>
      </c>
      <c r="Q7"/>
      <c r="R7" s="6" t="s">
        <v>33</v>
      </c>
      <c r="S7" s="1">
        <v>131</v>
      </c>
      <c r="V7" s="6" t="s">
        <v>33</v>
      </c>
      <c r="W7" s="1">
        <v>131</v>
      </c>
    </row>
    <row r="8" spans="1:23" x14ac:dyDescent="0.2">
      <c r="A8" s="6" t="s">
        <v>227</v>
      </c>
      <c r="B8" s="1">
        <v>7</v>
      </c>
      <c r="E8" s="6" t="s">
        <v>227</v>
      </c>
      <c r="F8" s="1">
        <v>4</v>
      </c>
      <c r="H8" s="1" t="s">
        <v>541</v>
      </c>
      <c r="I8" s="6" t="s">
        <v>227</v>
      </c>
      <c r="J8" s="1">
        <v>7</v>
      </c>
      <c r="M8" s="6" t="s">
        <v>227</v>
      </c>
      <c r="N8" s="1">
        <v>11</v>
      </c>
      <c r="Q8"/>
      <c r="R8" s="6" t="s">
        <v>227</v>
      </c>
      <c r="S8" s="1">
        <v>11</v>
      </c>
      <c r="V8" s="6" t="s">
        <v>49</v>
      </c>
      <c r="W8" s="1">
        <v>128</v>
      </c>
    </row>
    <row r="9" spans="1:23" x14ac:dyDescent="0.2">
      <c r="A9" s="6" t="s">
        <v>50</v>
      </c>
      <c r="B9" s="1">
        <v>31</v>
      </c>
      <c r="E9" s="6" t="s">
        <v>50</v>
      </c>
      <c r="F9" s="1">
        <v>12</v>
      </c>
      <c r="H9" s="1" t="s">
        <v>541</v>
      </c>
      <c r="I9" s="6" t="s">
        <v>50</v>
      </c>
      <c r="J9" s="1">
        <v>31</v>
      </c>
      <c r="M9" s="6" t="s">
        <v>50</v>
      </c>
      <c r="N9" s="1">
        <v>43</v>
      </c>
      <c r="Q9"/>
      <c r="R9" s="6" t="s">
        <v>50</v>
      </c>
      <c r="S9" s="1">
        <v>43</v>
      </c>
      <c r="V9" s="6" t="s">
        <v>17</v>
      </c>
      <c r="W9" s="1">
        <v>106</v>
      </c>
    </row>
    <row r="10" spans="1:23" x14ac:dyDescent="0.2">
      <c r="A10" s="6" t="s">
        <v>23</v>
      </c>
      <c r="B10" s="1">
        <v>25</v>
      </c>
      <c r="E10" s="6" t="s">
        <v>23</v>
      </c>
      <c r="F10" s="1">
        <v>27</v>
      </c>
      <c r="H10" s="1" t="s">
        <v>541</v>
      </c>
      <c r="I10" s="6" t="s">
        <v>23</v>
      </c>
      <c r="J10" s="1">
        <v>25</v>
      </c>
      <c r="M10" s="6" t="s">
        <v>23</v>
      </c>
      <c r="N10" s="1">
        <v>52</v>
      </c>
      <c r="Q10"/>
      <c r="R10" s="6" t="s">
        <v>23</v>
      </c>
      <c r="S10" s="1">
        <v>52</v>
      </c>
      <c r="V10" s="6" t="s">
        <v>68</v>
      </c>
      <c r="W10" s="1">
        <v>92</v>
      </c>
    </row>
    <row r="11" spans="1:23" x14ac:dyDescent="0.2">
      <c r="A11" s="6" t="s">
        <v>36</v>
      </c>
      <c r="B11" s="1">
        <v>1</v>
      </c>
      <c r="E11" s="6" t="s">
        <v>36</v>
      </c>
      <c r="F11" s="1">
        <v>0</v>
      </c>
      <c r="H11" s="1" t="s">
        <v>541</v>
      </c>
      <c r="I11" s="6" t="s">
        <v>36</v>
      </c>
      <c r="J11" s="1">
        <v>1</v>
      </c>
      <c r="M11" s="6" t="s">
        <v>36</v>
      </c>
      <c r="N11" s="1">
        <v>1</v>
      </c>
      <c r="Q11"/>
      <c r="R11" s="6" t="s">
        <v>36</v>
      </c>
      <c r="S11" s="1">
        <v>1</v>
      </c>
      <c r="V11" s="6" t="s">
        <v>54</v>
      </c>
      <c r="W11" s="1">
        <v>87</v>
      </c>
    </row>
    <row r="12" spans="1:23" x14ac:dyDescent="0.2">
      <c r="A12" s="6" t="s">
        <v>524</v>
      </c>
      <c r="B12" s="1">
        <v>3</v>
      </c>
      <c r="E12" s="6" t="s">
        <v>524</v>
      </c>
      <c r="F12" s="1">
        <v>1</v>
      </c>
      <c r="H12" s="1" t="s">
        <v>541</v>
      </c>
      <c r="I12" s="6" t="s">
        <v>524</v>
      </c>
      <c r="J12" s="1">
        <v>3</v>
      </c>
      <c r="M12" s="6" t="s">
        <v>524</v>
      </c>
      <c r="N12" s="1">
        <v>4</v>
      </c>
      <c r="Q12"/>
      <c r="R12" s="6" t="s">
        <v>524</v>
      </c>
      <c r="S12" s="1">
        <v>4</v>
      </c>
      <c r="V12" s="6" t="s">
        <v>59</v>
      </c>
      <c r="W12" s="1">
        <v>86</v>
      </c>
    </row>
    <row r="13" spans="1:23" x14ac:dyDescent="0.2">
      <c r="A13" s="6" t="s">
        <v>27</v>
      </c>
      <c r="B13" s="1">
        <v>176</v>
      </c>
      <c r="E13" s="6" t="s">
        <v>27</v>
      </c>
      <c r="F13" s="1">
        <v>45</v>
      </c>
      <c r="H13" s="1" t="s">
        <v>541</v>
      </c>
      <c r="I13" s="6" t="s">
        <v>27</v>
      </c>
      <c r="J13" s="1">
        <v>176</v>
      </c>
      <c r="M13" s="6" t="s">
        <v>27</v>
      </c>
      <c r="N13" s="1">
        <v>221</v>
      </c>
      <c r="Q13"/>
      <c r="R13" s="6" t="s">
        <v>27</v>
      </c>
      <c r="S13" s="1">
        <v>221</v>
      </c>
      <c r="V13" s="6" t="s">
        <v>16</v>
      </c>
      <c r="W13" s="1">
        <v>80</v>
      </c>
    </row>
    <row r="14" spans="1:23" x14ac:dyDescent="0.2">
      <c r="A14" s="6" t="s">
        <v>182</v>
      </c>
      <c r="B14" s="1">
        <v>11</v>
      </c>
      <c r="E14" s="6" t="s">
        <v>182</v>
      </c>
      <c r="F14" s="1">
        <v>11</v>
      </c>
      <c r="H14" s="1" t="s">
        <v>541</v>
      </c>
      <c r="I14" s="6" t="s">
        <v>182</v>
      </c>
      <c r="J14" s="1">
        <v>11</v>
      </c>
      <c r="M14" s="6" t="s">
        <v>182</v>
      </c>
      <c r="N14" s="1">
        <v>22</v>
      </c>
      <c r="Q14"/>
      <c r="R14" s="6" t="s">
        <v>182</v>
      </c>
      <c r="S14" s="1">
        <v>22</v>
      </c>
      <c r="V14" s="6" t="s">
        <v>110</v>
      </c>
      <c r="W14" s="1">
        <v>79</v>
      </c>
    </row>
    <row r="15" spans="1:23" x14ac:dyDescent="0.2">
      <c r="A15" s="6" t="s">
        <v>273</v>
      </c>
      <c r="B15" s="1">
        <v>11</v>
      </c>
      <c r="E15" s="6" t="s">
        <v>273</v>
      </c>
      <c r="F15" s="1">
        <v>7</v>
      </c>
      <c r="H15" s="1" t="s">
        <v>541</v>
      </c>
      <c r="I15" s="6" t="s">
        <v>273</v>
      </c>
      <c r="J15" s="1">
        <v>11</v>
      </c>
      <c r="M15" s="6" t="s">
        <v>273</v>
      </c>
      <c r="N15" s="1">
        <v>18</v>
      </c>
      <c r="Q15"/>
      <c r="R15" s="6" t="s">
        <v>273</v>
      </c>
      <c r="S15" s="1">
        <v>18</v>
      </c>
      <c r="V15" s="6" t="s">
        <v>62</v>
      </c>
      <c r="W15" s="1">
        <v>74</v>
      </c>
    </row>
    <row r="16" spans="1:23" x14ac:dyDescent="0.2">
      <c r="A16" s="6" t="s">
        <v>305</v>
      </c>
      <c r="B16" s="1">
        <v>0</v>
      </c>
      <c r="E16" s="6" t="s">
        <v>305</v>
      </c>
      <c r="F16" s="1">
        <v>0</v>
      </c>
      <c r="H16" s="1" t="s">
        <v>541</v>
      </c>
      <c r="I16" s="6" t="s">
        <v>305</v>
      </c>
      <c r="J16" s="1">
        <v>0</v>
      </c>
      <c r="M16" s="6" t="s">
        <v>305</v>
      </c>
      <c r="N16" s="1">
        <v>0</v>
      </c>
      <c r="Q16"/>
      <c r="R16" s="6" t="s">
        <v>305</v>
      </c>
      <c r="S16" s="1">
        <v>0</v>
      </c>
      <c r="V16" s="6" t="s">
        <v>26</v>
      </c>
      <c r="W16" s="1">
        <v>60</v>
      </c>
    </row>
    <row r="17" spans="1:23" x14ac:dyDescent="0.2">
      <c r="A17" s="6" t="s">
        <v>35</v>
      </c>
      <c r="B17" s="1">
        <v>25</v>
      </c>
      <c r="E17" s="6" t="s">
        <v>35</v>
      </c>
      <c r="F17" s="1">
        <v>15</v>
      </c>
      <c r="H17" s="1" t="s">
        <v>541</v>
      </c>
      <c r="I17" s="6" t="s">
        <v>35</v>
      </c>
      <c r="J17" s="1">
        <v>25</v>
      </c>
      <c r="M17" s="6" t="s">
        <v>35</v>
      </c>
      <c r="N17" s="1">
        <v>40</v>
      </c>
      <c r="Q17"/>
      <c r="R17" s="6" t="s">
        <v>35</v>
      </c>
      <c r="S17" s="1">
        <v>40</v>
      </c>
      <c r="V17" s="6" t="s">
        <v>18</v>
      </c>
      <c r="W17" s="1">
        <v>57</v>
      </c>
    </row>
    <row r="18" spans="1:23" x14ac:dyDescent="0.2">
      <c r="A18" s="6" t="s">
        <v>424</v>
      </c>
      <c r="B18" s="1">
        <v>0</v>
      </c>
      <c r="E18" s="6" t="s">
        <v>424</v>
      </c>
      <c r="F18" s="1">
        <v>0</v>
      </c>
      <c r="H18" s="1" t="s">
        <v>541</v>
      </c>
      <c r="I18" s="6" t="s">
        <v>424</v>
      </c>
      <c r="J18" s="1">
        <v>0</v>
      </c>
      <c r="M18" s="6" t="s">
        <v>424</v>
      </c>
      <c r="N18" s="1">
        <v>0</v>
      </c>
      <c r="Q18"/>
      <c r="R18" s="6" t="s">
        <v>424</v>
      </c>
      <c r="S18" s="1">
        <v>0</v>
      </c>
      <c r="V18" s="6" t="s">
        <v>151</v>
      </c>
      <c r="W18" s="1">
        <v>53</v>
      </c>
    </row>
    <row r="19" spans="1:23" x14ac:dyDescent="0.2">
      <c r="A19" s="6" t="s">
        <v>459</v>
      </c>
      <c r="B19" s="1">
        <v>5</v>
      </c>
      <c r="E19" s="6" t="s">
        <v>459</v>
      </c>
      <c r="F19" s="1">
        <v>8</v>
      </c>
      <c r="H19" s="1" t="s">
        <v>541</v>
      </c>
      <c r="I19" s="6" t="s">
        <v>459</v>
      </c>
      <c r="J19" s="1">
        <v>5</v>
      </c>
      <c r="M19" s="6" t="s">
        <v>459</v>
      </c>
      <c r="N19" s="1">
        <v>13</v>
      </c>
      <c r="Q19"/>
      <c r="R19" s="6" t="s">
        <v>459</v>
      </c>
      <c r="S19" s="1">
        <v>13</v>
      </c>
      <c r="V19" s="6" t="s">
        <v>23</v>
      </c>
      <c r="W19" s="1">
        <v>52</v>
      </c>
    </row>
    <row r="20" spans="1:23" x14ac:dyDescent="0.2">
      <c r="A20" s="6" t="s">
        <v>177</v>
      </c>
      <c r="B20" s="1">
        <v>9</v>
      </c>
      <c r="E20" s="6" t="s">
        <v>177</v>
      </c>
      <c r="F20" s="1">
        <v>17</v>
      </c>
      <c r="H20" s="1" t="s">
        <v>541</v>
      </c>
      <c r="I20" s="6" t="s">
        <v>177</v>
      </c>
      <c r="J20" s="1">
        <v>9</v>
      </c>
      <c r="M20" s="6" t="s">
        <v>177</v>
      </c>
      <c r="N20" s="1">
        <v>26</v>
      </c>
      <c r="Q20"/>
      <c r="R20" s="6" t="s">
        <v>177</v>
      </c>
      <c r="S20" s="1">
        <v>26</v>
      </c>
      <c r="V20" s="6" t="s">
        <v>58</v>
      </c>
      <c r="W20" s="1">
        <v>45</v>
      </c>
    </row>
    <row r="21" spans="1:23" x14ac:dyDescent="0.2">
      <c r="A21" s="6" t="s">
        <v>337</v>
      </c>
      <c r="B21" s="1">
        <v>6</v>
      </c>
      <c r="E21" s="6" t="s">
        <v>337</v>
      </c>
      <c r="F21" s="1">
        <v>11</v>
      </c>
      <c r="H21" s="1" t="s">
        <v>541</v>
      </c>
      <c r="I21" s="6" t="s">
        <v>337</v>
      </c>
      <c r="J21" s="1">
        <v>6</v>
      </c>
      <c r="M21" s="6" t="s">
        <v>337</v>
      </c>
      <c r="N21" s="1">
        <v>17</v>
      </c>
      <c r="Q21"/>
      <c r="R21" s="6" t="s">
        <v>337</v>
      </c>
      <c r="S21" s="1">
        <v>17</v>
      </c>
      <c r="V21" s="6" t="s">
        <v>73</v>
      </c>
      <c r="W21" s="1">
        <v>44</v>
      </c>
    </row>
    <row r="22" spans="1:23" x14ac:dyDescent="0.2">
      <c r="A22" s="6" t="s">
        <v>399</v>
      </c>
      <c r="B22" s="1">
        <v>3</v>
      </c>
      <c r="E22" s="6" t="s">
        <v>399</v>
      </c>
      <c r="F22" s="1">
        <v>18</v>
      </c>
      <c r="H22" s="1" t="s">
        <v>541</v>
      </c>
      <c r="I22" s="6" t="s">
        <v>399</v>
      </c>
      <c r="J22" s="1">
        <v>3</v>
      </c>
      <c r="M22" s="6" t="s">
        <v>399</v>
      </c>
      <c r="N22" s="1">
        <v>21</v>
      </c>
      <c r="R22" s="6" t="s">
        <v>399</v>
      </c>
      <c r="S22" s="1">
        <v>21</v>
      </c>
      <c r="V22" s="6" t="s">
        <v>96</v>
      </c>
      <c r="W22" s="1">
        <v>44</v>
      </c>
    </row>
    <row r="23" spans="1:23" x14ac:dyDescent="0.2">
      <c r="A23" s="6" t="s">
        <v>90</v>
      </c>
      <c r="B23" s="1">
        <v>5</v>
      </c>
      <c r="E23" s="6" t="s">
        <v>90</v>
      </c>
      <c r="F23" s="1">
        <v>0</v>
      </c>
      <c r="H23" s="1" t="s">
        <v>541</v>
      </c>
      <c r="I23" s="6" t="s">
        <v>90</v>
      </c>
      <c r="J23" s="1">
        <v>5</v>
      </c>
      <c r="M23" s="6" t="s">
        <v>90</v>
      </c>
      <c r="N23" s="1">
        <v>5</v>
      </c>
      <c r="R23" s="6" t="s">
        <v>90</v>
      </c>
      <c r="S23" s="1">
        <v>5</v>
      </c>
      <c r="V23" s="6" t="s">
        <v>50</v>
      </c>
      <c r="W23" s="1">
        <v>43</v>
      </c>
    </row>
    <row r="24" spans="1:23" x14ac:dyDescent="0.2">
      <c r="A24" s="6" t="s">
        <v>470</v>
      </c>
      <c r="B24" s="1">
        <v>0</v>
      </c>
      <c r="E24" s="6" t="s">
        <v>470</v>
      </c>
      <c r="F24" s="1">
        <v>3</v>
      </c>
      <c r="H24" s="1" t="s">
        <v>541</v>
      </c>
      <c r="I24" s="6" t="s">
        <v>470</v>
      </c>
      <c r="J24" s="1">
        <v>0</v>
      </c>
      <c r="M24" s="6" t="s">
        <v>470</v>
      </c>
      <c r="N24" s="1">
        <v>3</v>
      </c>
      <c r="R24" s="6" t="s">
        <v>470</v>
      </c>
      <c r="S24" s="1">
        <v>3</v>
      </c>
      <c r="V24" s="6" t="s">
        <v>197</v>
      </c>
      <c r="W24" s="1">
        <v>43</v>
      </c>
    </row>
    <row r="25" spans="1:23" x14ac:dyDescent="0.2">
      <c r="A25" s="6" t="s">
        <v>73</v>
      </c>
      <c r="B25" s="1">
        <v>27</v>
      </c>
      <c r="E25" s="6" t="s">
        <v>73</v>
      </c>
      <c r="F25" s="1">
        <v>17</v>
      </c>
      <c r="H25" s="1" t="s">
        <v>541</v>
      </c>
      <c r="I25" s="6" t="s">
        <v>73</v>
      </c>
      <c r="J25" s="1">
        <v>27</v>
      </c>
      <c r="M25" s="6" t="s">
        <v>73</v>
      </c>
      <c r="N25" s="1">
        <v>44</v>
      </c>
      <c r="R25" s="6" t="s">
        <v>73</v>
      </c>
      <c r="S25" s="1">
        <v>44</v>
      </c>
      <c r="V25" s="6" t="s">
        <v>35</v>
      </c>
      <c r="W25" s="1">
        <v>40</v>
      </c>
    </row>
    <row r="26" spans="1:23" x14ac:dyDescent="0.2">
      <c r="A26" s="6" t="s">
        <v>320</v>
      </c>
      <c r="B26" s="1">
        <v>13</v>
      </c>
      <c r="E26" s="6" t="s">
        <v>320</v>
      </c>
      <c r="F26" s="1">
        <v>14</v>
      </c>
      <c r="H26" s="1" t="s">
        <v>541</v>
      </c>
      <c r="I26" s="6" t="s">
        <v>320</v>
      </c>
      <c r="J26" s="1">
        <v>13</v>
      </c>
      <c r="M26" s="6" t="s">
        <v>320</v>
      </c>
      <c r="N26" s="1">
        <v>27</v>
      </c>
      <c r="R26" s="6" t="s">
        <v>320</v>
      </c>
      <c r="S26" s="1">
        <v>27</v>
      </c>
      <c r="V26" s="6" t="s">
        <v>22</v>
      </c>
      <c r="W26" s="1">
        <v>37</v>
      </c>
    </row>
    <row r="27" spans="1:23" x14ac:dyDescent="0.2">
      <c r="A27" s="6" t="s">
        <v>423</v>
      </c>
      <c r="B27" s="1">
        <v>4</v>
      </c>
      <c r="E27" s="6" t="s">
        <v>85</v>
      </c>
      <c r="F27" s="1">
        <v>0</v>
      </c>
      <c r="H27" s="1" t="s">
        <v>541</v>
      </c>
      <c r="I27" s="6" t="s">
        <v>423</v>
      </c>
      <c r="J27" s="1">
        <v>4</v>
      </c>
      <c r="M27" s="6" t="s">
        <v>85</v>
      </c>
      <c r="N27" s="1">
        <v>0</v>
      </c>
      <c r="R27" s="6" t="s">
        <v>85</v>
      </c>
      <c r="S27" s="1">
        <v>0</v>
      </c>
      <c r="V27" s="6" t="s">
        <v>135</v>
      </c>
      <c r="W27" s="1">
        <v>31</v>
      </c>
    </row>
    <row r="28" spans="1:23" x14ac:dyDescent="0.2">
      <c r="A28" s="6" t="s">
        <v>110</v>
      </c>
      <c r="B28" s="1">
        <v>54</v>
      </c>
      <c r="E28" s="6" t="s">
        <v>423</v>
      </c>
      <c r="F28" s="1">
        <v>6</v>
      </c>
      <c r="H28" s="1" t="s">
        <v>541</v>
      </c>
      <c r="I28" s="6" t="s">
        <v>110</v>
      </c>
      <c r="J28" s="1">
        <v>54</v>
      </c>
      <c r="M28" s="6" t="s">
        <v>423</v>
      </c>
      <c r="N28" s="1">
        <v>10</v>
      </c>
      <c r="R28" s="6" t="s">
        <v>423</v>
      </c>
      <c r="S28" s="1">
        <v>10</v>
      </c>
      <c r="V28" s="6" t="s">
        <v>37</v>
      </c>
      <c r="W28" s="1">
        <v>30</v>
      </c>
    </row>
    <row r="29" spans="1:23" x14ac:dyDescent="0.2">
      <c r="A29" s="6" t="s">
        <v>17</v>
      </c>
      <c r="B29" s="1">
        <v>66</v>
      </c>
      <c r="E29" s="6" t="s">
        <v>55</v>
      </c>
      <c r="F29" s="1">
        <v>3</v>
      </c>
      <c r="H29" s="1" t="s">
        <v>541</v>
      </c>
      <c r="I29" s="6" t="s">
        <v>17</v>
      </c>
      <c r="J29" s="1">
        <v>66</v>
      </c>
      <c r="M29" s="6" t="s">
        <v>55</v>
      </c>
      <c r="N29" s="1">
        <v>3</v>
      </c>
      <c r="R29" s="6" t="s">
        <v>55</v>
      </c>
      <c r="S29" s="1">
        <v>3</v>
      </c>
      <c r="V29" s="6" t="s">
        <v>30</v>
      </c>
      <c r="W29" s="1">
        <v>30</v>
      </c>
    </row>
    <row r="30" spans="1:23" x14ac:dyDescent="0.2">
      <c r="A30" s="6" t="s">
        <v>226</v>
      </c>
      <c r="B30" s="1">
        <v>3</v>
      </c>
      <c r="E30" s="6" t="s">
        <v>217</v>
      </c>
      <c r="F30" s="1">
        <v>1</v>
      </c>
      <c r="H30" s="1" t="s">
        <v>541</v>
      </c>
      <c r="I30" s="6" t="s">
        <v>226</v>
      </c>
      <c r="J30" s="1">
        <v>3</v>
      </c>
      <c r="M30" s="6" t="s">
        <v>217</v>
      </c>
      <c r="N30" s="1">
        <v>1</v>
      </c>
      <c r="R30" s="6" t="s">
        <v>217</v>
      </c>
      <c r="S30" s="1">
        <v>1</v>
      </c>
      <c r="V30" s="6" t="s">
        <v>320</v>
      </c>
      <c r="W30" s="1">
        <v>27</v>
      </c>
    </row>
    <row r="31" spans="1:23" x14ac:dyDescent="0.2">
      <c r="A31" s="6" t="s">
        <v>65</v>
      </c>
      <c r="B31" s="1">
        <v>66</v>
      </c>
      <c r="E31" s="6" t="s">
        <v>110</v>
      </c>
      <c r="F31" s="1">
        <v>25</v>
      </c>
      <c r="H31" s="1" t="s">
        <v>541</v>
      </c>
      <c r="I31" s="6" t="s">
        <v>65</v>
      </c>
      <c r="J31" s="1">
        <v>66</v>
      </c>
      <c r="M31" s="6" t="s">
        <v>110</v>
      </c>
      <c r="N31" s="1">
        <v>79</v>
      </c>
      <c r="R31" s="6" t="s">
        <v>110</v>
      </c>
      <c r="S31" s="1">
        <v>79</v>
      </c>
      <c r="V31" s="6" t="s">
        <v>177</v>
      </c>
      <c r="W31" s="1">
        <v>26</v>
      </c>
    </row>
    <row r="32" spans="1:23" x14ac:dyDescent="0.2">
      <c r="A32" s="6" t="s">
        <v>133</v>
      </c>
      <c r="B32" s="1">
        <v>99</v>
      </c>
      <c r="E32" s="6" t="s">
        <v>17</v>
      </c>
      <c r="F32" s="1">
        <v>40</v>
      </c>
      <c r="H32" s="1" t="s">
        <v>541</v>
      </c>
      <c r="I32" s="6" t="s">
        <v>133</v>
      </c>
      <c r="J32" s="1">
        <v>99</v>
      </c>
      <c r="M32" s="6" t="s">
        <v>17</v>
      </c>
      <c r="N32" s="1">
        <v>106</v>
      </c>
      <c r="R32" s="6" t="s">
        <v>17</v>
      </c>
      <c r="S32" s="1">
        <v>106</v>
      </c>
      <c r="V32" s="6" t="s">
        <v>128</v>
      </c>
      <c r="W32" s="1">
        <v>25</v>
      </c>
    </row>
    <row r="33" spans="1:23" x14ac:dyDescent="0.2">
      <c r="A33" s="6" t="s">
        <v>472</v>
      </c>
      <c r="B33" s="1">
        <v>4</v>
      </c>
      <c r="E33" s="6" t="s">
        <v>226</v>
      </c>
      <c r="F33" s="1">
        <v>2</v>
      </c>
      <c r="H33" s="1" t="s">
        <v>541</v>
      </c>
      <c r="I33" s="6" t="s">
        <v>472</v>
      </c>
      <c r="J33" s="1">
        <v>4</v>
      </c>
      <c r="M33" s="6" t="s">
        <v>226</v>
      </c>
      <c r="N33" s="1">
        <v>5</v>
      </c>
      <c r="R33" s="13" t="s">
        <v>65</v>
      </c>
      <c r="S33" s="12">
        <v>5</v>
      </c>
      <c r="V33" s="6" t="s">
        <v>182</v>
      </c>
      <c r="W33" s="1">
        <v>22</v>
      </c>
    </row>
    <row r="34" spans="1:23" x14ac:dyDescent="0.2">
      <c r="A34" s="6" t="s">
        <v>377</v>
      </c>
      <c r="B34" s="1">
        <v>4</v>
      </c>
      <c r="E34" s="6" t="s">
        <v>65</v>
      </c>
      <c r="F34" s="1">
        <v>27</v>
      </c>
      <c r="H34" s="1" t="s">
        <v>541</v>
      </c>
      <c r="I34" s="6" t="s">
        <v>377</v>
      </c>
      <c r="J34" s="1">
        <v>4</v>
      </c>
      <c r="M34" s="6" t="s">
        <v>65</v>
      </c>
      <c r="N34" s="1">
        <v>93</v>
      </c>
      <c r="R34" s="13" t="s">
        <v>65</v>
      </c>
      <c r="S34" s="12">
        <v>93</v>
      </c>
      <c r="V34" s="6" t="s">
        <v>399</v>
      </c>
      <c r="W34" s="1">
        <v>21</v>
      </c>
    </row>
    <row r="35" spans="1:23" x14ac:dyDescent="0.2">
      <c r="A35" s="6" t="s">
        <v>236</v>
      </c>
      <c r="B35" s="1">
        <v>0</v>
      </c>
      <c r="E35" s="6" t="s">
        <v>133</v>
      </c>
      <c r="F35" s="1">
        <v>32</v>
      </c>
      <c r="H35" s="1" t="s">
        <v>541</v>
      </c>
      <c r="I35" s="6" t="s">
        <v>236</v>
      </c>
      <c r="J35" s="1">
        <v>0</v>
      </c>
      <c r="M35" s="6" t="s">
        <v>133</v>
      </c>
      <c r="N35" s="1">
        <v>131</v>
      </c>
      <c r="R35" s="13" t="s">
        <v>65</v>
      </c>
      <c r="S35" s="12">
        <v>131</v>
      </c>
      <c r="V35" s="6" t="s">
        <v>134</v>
      </c>
      <c r="W35" s="1">
        <v>20</v>
      </c>
    </row>
    <row r="36" spans="1:23" x14ac:dyDescent="0.2">
      <c r="A36" s="6" t="s">
        <v>287</v>
      </c>
      <c r="B36" s="1">
        <v>2</v>
      </c>
      <c r="E36" s="6" t="s">
        <v>472</v>
      </c>
      <c r="F36" s="1">
        <v>9</v>
      </c>
      <c r="H36" s="1" t="s">
        <v>541</v>
      </c>
      <c r="I36" s="6" t="s">
        <v>287</v>
      </c>
      <c r="J36" s="1">
        <v>2</v>
      </c>
      <c r="M36" s="6" t="s">
        <v>472</v>
      </c>
      <c r="N36" s="1">
        <v>13</v>
      </c>
      <c r="R36" s="6" t="s">
        <v>472</v>
      </c>
      <c r="S36" s="1">
        <v>13</v>
      </c>
      <c r="V36" s="6" t="s">
        <v>378</v>
      </c>
      <c r="W36" s="1">
        <v>20</v>
      </c>
    </row>
    <row r="37" spans="1:23" x14ac:dyDescent="0.2">
      <c r="A37" s="6" t="s">
        <v>54</v>
      </c>
      <c r="B37" s="1">
        <v>73</v>
      </c>
      <c r="E37" s="6" t="s">
        <v>377</v>
      </c>
      <c r="F37" s="1">
        <v>1</v>
      </c>
      <c r="H37" s="1" t="s">
        <v>541</v>
      </c>
      <c r="I37" s="6" t="s">
        <v>54</v>
      </c>
      <c r="J37" s="1">
        <v>73</v>
      </c>
      <c r="M37" s="6" t="s">
        <v>377</v>
      </c>
      <c r="N37" s="1">
        <v>5</v>
      </c>
      <c r="R37" s="6" t="s">
        <v>377</v>
      </c>
      <c r="S37" s="1">
        <v>5</v>
      </c>
      <c r="V37" s="6" t="s">
        <v>31</v>
      </c>
      <c r="W37" s="1">
        <v>19</v>
      </c>
    </row>
    <row r="38" spans="1:23" x14ac:dyDescent="0.2">
      <c r="A38" s="6" t="s">
        <v>258</v>
      </c>
      <c r="B38" s="1">
        <v>0</v>
      </c>
      <c r="E38" s="6" t="s">
        <v>236</v>
      </c>
      <c r="F38" s="1">
        <v>2</v>
      </c>
      <c r="H38" s="1" t="s">
        <v>541</v>
      </c>
      <c r="I38" s="6" t="s">
        <v>258</v>
      </c>
      <c r="J38" s="1">
        <v>0</v>
      </c>
      <c r="M38" s="6" t="s">
        <v>236</v>
      </c>
      <c r="N38" s="1">
        <v>2</v>
      </c>
      <c r="R38" s="6" t="s">
        <v>236</v>
      </c>
      <c r="S38" s="1">
        <v>2</v>
      </c>
      <c r="V38" s="6" t="s">
        <v>273</v>
      </c>
      <c r="W38" s="1">
        <v>18</v>
      </c>
    </row>
    <row r="39" spans="1:23" x14ac:dyDescent="0.2">
      <c r="A39" s="6" t="s">
        <v>260</v>
      </c>
      <c r="B39" s="1">
        <v>1</v>
      </c>
      <c r="E39" s="6" t="s">
        <v>287</v>
      </c>
      <c r="F39" s="1">
        <v>1</v>
      </c>
      <c r="H39" s="1" t="s">
        <v>541</v>
      </c>
      <c r="I39" s="6" t="s">
        <v>260</v>
      </c>
      <c r="J39" s="1">
        <v>1</v>
      </c>
      <c r="M39" s="6" t="s">
        <v>287</v>
      </c>
      <c r="N39" s="1">
        <v>3</v>
      </c>
      <c r="R39" s="6" t="s">
        <v>287</v>
      </c>
      <c r="S39" s="1">
        <v>3</v>
      </c>
      <c r="V39" s="6" t="s">
        <v>337</v>
      </c>
      <c r="W39" s="1">
        <v>17</v>
      </c>
    </row>
    <row r="40" spans="1:23" x14ac:dyDescent="0.2">
      <c r="A40" s="6" t="s">
        <v>316</v>
      </c>
      <c r="B40" s="1">
        <v>1</v>
      </c>
      <c r="E40" s="6" t="s">
        <v>54</v>
      </c>
      <c r="F40" s="1">
        <v>14</v>
      </c>
      <c r="H40" s="1" t="s">
        <v>541</v>
      </c>
      <c r="I40" s="6" t="s">
        <v>316</v>
      </c>
      <c r="J40" s="1">
        <v>1</v>
      </c>
      <c r="M40" s="6" t="s">
        <v>54</v>
      </c>
      <c r="N40" s="1">
        <v>87</v>
      </c>
      <c r="R40" s="6" t="s">
        <v>54</v>
      </c>
      <c r="S40" s="1">
        <v>87</v>
      </c>
      <c r="V40" s="6" t="s">
        <v>395</v>
      </c>
      <c r="W40" s="1">
        <v>14</v>
      </c>
    </row>
    <row r="41" spans="1:23" x14ac:dyDescent="0.2">
      <c r="A41" s="6" t="s">
        <v>49</v>
      </c>
      <c r="B41" s="1">
        <v>99</v>
      </c>
      <c r="E41" s="6" t="s">
        <v>258</v>
      </c>
      <c r="F41" s="1">
        <v>2</v>
      </c>
      <c r="H41" s="1" t="s">
        <v>541</v>
      </c>
      <c r="I41" s="6" t="s">
        <v>49</v>
      </c>
      <c r="J41" s="1">
        <v>99</v>
      </c>
      <c r="M41" s="6" t="s">
        <v>258</v>
      </c>
      <c r="N41" s="1">
        <v>2</v>
      </c>
      <c r="R41" s="13" t="s">
        <v>260</v>
      </c>
      <c r="S41" s="12">
        <v>2</v>
      </c>
      <c r="V41" s="6" t="s">
        <v>374</v>
      </c>
      <c r="W41" s="1">
        <v>13</v>
      </c>
    </row>
    <row r="42" spans="1:23" x14ac:dyDescent="0.2">
      <c r="A42" s="6" t="s">
        <v>398</v>
      </c>
      <c r="B42" s="1">
        <v>1</v>
      </c>
      <c r="E42" s="6" t="s">
        <v>260</v>
      </c>
      <c r="F42" s="1">
        <v>4</v>
      </c>
      <c r="H42" s="1" t="s">
        <v>541</v>
      </c>
      <c r="I42" s="6" t="s">
        <v>398</v>
      </c>
      <c r="J42" s="1">
        <v>1</v>
      </c>
      <c r="M42" s="6" t="s">
        <v>260</v>
      </c>
      <c r="N42" s="1">
        <v>5</v>
      </c>
      <c r="R42" s="13" t="s">
        <v>260</v>
      </c>
      <c r="S42" s="12">
        <v>5</v>
      </c>
      <c r="V42" s="6" t="s">
        <v>472</v>
      </c>
      <c r="W42" s="1">
        <v>13</v>
      </c>
    </row>
    <row r="43" spans="1:23" x14ac:dyDescent="0.2">
      <c r="A43" s="6" t="s">
        <v>395</v>
      </c>
      <c r="B43" s="1">
        <v>7</v>
      </c>
      <c r="E43" s="6" t="s">
        <v>316</v>
      </c>
      <c r="F43" s="1">
        <v>0</v>
      </c>
      <c r="H43" s="1" t="s">
        <v>541</v>
      </c>
      <c r="I43" s="6" t="s">
        <v>395</v>
      </c>
      <c r="J43" s="1">
        <v>7</v>
      </c>
      <c r="M43" s="6" t="s">
        <v>316</v>
      </c>
      <c r="N43" s="1">
        <v>1</v>
      </c>
      <c r="R43" s="6" t="s">
        <v>316</v>
      </c>
      <c r="S43" s="1">
        <v>1</v>
      </c>
      <c r="V43" s="6" t="s">
        <v>459</v>
      </c>
      <c r="W43" s="1">
        <v>13</v>
      </c>
    </row>
    <row r="44" spans="1:23" x14ac:dyDescent="0.2">
      <c r="A44" s="6" t="s">
        <v>194</v>
      </c>
      <c r="B44" s="1">
        <v>2</v>
      </c>
      <c r="E44" s="6" t="s">
        <v>209</v>
      </c>
      <c r="F44" s="1">
        <v>1</v>
      </c>
      <c r="H44" s="1" t="s">
        <v>541</v>
      </c>
      <c r="I44" s="6" t="s">
        <v>194</v>
      </c>
      <c r="J44" s="1">
        <v>2</v>
      </c>
      <c r="M44" s="6" t="s">
        <v>209</v>
      </c>
      <c r="N44" s="1">
        <v>1</v>
      </c>
      <c r="R44" s="6" t="s">
        <v>209</v>
      </c>
      <c r="S44" s="1">
        <v>1</v>
      </c>
      <c r="V44" s="6" t="s">
        <v>281</v>
      </c>
      <c r="W44" s="1">
        <v>13</v>
      </c>
    </row>
    <row r="45" spans="1:23" x14ac:dyDescent="0.2">
      <c r="A45" s="6" t="s">
        <v>135</v>
      </c>
      <c r="B45" s="1">
        <v>18</v>
      </c>
      <c r="E45" s="6" t="s">
        <v>49</v>
      </c>
      <c r="F45" s="1">
        <v>29</v>
      </c>
      <c r="H45" s="1" t="s">
        <v>541</v>
      </c>
      <c r="I45" s="6" t="s">
        <v>135</v>
      </c>
      <c r="J45" s="1">
        <v>18</v>
      </c>
      <c r="M45" s="6" t="s">
        <v>49</v>
      </c>
      <c r="N45" s="1">
        <v>128</v>
      </c>
      <c r="R45" s="6" t="s">
        <v>49</v>
      </c>
      <c r="S45" s="1">
        <v>128</v>
      </c>
      <c r="V45" s="6" t="s">
        <v>165</v>
      </c>
      <c r="W45" s="1">
        <v>13</v>
      </c>
    </row>
    <row r="46" spans="1:23" x14ac:dyDescent="0.2">
      <c r="A46" s="6" t="s">
        <v>18</v>
      </c>
      <c r="B46" s="1">
        <v>22</v>
      </c>
      <c r="E46" s="6" t="s">
        <v>398</v>
      </c>
      <c r="F46" s="1">
        <v>2</v>
      </c>
      <c r="H46" s="1" t="s">
        <v>541</v>
      </c>
      <c r="I46" s="6" t="s">
        <v>18</v>
      </c>
      <c r="J46" s="1">
        <v>22</v>
      </c>
      <c r="M46" s="6" t="s">
        <v>398</v>
      </c>
      <c r="N46" s="1">
        <v>3</v>
      </c>
      <c r="R46" s="6" t="s">
        <v>398</v>
      </c>
      <c r="S46" s="1">
        <v>3</v>
      </c>
      <c r="V46" s="6" t="s">
        <v>216</v>
      </c>
      <c r="W46" s="1">
        <v>12</v>
      </c>
    </row>
    <row r="47" spans="1:23" x14ac:dyDescent="0.2">
      <c r="A47" s="6" t="s">
        <v>216</v>
      </c>
      <c r="B47" s="1">
        <v>3</v>
      </c>
      <c r="E47" s="6" t="s">
        <v>395</v>
      </c>
      <c r="F47" s="1">
        <v>7</v>
      </c>
      <c r="H47" s="1" t="s">
        <v>541</v>
      </c>
      <c r="I47" s="6" t="s">
        <v>216</v>
      </c>
      <c r="J47" s="1">
        <v>3</v>
      </c>
      <c r="M47" s="6" t="s">
        <v>395</v>
      </c>
      <c r="N47" s="1">
        <v>14</v>
      </c>
      <c r="R47" s="6" t="s">
        <v>395</v>
      </c>
      <c r="S47" s="1">
        <v>14</v>
      </c>
      <c r="V47" s="6" t="s">
        <v>389</v>
      </c>
      <c r="W47" s="1">
        <v>11</v>
      </c>
    </row>
    <row r="48" spans="1:23" x14ac:dyDescent="0.2">
      <c r="A48" s="6" t="s">
        <v>59</v>
      </c>
      <c r="B48" s="1">
        <v>49</v>
      </c>
      <c r="E48" s="6" t="s">
        <v>194</v>
      </c>
      <c r="F48" s="1">
        <v>4</v>
      </c>
      <c r="H48" s="1" t="s">
        <v>541</v>
      </c>
      <c r="I48" s="6" t="s">
        <v>59</v>
      </c>
      <c r="J48" s="1">
        <v>49</v>
      </c>
      <c r="M48" s="6" t="s">
        <v>194</v>
      </c>
      <c r="N48" s="1">
        <v>6</v>
      </c>
      <c r="R48" s="6" t="s">
        <v>194</v>
      </c>
      <c r="S48" s="1">
        <v>6</v>
      </c>
      <c r="V48" s="6" t="s">
        <v>227</v>
      </c>
      <c r="W48" s="1">
        <v>11</v>
      </c>
    </row>
    <row r="49" spans="1:23" x14ac:dyDescent="0.2">
      <c r="A49" s="6" t="s">
        <v>278</v>
      </c>
      <c r="B49" s="1">
        <v>1</v>
      </c>
      <c r="E49" s="6" t="s">
        <v>135</v>
      </c>
      <c r="F49" s="1">
        <v>13</v>
      </c>
      <c r="H49" s="1" t="s">
        <v>541</v>
      </c>
      <c r="I49" s="6" t="s">
        <v>278</v>
      </c>
      <c r="J49" s="1">
        <v>1</v>
      </c>
      <c r="M49" s="6" t="s">
        <v>135</v>
      </c>
      <c r="N49" s="1">
        <v>31</v>
      </c>
      <c r="R49" s="6" t="s">
        <v>135</v>
      </c>
      <c r="S49" s="1">
        <v>31</v>
      </c>
      <c r="V49" s="6" t="s">
        <v>340</v>
      </c>
      <c r="W49" s="1">
        <v>10</v>
      </c>
    </row>
    <row r="50" spans="1:23" x14ac:dyDescent="0.2">
      <c r="A50" s="6" t="s">
        <v>378</v>
      </c>
      <c r="B50" s="1">
        <v>12</v>
      </c>
      <c r="E50" s="6" t="s">
        <v>293</v>
      </c>
      <c r="F50" s="1">
        <v>2</v>
      </c>
      <c r="H50" s="1" t="s">
        <v>541</v>
      </c>
      <c r="I50" s="6" t="s">
        <v>378</v>
      </c>
      <c r="J50" s="1">
        <v>12</v>
      </c>
      <c r="M50" s="6" t="s">
        <v>293</v>
      </c>
      <c r="N50" s="1">
        <v>2</v>
      </c>
      <c r="R50" s="6" t="s">
        <v>293</v>
      </c>
      <c r="S50" s="1">
        <v>2</v>
      </c>
      <c r="V50" s="6" t="s">
        <v>423</v>
      </c>
      <c r="W50" s="1">
        <v>10</v>
      </c>
    </row>
    <row r="51" spans="1:23" x14ac:dyDescent="0.2">
      <c r="A51" s="6" t="s">
        <v>165</v>
      </c>
      <c r="B51" s="1">
        <v>5</v>
      </c>
      <c r="E51" s="6" t="s">
        <v>18</v>
      </c>
      <c r="F51" s="1">
        <v>35</v>
      </c>
      <c r="H51" s="1" t="s">
        <v>541</v>
      </c>
      <c r="I51" s="6" t="s">
        <v>165</v>
      </c>
      <c r="J51" s="1">
        <v>5</v>
      </c>
      <c r="M51" s="6" t="s">
        <v>18</v>
      </c>
      <c r="N51" s="1">
        <v>57</v>
      </c>
      <c r="R51" s="6" t="s">
        <v>18</v>
      </c>
      <c r="S51" s="1">
        <v>57</v>
      </c>
      <c r="V51" s="6" t="s">
        <v>371</v>
      </c>
      <c r="W51" s="1">
        <v>9</v>
      </c>
    </row>
    <row r="52" spans="1:23" x14ac:dyDescent="0.2">
      <c r="A52" s="6" t="s">
        <v>93</v>
      </c>
      <c r="B52" s="1">
        <v>1</v>
      </c>
      <c r="E52" s="6" t="s">
        <v>216</v>
      </c>
      <c r="F52" s="1">
        <v>9</v>
      </c>
      <c r="H52" s="1" t="s">
        <v>541</v>
      </c>
      <c r="I52" s="6" t="s">
        <v>93</v>
      </c>
      <c r="J52" s="1">
        <v>1</v>
      </c>
      <c r="M52" s="6" t="s">
        <v>216</v>
      </c>
      <c r="N52" s="1">
        <v>12</v>
      </c>
      <c r="R52" s="6" t="s">
        <v>216</v>
      </c>
      <c r="S52" s="1">
        <v>12</v>
      </c>
      <c r="V52" s="6" t="s">
        <v>251</v>
      </c>
      <c r="W52" s="1">
        <v>8</v>
      </c>
    </row>
    <row r="53" spans="1:23" x14ac:dyDescent="0.2">
      <c r="A53" s="6" t="s">
        <v>37</v>
      </c>
      <c r="B53" s="1">
        <v>14</v>
      </c>
      <c r="E53" s="6" t="s">
        <v>59</v>
      </c>
      <c r="F53" s="1">
        <v>37</v>
      </c>
      <c r="H53" s="1" t="s">
        <v>541</v>
      </c>
      <c r="I53" s="6" t="s">
        <v>37</v>
      </c>
      <c r="J53" s="1">
        <v>14</v>
      </c>
      <c r="M53" s="6" t="s">
        <v>59</v>
      </c>
      <c r="N53" s="1">
        <v>86</v>
      </c>
      <c r="R53" s="6" t="s">
        <v>59</v>
      </c>
      <c r="S53" s="1">
        <v>86</v>
      </c>
      <c r="V53" s="6" t="s">
        <v>260</v>
      </c>
      <c r="W53" s="1">
        <v>7</v>
      </c>
    </row>
    <row r="54" spans="1:23" x14ac:dyDescent="0.2">
      <c r="A54" s="6" t="s">
        <v>31</v>
      </c>
      <c r="B54" s="1">
        <v>13</v>
      </c>
      <c r="E54" s="6" t="s">
        <v>278</v>
      </c>
      <c r="F54" s="1">
        <v>3</v>
      </c>
      <c r="H54" s="1" t="s">
        <v>541</v>
      </c>
      <c r="I54" s="6" t="s">
        <v>31</v>
      </c>
      <c r="J54" s="1">
        <v>13</v>
      </c>
      <c r="M54" s="6" t="s">
        <v>278</v>
      </c>
      <c r="N54" s="1">
        <v>4</v>
      </c>
      <c r="R54" s="6" t="s">
        <v>278</v>
      </c>
      <c r="S54" s="1">
        <v>4</v>
      </c>
      <c r="V54" s="6" t="s">
        <v>93</v>
      </c>
      <c r="W54" s="1">
        <v>7</v>
      </c>
    </row>
    <row r="55" spans="1:23" x14ac:dyDescent="0.2">
      <c r="A55" s="6" t="s">
        <v>96</v>
      </c>
      <c r="B55" s="1">
        <v>27</v>
      </c>
      <c r="E55" s="6" t="s">
        <v>378</v>
      </c>
      <c r="F55" s="1">
        <v>8</v>
      </c>
      <c r="H55" s="1" t="s">
        <v>541</v>
      </c>
      <c r="I55" s="6" t="s">
        <v>96</v>
      </c>
      <c r="J55" s="1">
        <v>27</v>
      </c>
      <c r="M55" s="6" t="s">
        <v>378</v>
      </c>
      <c r="N55" s="1">
        <v>20</v>
      </c>
      <c r="R55" s="6" t="s">
        <v>378</v>
      </c>
      <c r="S55" s="1">
        <v>20</v>
      </c>
      <c r="V55" s="6" t="s">
        <v>407</v>
      </c>
      <c r="W55" s="1">
        <v>7</v>
      </c>
    </row>
    <row r="56" spans="1:23" x14ac:dyDescent="0.2">
      <c r="A56" s="6" t="s">
        <v>197</v>
      </c>
      <c r="B56" s="1">
        <v>36</v>
      </c>
      <c r="E56" s="6" t="s">
        <v>165</v>
      </c>
      <c r="F56" s="1">
        <v>8</v>
      </c>
      <c r="H56" s="1" t="s">
        <v>541</v>
      </c>
      <c r="I56" s="6" t="s">
        <v>197</v>
      </c>
      <c r="J56" s="1">
        <v>36</v>
      </c>
      <c r="M56" s="6" t="s">
        <v>165</v>
      </c>
      <c r="N56" s="1">
        <v>13</v>
      </c>
      <c r="R56" s="6" t="s">
        <v>165</v>
      </c>
      <c r="S56" s="1">
        <v>13</v>
      </c>
      <c r="V56" s="6" t="s">
        <v>194</v>
      </c>
      <c r="W56" s="1">
        <v>6</v>
      </c>
    </row>
    <row r="57" spans="1:23" x14ac:dyDescent="0.2">
      <c r="A57" s="6" t="s">
        <v>340</v>
      </c>
      <c r="B57" s="1">
        <v>2</v>
      </c>
      <c r="E57" s="6" t="s">
        <v>93</v>
      </c>
      <c r="F57" s="1">
        <v>6</v>
      </c>
      <c r="H57" s="1" t="s">
        <v>541</v>
      </c>
      <c r="I57" s="6" t="s">
        <v>340</v>
      </c>
      <c r="J57" s="1">
        <v>2</v>
      </c>
      <c r="M57" s="6" t="s">
        <v>93</v>
      </c>
      <c r="N57" s="1">
        <v>7</v>
      </c>
      <c r="R57" s="6" t="s">
        <v>93</v>
      </c>
      <c r="S57" s="1">
        <v>7</v>
      </c>
      <c r="V57" s="6" t="s">
        <v>90</v>
      </c>
      <c r="W57" s="1">
        <v>5</v>
      </c>
    </row>
    <row r="58" spans="1:23" x14ac:dyDescent="0.2">
      <c r="A58" s="6" t="s">
        <v>30</v>
      </c>
      <c r="B58" s="1">
        <v>15</v>
      </c>
      <c r="E58" s="6" t="s">
        <v>37</v>
      </c>
      <c r="F58" s="1">
        <v>16</v>
      </c>
      <c r="H58" s="1" t="s">
        <v>541</v>
      </c>
      <c r="I58" s="6" t="s">
        <v>30</v>
      </c>
      <c r="J58" s="1">
        <v>15</v>
      </c>
      <c r="M58" s="6" t="s">
        <v>37</v>
      </c>
      <c r="N58" s="1">
        <v>30</v>
      </c>
      <c r="R58" s="6" t="s">
        <v>37</v>
      </c>
      <c r="S58" s="1">
        <v>30</v>
      </c>
      <c r="V58" s="6" t="s">
        <v>476</v>
      </c>
      <c r="W58" s="1">
        <v>5</v>
      </c>
    </row>
    <row r="59" spans="1:23" x14ac:dyDescent="0.2">
      <c r="A59" s="6" t="s">
        <v>374</v>
      </c>
      <c r="B59" s="1">
        <v>9</v>
      </c>
      <c r="E59" s="6" t="s">
        <v>31</v>
      </c>
      <c r="F59" s="1">
        <v>6</v>
      </c>
      <c r="H59" s="1" t="s">
        <v>541</v>
      </c>
      <c r="I59" s="6" t="s">
        <v>374</v>
      </c>
      <c r="J59" s="1">
        <v>9</v>
      </c>
      <c r="M59" s="6" t="s">
        <v>31</v>
      </c>
      <c r="N59" s="1">
        <v>19</v>
      </c>
      <c r="R59" s="6" t="s">
        <v>31</v>
      </c>
      <c r="S59" s="1">
        <v>19</v>
      </c>
      <c r="V59" s="6" t="s">
        <v>499</v>
      </c>
      <c r="W59" s="1">
        <v>5</v>
      </c>
    </row>
    <row r="60" spans="1:23" x14ac:dyDescent="0.2">
      <c r="A60" s="6" t="s">
        <v>371</v>
      </c>
      <c r="B60" s="1">
        <v>3</v>
      </c>
      <c r="E60" s="6" t="s">
        <v>96</v>
      </c>
      <c r="F60" s="1">
        <v>17</v>
      </c>
      <c r="H60" s="1" t="s">
        <v>541</v>
      </c>
      <c r="I60" s="6" t="s">
        <v>371</v>
      </c>
      <c r="J60" s="1">
        <v>3</v>
      </c>
      <c r="M60" s="6" t="s">
        <v>96</v>
      </c>
      <c r="N60" s="1">
        <v>44</v>
      </c>
      <c r="R60" s="6" t="s">
        <v>96</v>
      </c>
      <c r="S60" s="1">
        <v>44</v>
      </c>
      <c r="V60" s="6" t="s">
        <v>377</v>
      </c>
      <c r="W60" s="1">
        <v>5</v>
      </c>
    </row>
    <row r="61" spans="1:23" x14ac:dyDescent="0.2">
      <c r="A61" s="6" t="s">
        <v>128</v>
      </c>
      <c r="B61" s="1">
        <v>11</v>
      </c>
      <c r="E61" s="6" t="s">
        <v>197</v>
      </c>
      <c r="F61" s="1">
        <v>7</v>
      </c>
      <c r="H61" s="1" t="s">
        <v>541</v>
      </c>
      <c r="I61" s="6" t="s">
        <v>128</v>
      </c>
      <c r="J61" s="1">
        <v>11</v>
      </c>
      <c r="M61" s="6" t="s">
        <v>197</v>
      </c>
      <c r="N61" s="1">
        <v>43</v>
      </c>
      <c r="R61" s="6" t="s">
        <v>197</v>
      </c>
      <c r="S61" s="1">
        <v>43</v>
      </c>
      <c r="V61" s="6" t="s">
        <v>422</v>
      </c>
      <c r="W61" s="1">
        <v>5</v>
      </c>
    </row>
    <row r="62" spans="1:23" x14ac:dyDescent="0.2">
      <c r="A62" s="6" t="s">
        <v>407</v>
      </c>
      <c r="B62" s="1">
        <v>3</v>
      </c>
      <c r="E62" s="6" t="s">
        <v>340</v>
      </c>
      <c r="F62" s="1">
        <v>8</v>
      </c>
      <c r="H62" s="1" t="s">
        <v>541</v>
      </c>
      <c r="I62" s="6" t="s">
        <v>407</v>
      </c>
      <c r="J62" s="1">
        <v>3</v>
      </c>
      <c r="M62" s="6" t="s">
        <v>340</v>
      </c>
      <c r="N62" s="1">
        <v>10</v>
      </c>
      <c r="R62" s="6" t="s">
        <v>340</v>
      </c>
      <c r="S62" s="1">
        <v>10</v>
      </c>
      <c r="V62" s="6" t="s">
        <v>156</v>
      </c>
      <c r="W62" s="1">
        <v>4</v>
      </c>
    </row>
    <row r="63" spans="1:23" x14ac:dyDescent="0.2">
      <c r="A63" s="6" t="s">
        <v>494</v>
      </c>
      <c r="B63" s="1">
        <v>0</v>
      </c>
      <c r="E63" s="6" t="s">
        <v>30</v>
      </c>
      <c r="F63" s="1">
        <v>15</v>
      </c>
      <c r="H63" s="1" t="s">
        <v>541</v>
      </c>
      <c r="I63" s="6" t="s">
        <v>494</v>
      </c>
      <c r="J63" s="1">
        <v>0</v>
      </c>
      <c r="M63" s="6" t="s">
        <v>30</v>
      </c>
      <c r="N63" s="1">
        <v>30</v>
      </c>
      <c r="R63" s="6" t="s">
        <v>30</v>
      </c>
      <c r="S63" s="1">
        <v>30</v>
      </c>
      <c r="V63" s="6" t="s">
        <v>278</v>
      </c>
      <c r="W63" s="1">
        <v>4</v>
      </c>
    </row>
    <row r="64" spans="1:23" x14ac:dyDescent="0.2">
      <c r="A64" s="6" t="s">
        <v>462</v>
      </c>
      <c r="B64" s="1">
        <v>0</v>
      </c>
      <c r="E64" s="6" t="s">
        <v>374</v>
      </c>
      <c r="F64" s="1">
        <v>4</v>
      </c>
      <c r="H64" s="1" t="s">
        <v>541</v>
      </c>
      <c r="I64" s="6" t="s">
        <v>462</v>
      </c>
      <c r="J64" s="1">
        <v>0</v>
      </c>
      <c r="M64" s="6" t="s">
        <v>374</v>
      </c>
      <c r="N64" s="1">
        <v>13</v>
      </c>
      <c r="R64" s="6" t="s">
        <v>374</v>
      </c>
      <c r="S64" s="1">
        <v>13</v>
      </c>
      <c r="V64" s="6" t="s">
        <v>524</v>
      </c>
      <c r="W64" s="1">
        <v>4</v>
      </c>
    </row>
    <row r="65" spans="1:23" x14ac:dyDescent="0.2">
      <c r="A65" s="6" t="s">
        <v>499</v>
      </c>
      <c r="B65" s="1">
        <v>3</v>
      </c>
      <c r="E65" s="6" t="s">
        <v>371</v>
      </c>
      <c r="F65" s="1">
        <v>6</v>
      </c>
      <c r="H65" s="1" t="s">
        <v>541</v>
      </c>
      <c r="I65" s="6" t="s">
        <v>499</v>
      </c>
      <c r="J65" s="1">
        <v>3</v>
      </c>
      <c r="M65" s="6" t="s">
        <v>371</v>
      </c>
      <c r="N65" s="1">
        <v>9</v>
      </c>
      <c r="R65" s="6" t="s">
        <v>371</v>
      </c>
      <c r="S65" s="1">
        <v>9</v>
      </c>
      <c r="V65" s="6" t="s">
        <v>287</v>
      </c>
      <c r="W65" s="1">
        <v>3</v>
      </c>
    </row>
    <row r="66" spans="1:23" x14ac:dyDescent="0.2">
      <c r="A66" s="6" t="s">
        <v>422</v>
      </c>
      <c r="B66" s="1">
        <v>3</v>
      </c>
      <c r="E66" s="6" t="s">
        <v>128</v>
      </c>
      <c r="F66" s="1">
        <v>14</v>
      </c>
      <c r="H66" s="1" t="s">
        <v>541</v>
      </c>
      <c r="I66" s="6" t="s">
        <v>422</v>
      </c>
      <c r="J66" s="1">
        <v>3</v>
      </c>
      <c r="M66" s="6" t="s">
        <v>128</v>
      </c>
      <c r="N66" s="1">
        <v>25</v>
      </c>
      <c r="R66" s="6" t="s">
        <v>128</v>
      </c>
      <c r="S66" s="1">
        <v>25</v>
      </c>
      <c r="V66" s="6" t="s">
        <v>470</v>
      </c>
      <c r="W66" s="1">
        <v>3</v>
      </c>
    </row>
    <row r="67" spans="1:23" x14ac:dyDescent="0.2">
      <c r="A67" s="6" t="s">
        <v>389</v>
      </c>
      <c r="B67" s="1">
        <v>7</v>
      </c>
      <c r="E67" s="6" t="s">
        <v>407</v>
      </c>
      <c r="F67" s="1">
        <v>4</v>
      </c>
      <c r="H67" s="1" t="s">
        <v>541</v>
      </c>
      <c r="I67" s="6" t="s">
        <v>389</v>
      </c>
      <c r="J67" s="1">
        <v>7</v>
      </c>
      <c r="M67" s="6" t="s">
        <v>407</v>
      </c>
      <c r="N67" s="1">
        <v>7</v>
      </c>
      <c r="R67" s="6" t="s">
        <v>407</v>
      </c>
      <c r="S67" s="1">
        <v>7</v>
      </c>
      <c r="V67" s="6" t="s">
        <v>55</v>
      </c>
      <c r="W67" s="1">
        <v>3</v>
      </c>
    </row>
    <row r="68" spans="1:23" x14ac:dyDescent="0.2">
      <c r="A68" s="6" t="s">
        <v>151</v>
      </c>
      <c r="B68" s="1">
        <v>43</v>
      </c>
      <c r="E68" s="6" t="s">
        <v>494</v>
      </c>
      <c r="F68" s="1">
        <v>2</v>
      </c>
      <c r="H68" s="1" t="s">
        <v>541</v>
      </c>
      <c r="I68" s="6" t="s">
        <v>151</v>
      </c>
      <c r="J68" s="1">
        <v>43</v>
      </c>
      <c r="M68" s="6" t="s">
        <v>494</v>
      </c>
      <c r="N68" s="1">
        <v>2</v>
      </c>
      <c r="R68" s="6" t="s">
        <v>494</v>
      </c>
      <c r="S68" s="1">
        <v>2</v>
      </c>
      <c r="V68" s="6" t="s">
        <v>398</v>
      </c>
      <c r="W68" s="1">
        <v>3</v>
      </c>
    </row>
    <row r="69" spans="1:23" x14ac:dyDescent="0.2">
      <c r="A69" s="6" t="s">
        <v>68</v>
      </c>
      <c r="B69" s="1">
        <v>50</v>
      </c>
      <c r="E69" s="6" t="s">
        <v>462</v>
      </c>
      <c r="F69" s="1">
        <v>2</v>
      </c>
      <c r="H69" s="1" t="s">
        <v>541</v>
      </c>
      <c r="I69" s="6" t="s">
        <v>68</v>
      </c>
      <c r="J69" s="1">
        <v>50</v>
      </c>
      <c r="M69" s="6" t="s">
        <v>462</v>
      </c>
      <c r="N69" s="1">
        <v>2</v>
      </c>
      <c r="R69" s="6" t="s">
        <v>462</v>
      </c>
      <c r="S69" s="1">
        <v>2</v>
      </c>
      <c r="V69" s="6" t="s">
        <v>293</v>
      </c>
      <c r="W69" s="1">
        <v>2</v>
      </c>
    </row>
    <row r="70" spans="1:23" x14ac:dyDescent="0.2">
      <c r="A70" s="6" t="s">
        <v>62</v>
      </c>
      <c r="B70" s="1">
        <v>53</v>
      </c>
      <c r="E70" s="6" t="s">
        <v>499</v>
      </c>
      <c r="F70" s="1">
        <v>2</v>
      </c>
      <c r="H70" s="1" t="s">
        <v>541</v>
      </c>
      <c r="I70" s="6" t="s">
        <v>62</v>
      </c>
      <c r="J70" s="1">
        <v>53</v>
      </c>
      <c r="M70" s="6" t="s">
        <v>499</v>
      </c>
      <c r="N70" s="1">
        <v>5</v>
      </c>
      <c r="R70" s="6" t="s">
        <v>499</v>
      </c>
      <c r="S70" s="1">
        <v>5</v>
      </c>
      <c r="V70" s="6" t="s">
        <v>494</v>
      </c>
      <c r="W70" s="1">
        <v>2</v>
      </c>
    </row>
    <row r="71" spans="1:23" x14ac:dyDescent="0.2">
      <c r="A71" s="6" t="s">
        <v>58</v>
      </c>
      <c r="B71" s="1">
        <v>22</v>
      </c>
      <c r="E71" s="6" t="s">
        <v>422</v>
      </c>
      <c r="F71" s="1">
        <v>2</v>
      </c>
      <c r="H71" s="1" t="s">
        <v>541</v>
      </c>
      <c r="I71" s="6" t="s">
        <v>58</v>
      </c>
      <c r="J71" s="1">
        <v>22</v>
      </c>
      <c r="M71" s="6" t="s">
        <v>422</v>
      </c>
      <c r="N71" s="1">
        <v>5</v>
      </c>
      <c r="R71" s="6" t="s">
        <v>422</v>
      </c>
      <c r="S71" s="1">
        <v>5</v>
      </c>
      <c r="V71" s="6" t="s">
        <v>462</v>
      </c>
      <c r="W71" s="1">
        <v>2</v>
      </c>
    </row>
    <row r="72" spans="1:23" x14ac:dyDescent="0.2">
      <c r="A72" s="6" t="s">
        <v>473</v>
      </c>
      <c r="B72" s="1">
        <v>0</v>
      </c>
      <c r="E72" s="6" t="s">
        <v>389</v>
      </c>
      <c r="F72" s="1">
        <v>4</v>
      </c>
      <c r="H72" s="1" t="s">
        <v>541</v>
      </c>
      <c r="I72" s="6" t="s">
        <v>473</v>
      </c>
      <c r="J72" s="1">
        <v>0</v>
      </c>
      <c r="M72" s="6" t="s">
        <v>389</v>
      </c>
      <c r="N72" s="1">
        <v>11</v>
      </c>
      <c r="R72" s="6" t="s">
        <v>389</v>
      </c>
      <c r="S72" s="1">
        <v>11</v>
      </c>
      <c r="V72" s="6" t="s">
        <v>333</v>
      </c>
      <c r="W72" s="1">
        <v>2</v>
      </c>
    </row>
    <row r="73" spans="1:23" x14ac:dyDescent="0.2">
      <c r="A73" s="6" t="s">
        <v>457</v>
      </c>
      <c r="B73" s="1">
        <v>0</v>
      </c>
      <c r="E73" s="6" t="s">
        <v>151</v>
      </c>
      <c r="F73" s="1">
        <v>10</v>
      </c>
      <c r="H73" s="1" t="s">
        <v>541</v>
      </c>
      <c r="I73" s="6" t="s">
        <v>457</v>
      </c>
      <c r="J73" s="1">
        <v>0</v>
      </c>
      <c r="M73" s="6" t="s">
        <v>151</v>
      </c>
      <c r="N73" s="1">
        <v>53</v>
      </c>
      <c r="R73" s="6" t="s">
        <v>151</v>
      </c>
      <c r="S73" s="1">
        <v>53</v>
      </c>
      <c r="V73" s="6" t="s">
        <v>236</v>
      </c>
      <c r="W73" s="1">
        <v>2</v>
      </c>
    </row>
    <row r="74" spans="1:23" x14ac:dyDescent="0.2">
      <c r="A74" s="6" t="s">
        <v>251</v>
      </c>
      <c r="B74" s="1">
        <v>6</v>
      </c>
      <c r="E74" s="6" t="s">
        <v>68</v>
      </c>
      <c r="F74" s="1">
        <v>42</v>
      </c>
      <c r="H74" s="1" t="s">
        <v>541</v>
      </c>
      <c r="I74" s="6" t="s">
        <v>251</v>
      </c>
      <c r="J74" s="1">
        <v>6</v>
      </c>
      <c r="M74" s="6" t="s">
        <v>68</v>
      </c>
      <c r="N74" s="1">
        <v>92</v>
      </c>
      <c r="R74" s="6" t="s">
        <v>68</v>
      </c>
      <c r="S74" s="1">
        <v>92</v>
      </c>
      <c r="V74" s="6" t="s">
        <v>217</v>
      </c>
      <c r="W74" s="1">
        <v>1</v>
      </c>
    </row>
    <row r="75" spans="1:23" x14ac:dyDescent="0.2">
      <c r="A75" s="6" t="s">
        <v>134</v>
      </c>
      <c r="B75" s="1">
        <v>10</v>
      </c>
      <c r="E75" s="6" t="s">
        <v>62</v>
      </c>
      <c r="F75" s="1">
        <v>21</v>
      </c>
      <c r="H75" s="1" t="s">
        <v>541</v>
      </c>
      <c r="I75" s="6" t="s">
        <v>134</v>
      </c>
      <c r="J75" s="1">
        <v>10</v>
      </c>
      <c r="M75" s="6" t="s">
        <v>62</v>
      </c>
      <c r="N75" s="1">
        <v>74</v>
      </c>
      <c r="R75" s="6" t="s">
        <v>62</v>
      </c>
      <c r="S75" s="1">
        <v>74</v>
      </c>
      <c r="V75" s="6" t="s">
        <v>316</v>
      </c>
      <c r="W75" s="1">
        <v>1</v>
      </c>
    </row>
    <row r="76" spans="1:23" x14ac:dyDescent="0.2">
      <c r="A76" s="6" t="s">
        <v>476</v>
      </c>
      <c r="B76" s="1">
        <v>1</v>
      </c>
      <c r="E76" s="6" t="s">
        <v>58</v>
      </c>
      <c r="F76" s="1">
        <v>23</v>
      </c>
      <c r="H76" s="1" t="s">
        <v>541</v>
      </c>
      <c r="I76" s="6" t="s">
        <v>476</v>
      </c>
      <c r="J76" s="1">
        <v>1</v>
      </c>
      <c r="M76" s="6" t="s">
        <v>58</v>
      </c>
      <c r="N76" s="1">
        <v>45</v>
      </c>
      <c r="R76" s="6" t="s">
        <v>58</v>
      </c>
      <c r="S76" s="1">
        <v>45</v>
      </c>
      <c r="V76" s="6" t="s">
        <v>209</v>
      </c>
      <c r="W76" s="1">
        <v>1</v>
      </c>
    </row>
    <row r="77" spans="1:23" x14ac:dyDescent="0.2">
      <c r="A77" s="6" t="s">
        <v>333</v>
      </c>
      <c r="B77" s="1">
        <v>0</v>
      </c>
      <c r="E77" s="6" t="s">
        <v>473</v>
      </c>
      <c r="F77" s="1">
        <v>1</v>
      </c>
      <c r="H77" s="1" t="s">
        <v>541</v>
      </c>
      <c r="I77" s="6" t="s">
        <v>333</v>
      </c>
      <c r="J77" s="1">
        <v>0</v>
      </c>
      <c r="M77" s="6" t="s">
        <v>473</v>
      </c>
      <c r="N77" s="1">
        <v>1</v>
      </c>
      <c r="R77" s="6" t="s">
        <v>473</v>
      </c>
      <c r="S77" s="1">
        <v>1</v>
      </c>
      <c r="V77" s="6" t="s">
        <v>36</v>
      </c>
      <c r="W77" s="1">
        <v>1</v>
      </c>
    </row>
    <row r="78" spans="1:23" x14ac:dyDescent="0.2">
      <c r="A78" s="6" t="s">
        <v>16</v>
      </c>
      <c r="B78" s="1">
        <v>62</v>
      </c>
      <c r="E78" s="6" t="s">
        <v>457</v>
      </c>
      <c r="F78" s="1">
        <v>0</v>
      </c>
      <c r="H78" s="1" t="s">
        <v>541</v>
      </c>
      <c r="I78" s="6" t="s">
        <v>16</v>
      </c>
      <c r="J78" s="1">
        <v>62</v>
      </c>
      <c r="M78" s="6" t="s">
        <v>457</v>
      </c>
      <c r="N78" s="1">
        <v>0</v>
      </c>
      <c r="R78" s="6" t="s">
        <v>457</v>
      </c>
      <c r="S78" s="1">
        <v>0</v>
      </c>
      <c r="V78" s="6" t="s">
        <v>473</v>
      </c>
      <c r="W78" s="1">
        <v>1</v>
      </c>
    </row>
    <row r="79" spans="1:23" x14ac:dyDescent="0.2">
      <c r="A79" s="6" t="s">
        <v>22</v>
      </c>
      <c r="B79" s="1">
        <v>19</v>
      </c>
      <c r="E79" s="6" t="s">
        <v>251</v>
      </c>
      <c r="F79" s="1">
        <v>2</v>
      </c>
      <c r="H79" s="1" t="s">
        <v>541</v>
      </c>
      <c r="I79" s="6" t="s">
        <v>22</v>
      </c>
      <c r="J79" s="1">
        <v>19</v>
      </c>
      <c r="M79" s="6" t="s">
        <v>251</v>
      </c>
      <c r="N79" s="1">
        <v>8</v>
      </c>
      <c r="R79" s="6" t="s">
        <v>251</v>
      </c>
      <c r="S79" s="1">
        <v>8</v>
      </c>
      <c r="V79" s="6" t="s">
        <v>467</v>
      </c>
      <c r="W79" s="1">
        <v>1</v>
      </c>
    </row>
    <row r="80" spans="1:23" x14ac:dyDescent="0.2">
      <c r="A80" s="6" t="s">
        <v>156</v>
      </c>
      <c r="B80" s="1">
        <v>2</v>
      </c>
      <c r="E80" s="6" t="s">
        <v>134</v>
      </c>
      <c r="F80" s="1">
        <v>10</v>
      </c>
      <c r="H80" s="1" t="s">
        <v>541</v>
      </c>
      <c r="I80" s="6" t="s">
        <v>156</v>
      </c>
      <c r="J80" s="1">
        <v>2</v>
      </c>
      <c r="M80" s="6" t="s">
        <v>134</v>
      </c>
      <c r="N80" s="1">
        <v>20</v>
      </c>
      <c r="R80" s="6" t="s">
        <v>134</v>
      </c>
      <c r="S80" s="1">
        <v>20</v>
      </c>
      <c r="V80" s="6" t="s">
        <v>85</v>
      </c>
      <c r="W80" s="1">
        <v>0</v>
      </c>
    </row>
    <row r="81" spans="1:23" x14ac:dyDescent="0.2">
      <c r="A81" s="6" t="s">
        <v>26</v>
      </c>
      <c r="B81" s="1">
        <v>42</v>
      </c>
      <c r="E81" s="6" t="s">
        <v>476</v>
      </c>
      <c r="F81" s="1">
        <v>4</v>
      </c>
      <c r="H81" s="1" t="s">
        <v>541</v>
      </c>
      <c r="I81" s="6" t="s">
        <v>26</v>
      </c>
      <c r="J81" s="1">
        <v>42</v>
      </c>
      <c r="M81" s="6" t="s">
        <v>476</v>
      </c>
      <c r="N81" s="1">
        <v>5</v>
      </c>
      <c r="R81" s="6" t="s">
        <v>476</v>
      </c>
      <c r="S81" s="1">
        <v>5</v>
      </c>
      <c r="V81" s="6" t="s">
        <v>305</v>
      </c>
      <c r="W81" s="1">
        <v>0</v>
      </c>
    </row>
    <row r="82" spans="1:23" x14ac:dyDescent="0.2">
      <c r="A82" s="6" t="s">
        <v>230</v>
      </c>
      <c r="B82" s="1">
        <v>0</v>
      </c>
      <c r="E82" s="6" t="s">
        <v>333</v>
      </c>
      <c r="F82" s="1">
        <v>2</v>
      </c>
      <c r="H82" s="1" t="s">
        <v>541</v>
      </c>
      <c r="I82" s="6" t="s">
        <v>230</v>
      </c>
      <c r="J82" s="1">
        <v>0</v>
      </c>
      <c r="M82" s="6" t="s">
        <v>333</v>
      </c>
      <c r="N82" s="1">
        <v>2</v>
      </c>
      <c r="R82" s="6" t="s">
        <v>333</v>
      </c>
      <c r="S82" s="1">
        <v>2</v>
      </c>
      <c r="V82" s="6" t="s">
        <v>230</v>
      </c>
      <c r="W82" s="1">
        <v>0</v>
      </c>
    </row>
    <row r="83" spans="1:23" x14ac:dyDescent="0.2">
      <c r="A83" s="6" t="s">
        <v>533</v>
      </c>
      <c r="B83" s="1">
        <v>1525</v>
      </c>
      <c r="E83" s="6" t="s">
        <v>16</v>
      </c>
      <c r="F83" s="1">
        <v>18</v>
      </c>
      <c r="H83" s="1" t="s">
        <v>542</v>
      </c>
      <c r="I83" s="6" t="s">
        <v>281</v>
      </c>
      <c r="J83" s="1">
        <v>8</v>
      </c>
      <c r="M83" s="6" t="s">
        <v>16</v>
      </c>
      <c r="N83" s="1">
        <v>80</v>
      </c>
      <c r="R83" s="6" t="s">
        <v>16</v>
      </c>
      <c r="S83" s="1">
        <v>80</v>
      </c>
      <c r="V83" s="6" t="s">
        <v>457</v>
      </c>
      <c r="W83" s="1">
        <v>0</v>
      </c>
    </row>
    <row r="84" spans="1:23" x14ac:dyDescent="0.2">
      <c r="A84"/>
      <c r="B84"/>
      <c r="E84" s="6" t="s">
        <v>22</v>
      </c>
      <c r="F84" s="1">
        <v>18</v>
      </c>
      <c r="H84" s="1" t="s">
        <v>542</v>
      </c>
      <c r="I84" s="6" t="s">
        <v>467</v>
      </c>
      <c r="J84" s="1">
        <v>1</v>
      </c>
      <c r="M84" s="6" t="s">
        <v>22</v>
      </c>
      <c r="N84" s="1">
        <v>37</v>
      </c>
      <c r="R84" s="6" t="s">
        <v>22</v>
      </c>
      <c r="S84" s="1">
        <v>37</v>
      </c>
      <c r="V84" s="6" t="s">
        <v>424</v>
      </c>
      <c r="W84" s="1">
        <v>0</v>
      </c>
    </row>
    <row r="85" spans="1:23" x14ac:dyDescent="0.2">
      <c r="E85" s="6" t="s">
        <v>156</v>
      </c>
      <c r="F85" s="1">
        <v>2</v>
      </c>
      <c r="H85" s="1" t="s">
        <v>542</v>
      </c>
      <c r="I85" s="6" t="s">
        <v>33</v>
      </c>
      <c r="J85" s="1">
        <v>22</v>
      </c>
      <c r="M85" s="6" t="s">
        <v>156</v>
      </c>
      <c r="N85" s="1">
        <v>4</v>
      </c>
      <c r="R85" s="6" t="s">
        <v>156</v>
      </c>
      <c r="S85" s="1">
        <v>4</v>
      </c>
      <c r="V85" s="6" t="s">
        <v>533</v>
      </c>
      <c r="W85" s="1">
        <v>2379</v>
      </c>
    </row>
    <row r="86" spans="1:23" x14ac:dyDescent="0.2">
      <c r="E86" s="6" t="s">
        <v>26</v>
      </c>
      <c r="F86" s="1">
        <v>18</v>
      </c>
      <c r="H86" s="1" t="s">
        <v>542</v>
      </c>
      <c r="I86" s="6" t="s">
        <v>227</v>
      </c>
      <c r="J86" s="1">
        <v>4</v>
      </c>
      <c r="M86" s="6" t="s">
        <v>26</v>
      </c>
      <c r="N86" s="1">
        <v>60</v>
      </c>
      <c r="R86" s="6" t="s">
        <v>26</v>
      </c>
      <c r="S86" s="1">
        <v>60</v>
      </c>
    </row>
    <row r="87" spans="1:23" x14ac:dyDescent="0.2">
      <c r="E87" s="6" t="s">
        <v>230</v>
      </c>
      <c r="F87" s="1">
        <v>0</v>
      </c>
      <c r="H87" s="1" t="s">
        <v>542</v>
      </c>
      <c r="I87" s="6" t="s">
        <v>50</v>
      </c>
      <c r="J87" s="1">
        <v>12</v>
      </c>
      <c r="M87" s="6" t="s">
        <v>230</v>
      </c>
      <c r="N87" s="1">
        <v>0</v>
      </c>
      <c r="R87" s="6" t="s">
        <v>230</v>
      </c>
      <c r="S87" s="1">
        <v>0</v>
      </c>
    </row>
    <row r="88" spans="1:23" x14ac:dyDescent="0.2">
      <c r="E88" s="6" t="s">
        <v>533</v>
      </c>
      <c r="F88" s="1">
        <v>854</v>
      </c>
      <c r="H88" s="1" t="s">
        <v>542</v>
      </c>
      <c r="I88" s="6" t="s">
        <v>23</v>
      </c>
      <c r="J88" s="1">
        <v>27</v>
      </c>
      <c r="M88" s="6" t="s">
        <v>533</v>
      </c>
      <c r="N88" s="1">
        <v>2379</v>
      </c>
    </row>
    <row r="89" spans="1:23" x14ac:dyDescent="0.2">
      <c r="H89" s="1" t="s">
        <v>542</v>
      </c>
      <c r="I89" s="6" t="s">
        <v>36</v>
      </c>
      <c r="J89" s="1">
        <v>0</v>
      </c>
    </row>
    <row r="90" spans="1:23" x14ac:dyDescent="0.2">
      <c r="H90" s="1" t="s">
        <v>542</v>
      </c>
      <c r="I90" s="6" t="s">
        <v>524</v>
      </c>
      <c r="J90" s="1">
        <v>1</v>
      </c>
    </row>
    <row r="91" spans="1:23" x14ac:dyDescent="0.2">
      <c r="H91" s="1" t="s">
        <v>542</v>
      </c>
      <c r="I91" s="6" t="s">
        <v>27</v>
      </c>
      <c r="J91" s="1">
        <v>45</v>
      </c>
    </row>
    <row r="92" spans="1:23" x14ac:dyDescent="0.2">
      <c r="H92" s="1" t="s">
        <v>542</v>
      </c>
      <c r="I92" s="6" t="s">
        <v>182</v>
      </c>
      <c r="J92" s="1">
        <v>11</v>
      </c>
    </row>
    <row r="93" spans="1:23" x14ac:dyDescent="0.2">
      <c r="H93" s="1" t="s">
        <v>542</v>
      </c>
      <c r="I93" s="6" t="s">
        <v>273</v>
      </c>
      <c r="J93" s="1">
        <v>7</v>
      </c>
    </row>
    <row r="94" spans="1:23" x14ac:dyDescent="0.2">
      <c r="H94" s="1" t="s">
        <v>542</v>
      </c>
      <c r="I94" s="6" t="s">
        <v>305</v>
      </c>
      <c r="J94" s="1">
        <v>0</v>
      </c>
    </row>
    <row r="95" spans="1:23" x14ac:dyDescent="0.2">
      <c r="H95" s="1" t="s">
        <v>542</v>
      </c>
      <c r="I95" s="6" t="s">
        <v>35</v>
      </c>
      <c r="J95" s="1">
        <v>15</v>
      </c>
    </row>
    <row r="96" spans="1:23" x14ac:dyDescent="0.2">
      <c r="H96" s="1" t="s">
        <v>542</v>
      </c>
      <c r="I96" s="6" t="s">
        <v>424</v>
      </c>
      <c r="J96" s="1">
        <v>0</v>
      </c>
    </row>
    <row r="97" spans="8:10" x14ac:dyDescent="0.2">
      <c r="H97" s="1" t="s">
        <v>542</v>
      </c>
      <c r="I97" s="6" t="s">
        <v>459</v>
      </c>
      <c r="J97" s="1">
        <v>8</v>
      </c>
    </row>
    <row r="98" spans="8:10" x14ac:dyDescent="0.2">
      <c r="H98" s="1" t="s">
        <v>542</v>
      </c>
      <c r="I98" s="6" t="s">
        <v>177</v>
      </c>
      <c r="J98" s="1">
        <v>17</v>
      </c>
    </row>
    <row r="99" spans="8:10" x14ac:dyDescent="0.2">
      <c r="H99" s="1" t="s">
        <v>542</v>
      </c>
      <c r="I99" s="6" t="s">
        <v>337</v>
      </c>
      <c r="J99" s="1">
        <v>11</v>
      </c>
    </row>
    <row r="100" spans="8:10" x14ac:dyDescent="0.2">
      <c r="H100" s="1" t="s">
        <v>542</v>
      </c>
      <c r="I100" s="6" t="s">
        <v>399</v>
      </c>
      <c r="J100" s="1">
        <v>18</v>
      </c>
    </row>
    <row r="101" spans="8:10" x14ac:dyDescent="0.2">
      <c r="H101" s="1" t="s">
        <v>542</v>
      </c>
      <c r="I101" s="6" t="s">
        <v>90</v>
      </c>
      <c r="J101" s="1">
        <v>0</v>
      </c>
    </row>
    <row r="102" spans="8:10" x14ac:dyDescent="0.2">
      <c r="H102" s="1" t="s">
        <v>542</v>
      </c>
      <c r="I102" s="6" t="s">
        <v>470</v>
      </c>
      <c r="J102" s="1">
        <v>3</v>
      </c>
    </row>
    <row r="103" spans="8:10" x14ac:dyDescent="0.2">
      <c r="H103" s="1" t="s">
        <v>542</v>
      </c>
      <c r="I103" s="6" t="s">
        <v>73</v>
      </c>
      <c r="J103" s="1">
        <v>17</v>
      </c>
    </row>
    <row r="104" spans="8:10" x14ac:dyDescent="0.2">
      <c r="H104" s="1" t="s">
        <v>542</v>
      </c>
      <c r="I104" s="6" t="s">
        <v>320</v>
      </c>
      <c r="J104" s="1">
        <v>14</v>
      </c>
    </row>
    <row r="105" spans="8:10" x14ac:dyDescent="0.2">
      <c r="H105" s="1" t="s">
        <v>542</v>
      </c>
      <c r="I105" s="6" t="s">
        <v>85</v>
      </c>
      <c r="J105" s="1">
        <v>0</v>
      </c>
    </row>
    <row r="106" spans="8:10" x14ac:dyDescent="0.2">
      <c r="H106" s="1" t="s">
        <v>542</v>
      </c>
      <c r="I106" s="6" t="s">
        <v>423</v>
      </c>
      <c r="J106" s="1">
        <v>6</v>
      </c>
    </row>
    <row r="107" spans="8:10" x14ac:dyDescent="0.2">
      <c r="H107" s="1" t="s">
        <v>542</v>
      </c>
      <c r="I107" s="6" t="s">
        <v>55</v>
      </c>
      <c r="J107" s="1">
        <v>3</v>
      </c>
    </row>
    <row r="108" spans="8:10" x14ac:dyDescent="0.2">
      <c r="H108" s="1" t="s">
        <v>542</v>
      </c>
      <c r="I108" s="6" t="s">
        <v>217</v>
      </c>
      <c r="J108" s="1">
        <v>1</v>
      </c>
    </row>
    <row r="109" spans="8:10" x14ac:dyDescent="0.2">
      <c r="H109" s="1" t="s">
        <v>542</v>
      </c>
      <c r="I109" s="6" t="s">
        <v>110</v>
      </c>
      <c r="J109" s="1">
        <v>25</v>
      </c>
    </row>
    <row r="110" spans="8:10" x14ac:dyDescent="0.2">
      <c r="H110" s="1" t="s">
        <v>542</v>
      </c>
      <c r="I110" s="6" t="s">
        <v>17</v>
      </c>
      <c r="J110" s="1">
        <v>40</v>
      </c>
    </row>
    <row r="111" spans="8:10" x14ac:dyDescent="0.2">
      <c r="H111" s="1" t="s">
        <v>542</v>
      </c>
      <c r="I111" s="6" t="s">
        <v>226</v>
      </c>
      <c r="J111" s="1">
        <v>2</v>
      </c>
    </row>
    <row r="112" spans="8:10" x14ac:dyDescent="0.2">
      <c r="H112" s="1" t="s">
        <v>542</v>
      </c>
      <c r="I112" s="6" t="s">
        <v>65</v>
      </c>
      <c r="J112" s="1">
        <v>27</v>
      </c>
    </row>
    <row r="113" spans="8:10" x14ac:dyDescent="0.2">
      <c r="H113" s="1" t="s">
        <v>542</v>
      </c>
      <c r="I113" s="6" t="s">
        <v>133</v>
      </c>
      <c r="J113" s="1">
        <v>32</v>
      </c>
    </row>
    <row r="114" spans="8:10" x14ac:dyDescent="0.2">
      <c r="H114" s="1" t="s">
        <v>542</v>
      </c>
      <c r="I114" s="6" t="s">
        <v>472</v>
      </c>
      <c r="J114" s="1">
        <v>9</v>
      </c>
    </row>
    <row r="115" spans="8:10" x14ac:dyDescent="0.2">
      <c r="H115" s="1" t="s">
        <v>542</v>
      </c>
      <c r="I115" s="6" t="s">
        <v>377</v>
      </c>
      <c r="J115" s="1">
        <v>1</v>
      </c>
    </row>
    <row r="116" spans="8:10" x14ac:dyDescent="0.2">
      <c r="H116" s="1" t="s">
        <v>542</v>
      </c>
      <c r="I116" s="6" t="s">
        <v>236</v>
      </c>
      <c r="J116" s="1">
        <v>2</v>
      </c>
    </row>
    <row r="117" spans="8:10" x14ac:dyDescent="0.2">
      <c r="H117" s="1" t="s">
        <v>542</v>
      </c>
      <c r="I117" s="6" t="s">
        <v>287</v>
      </c>
      <c r="J117" s="1">
        <v>1</v>
      </c>
    </row>
    <row r="118" spans="8:10" x14ac:dyDescent="0.2">
      <c r="H118" s="1" t="s">
        <v>542</v>
      </c>
      <c r="I118" s="6" t="s">
        <v>54</v>
      </c>
      <c r="J118" s="1">
        <v>14</v>
      </c>
    </row>
    <row r="119" spans="8:10" x14ac:dyDescent="0.2">
      <c r="H119" s="1" t="s">
        <v>542</v>
      </c>
      <c r="I119" s="6" t="s">
        <v>258</v>
      </c>
      <c r="J119" s="1">
        <v>2</v>
      </c>
    </row>
    <row r="120" spans="8:10" x14ac:dyDescent="0.2">
      <c r="H120" s="1" t="s">
        <v>542</v>
      </c>
      <c r="I120" s="6" t="s">
        <v>260</v>
      </c>
      <c r="J120" s="1">
        <v>4</v>
      </c>
    </row>
    <row r="121" spans="8:10" x14ac:dyDescent="0.2">
      <c r="H121" s="1" t="s">
        <v>542</v>
      </c>
      <c r="I121" s="6" t="s">
        <v>316</v>
      </c>
      <c r="J121" s="1">
        <v>0</v>
      </c>
    </row>
    <row r="122" spans="8:10" x14ac:dyDescent="0.2">
      <c r="H122" s="1" t="s">
        <v>542</v>
      </c>
      <c r="I122" s="6" t="s">
        <v>209</v>
      </c>
      <c r="J122" s="1">
        <v>1</v>
      </c>
    </row>
    <row r="123" spans="8:10" x14ac:dyDescent="0.2">
      <c r="H123" s="1" t="s">
        <v>542</v>
      </c>
      <c r="I123" s="6" t="s">
        <v>49</v>
      </c>
      <c r="J123" s="1">
        <v>29</v>
      </c>
    </row>
    <row r="124" spans="8:10" x14ac:dyDescent="0.2">
      <c r="H124" s="1" t="s">
        <v>542</v>
      </c>
      <c r="I124" s="6" t="s">
        <v>398</v>
      </c>
      <c r="J124" s="1">
        <v>2</v>
      </c>
    </row>
    <row r="125" spans="8:10" x14ac:dyDescent="0.2">
      <c r="H125" s="1" t="s">
        <v>542</v>
      </c>
      <c r="I125" s="6" t="s">
        <v>395</v>
      </c>
      <c r="J125" s="1">
        <v>7</v>
      </c>
    </row>
    <row r="126" spans="8:10" x14ac:dyDescent="0.2">
      <c r="H126" s="1" t="s">
        <v>542</v>
      </c>
      <c r="I126" s="6" t="s">
        <v>194</v>
      </c>
      <c r="J126" s="1">
        <v>4</v>
      </c>
    </row>
    <row r="127" spans="8:10" x14ac:dyDescent="0.2">
      <c r="H127" s="1" t="s">
        <v>542</v>
      </c>
      <c r="I127" s="6" t="s">
        <v>135</v>
      </c>
      <c r="J127" s="1">
        <v>13</v>
      </c>
    </row>
    <row r="128" spans="8:10" x14ac:dyDescent="0.2">
      <c r="H128" s="1" t="s">
        <v>542</v>
      </c>
      <c r="I128" s="6" t="s">
        <v>293</v>
      </c>
      <c r="J128" s="1">
        <v>2</v>
      </c>
    </row>
    <row r="129" spans="8:10" x14ac:dyDescent="0.2">
      <c r="H129" s="1" t="s">
        <v>542</v>
      </c>
      <c r="I129" s="6" t="s">
        <v>18</v>
      </c>
      <c r="J129" s="1">
        <v>35</v>
      </c>
    </row>
    <row r="130" spans="8:10" x14ac:dyDescent="0.2">
      <c r="H130" s="1" t="s">
        <v>542</v>
      </c>
      <c r="I130" s="6" t="s">
        <v>216</v>
      </c>
      <c r="J130" s="1">
        <v>9</v>
      </c>
    </row>
    <row r="131" spans="8:10" x14ac:dyDescent="0.2">
      <c r="H131" s="1" t="s">
        <v>542</v>
      </c>
      <c r="I131" s="6" t="s">
        <v>59</v>
      </c>
      <c r="J131" s="1">
        <v>37</v>
      </c>
    </row>
    <row r="132" spans="8:10" x14ac:dyDescent="0.2">
      <c r="H132" s="1" t="s">
        <v>542</v>
      </c>
      <c r="I132" s="6" t="s">
        <v>278</v>
      </c>
      <c r="J132" s="1">
        <v>3</v>
      </c>
    </row>
    <row r="133" spans="8:10" x14ac:dyDescent="0.2">
      <c r="H133" s="1" t="s">
        <v>542</v>
      </c>
      <c r="I133" s="6" t="s">
        <v>378</v>
      </c>
      <c r="J133" s="1">
        <v>8</v>
      </c>
    </row>
    <row r="134" spans="8:10" x14ac:dyDescent="0.2">
      <c r="H134" s="1" t="s">
        <v>542</v>
      </c>
      <c r="I134" s="6" t="s">
        <v>165</v>
      </c>
      <c r="J134" s="1">
        <v>8</v>
      </c>
    </row>
    <row r="135" spans="8:10" x14ac:dyDescent="0.2">
      <c r="H135" s="1" t="s">
        <v>542</v>
      </c>
      <c r="I135" s="6" t="s">
        <v>93</v>
      </c>
      <c r="J135" s="1">
        <v>6</v>
      </c>
    </row>
    <row r="136" spans="8:10" x14ac:dyDescent="0.2">
      <c r="H136" s="1" t="s">
        <v>542</v>
      </c>
      <c r="I136" s="6" t="s">
        <v>37</v>
      </c>
      <c r="J136" s="1">
        <v>16</v>
      </c>
    </row>
    <row r="137" spans="8:10" x14ac:dyDescent="0.2">
      <c r="H137" s="1" t="s">
        <v>542</v>
      </c>
      <c r="I137" s="6" t="s">
        <v>31</v>
      </c>
      <c r="J137" s="1">
        <v>6</v>
      </c>
    </row>
    <row r="138" spans="8:10" x14ac:dyDescent="0.2">
      <c r="H138" s="1" t="s">
        <v>542</v>
      </c>
      <c r="I138" s="6" t="s">
        <v>96</v>
      </c>
      <c r="J138" s="1">
        <v>17</v>
      </c>
    </row>
    <row r="139" spans="8:10" x14ac:dyDescent="0.2">
      <c r="H139" s="1" t="s">
        <v>542</v>
      </c>
      <c r="I139" s="6" t="s">
        <v>197</v>
      </c>
      <c r="J139" s="1">
        <v>7</v>
      </c>
    </row>
    <row r="140" spans="8:10" x14ac:dyDescent="0.2">
      <c r="H140" s="1" t="s">
        <v>542</v>
      </c>
      <c r="I140" s="6" t="s">
        <v>340</v>
      </c>
      <c r="J140" s="1">
        <v>8</v>
      </c>
    </row>
    <row r="141" spans="8:10" x14ac:dyDescent="0.2">
      <c r="H141" s="1" t="s">
        <v>542</v>
      </c>
      <c r="I141" s="6" t="s">
        <v>30</v>
      </c>
      <c r="J141" s="1">
        <v>15</v>
      </c>
    </row>
    <row r="142" spans="8:10" x14ac:dyDescent="0.2">
      <c r="H142" s="1" t="s">
        <v>542</v>
      </c>
      <c r="I142" s="6" t="s">
        <v>374</v>
      </c>
      <c r="J142" s="1">
        <v>4</v>
      </c>
    </row>
    <row r="143" spans="8:10" x14ac:dyDescent="0.2">
      <c r="H143" s="1" t="s">
        <v>542</v>
      </c>
      <c r="I143" s="6" t="s">
        <v>371</v>
      </c>
      <c r="J143" s="1">
        <v>6</v>
      </c>
    </row>
    <row r="144" spans="8:10" x14ac:dyDescent="0.2">
      <c r="H144" s="1" t="s">
        <v>542</v>
      </c>
      <c r="I144" s="6" t="s">
        <v>128</v>
      </c>
      <c r="J144" s="1">
        <v>14</v>
      </c>
    </row>
    <row r="145" spans="8:10" x14ac:dyDescent="0.2">
      <c r="H145" s="1" t="s">
        <v>542</v>
      </c>
      <c r="I145" s="6" t="s">
        <v>407</v>
      </c>
      <c r="J145" s="1">
        <v>4</v>
      </c>
    </row>
    <row r="146" spans="8:10" x14ac:dyDescent="0.2">
      <c r="H146" s="1" t="s">
        <v>542</v>
      </c>
      <c r="I146" s="6" t="s">
        <v>494</v>
      </c>
      <c r="J146" s="1">
        <v>2</v>
      </c>
    </row>
    <row r="147" spans="8:10" x14ac:dyDescent="0.2">
      <c r="H147" s="1" t="s">
        <v>542</v>
      </c>
      <c r="I147" s="6" t="s">
        <v>462</v>
      </c>
      <c r="J147" s="1">
        <v>2</v>
      </c>
    </row>
    <row r="148" spans="8:10" x14ac:dyDescent="0.2">
      <c r="H148" s="1" t="s">
        <v>542</v>
      </c>
      <c r="I148" s="6" t="s">
        <v>499</v>
      </c>
      <c r="J148" s="1">
        <v>2</v>
      </c>
    </row>
    <row r="149" spans="8:10" x14ac:dyDescent="0.2">
      <c r="H149" s="1" t="s">
        <v>542</v>
      </c>
      <c r="I149" s="6" t="s">
        <v>422</v>
      </c>
      <c r="J149" s="1">
        <v>2</v>
      </c>
    </row>
    <row r="150" spans="8:10" x14ac:dyDescent="0.2">
      <c r="H150" s="1" t="s">
        <v>542</v>
      </c>
      <c r="I150" s="6" t="s">
        <v>389</v>
      </c>
      <c r="J150" s="1">
        <v>4</v>
      </c>
    </row>
    <row r="151" spans="8:10" x14ac:dyDescent="0.2">
      <c r="H151" s="1" t="s">
        <v>542</v>
      </c>
      <c r="I151" s="6" t="s">
        <v>151</v>
      </c>
      <c r="J151" s="1">
        <v>10</v>
      </c>
    </row>
    <row r="152" spans="8:10" x14ac:dyDescent="0.2">
      <c r="H152" s="1" t="s">
        <v>542</v>
      </c>
      <c r="I152" s="6" t="s">
        <v>68</v>
      </c>
      <c r="J152" s="1">
        <v>42</v>
      </c>
    </row>
    <row r="153" spans="8:10" x14ac:dyDescent="0.2">
      <c r="H153" s="1" t="s">
        <v>542</v>
      </c>
      <c r="I153" s="6" t="s">
        <v>62</v>
      </c>
      <c r="J153" s="1">
        <v>21</v>
      </c>
    </row>
    <row r="154" spans="8:10" x14ac:dyDescent="0.2">
      <c r="H154" s="1" t="s">
        <v>542</v>
      </c>
      <c r="I154" s="6" t="s">
        <v>58</v>
      </c>
      <c r="J154" s="1">
        <v>23</v>
      </c>
    </row>
    <row r="155" spans="8:10" x14ac:dyDescent="0.2">
      <c r="H155" s="1" t="s">
        <v>542</v>
      </c>
      <c r="I155" s="6" t="s">
        <v>473</v>
      </c>
      <c r="J155" s="1">
        <v>1</v>
      </c>
    </row>
    <row r="156" spans="8:10" x14ac:dyDescent="0.2">
      <c r="H156" s="1" t="s">
        <v>542</v>
      </c>
      <c r="I156" s="6" t="s">
        <v>457</v>
      </c>
      <c r="J156" s="1">
        <v>0</v>
      </c>
    </row>
    <row r="157" spans="8:10" x14ac:dyDescent="0.2">
      <c r="H157" s="1" t="s">
        <v>542</v>
      </c>
      <c r="I157" s="6" t="s">
        <v>251</v>
      </c>
      <c r="J157" s="1">
        <v>2</v>
      </c>
    </row>
    <row r="158" spans="8:10" x14ac:dyDescent="0.2">
      <c r="H158" s="1" t="s">
        <v>542</v>
      </c>
      <c r="I158" s="6" t="s">
        <v>134</v>
      </c>
      <c r="J158" s="1">
        <v>10</v>
      </c>
    </row>
    <row r="159" spans="8:10" x14ac:dyDescent="0.2">
      <c r="H159" s="1" t="s">
        <v>542</v>
      </c>
      <c r="I159" s="6" t="s">
        <v>476</v>
      </c>
      <c r="J159" s="1">
        <v>4</v>
      </c>
    </row>
    <row r="160" spans="8:10" x14ac:dyDescent="0.2">
      <c r="H160" s="1" t="s">
        <v>542</v>
      </c>
      <c r="I160" s="6" t="s">
        <v>333</v>
      </c>
      <c r="J160" s="1">
        <v>2</v>
      </c>
    </row>
    <row r="161" spans="1:10" x14ac:dyDescent="0.2">
      <c r="H161" s="1" t="s">
        <v>542</v>
      </c>
      <c r="I161" s="6" t="s">
        <v>16</v>
      </c>
      <c r="J161" s="1">
        <v>18</v>
      </c>
    </row>
    <row r="162" spans="1:10" x14ac:dyDescent="0.2">
      <c r="A162"/>
      <c r="B162"/>
      <c r="H162" s="1" t="s">
        <v>542</v>
      </c>
      <c r="I162" s="6" t="s">
        <v>22</v>
      </c>
      <c r="J162" s="1">
        <v>18</v>
      </c>
    </row>
    <row r="163" spans="1:10" x14ac:dyDescent="0.2">
      <c r="A163"/>
      <c r="B163"/>
      <c r="H163" s="1" t="s">
        <v>542</v>
      </c>
      <c r="I163" s="6" t="s">
        <v>156</v>
      </c>
      <c r="J163" s="1">
        <v>2</v>
      </c>
    </row>
    <row r="164" spans="1:10" x14ac:dyDescent="0.2">
      <c r="A164"/>
      <c r="B164"/>
      <c r="H164" s="1" t="s">
        <v>542</v>
      </c>
      <c r="I164" s="6" t="s">
        <v>26</v>
      </c>
      <c r="J164" s="1">
        <v>18</v>
      </c>
    </row>
    <row r="165" spans="1:10" x14ac:dyDescent="0.2">
      <c r="A165"/>
      <c r="B165"/>
      <c r="H165" s="1" t="s">
        <v>542</v>
      </c>
      <c r="I165" s="6" t="s">
        <v>230</v>
      </c>
      <c r="J165" s="1">
        <v>0</v>
      </c>
    </row>
    <row r="166" spans="1:10" x14ac:dyDescent="0.2">
      <c r="A166"/>
      <c r="B166"/>
    </row>
    <row r="167" spans="1:10" x14ac:dyDescent="0.2">
      <c r="A167"/>
      <c r="B167"/>
    </row>
    <row r="168" spans="1:10" x14ac:dyDescent="0.2">
      <c r="A168"/>
      <c r="B168"/>
    </row>
    <row r="169" spans="1:10" x14ac:dyDescent="0.2">
      <c r="A169"/>
      <c r="B169"/>
    </row>
    <row r="170" spans="1:10" x14ac:dyDescent="0.2">
      <c r="A170"/>
      <c r="B170"/>
    </row>
    <row r="171" spans="1:10" x14ac:dyDescent="0.2">
      <c r="A171"/>
      <c r="B171"/>
    </row>
    <row r="172" spans="1:10" x14ac:dyDescent="0.2">
      <c r="A172"/>
      <c r="B172"/>
    </row>
    <row r="173" spans="1:10" x14ac:dyDescent="0.2">
      <c r="A173"/>
      <c r="B173"/>
    </row>
    <row r="174" spans="1:10" x14ac:dyDescent="0.2">
      <c r="A174"/>
      <c r="B174"/>
    </row>
    <row r="175" spans="1:10" x14ac:dyDescent="0.2">
      <c r="A175"/>
      <c r="B175"/>
    </row>
    <row r="176" spans="1:10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</sheetData>
  <autoFilter ref="R4:S87" xr:uid="{AF5F1D56-1C7D-A84F-9474-C8CD59F61286}"/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A8DE-B45C-DD48-8024-FBB77D9F2C64}">
  <dimension ref="A1:N23"/>
  <sheetViews>
    <sheetView topLeftCell="I1" zoomScale="150" zoomScaleNormal="150" workbookViewId="0">
      <selection activeCell="I6" sqref="I6"/>
    </sheetView>
  </sheetViews>
  <sheetFormatPr baseColWidth="10" defaultRowHeight="16" x14ac:dyDescent="0.2"/>
  <cols>
    <col min="1" max="1" width="15.1640625" bestFit="1" customWidth="1"/>
    <col min="2" max="2" width="14.5" bestFit="1" customWidth="1"/>
    <col min="4" max="4" width="15.6640625" bestFit="1" customWidth="1"/>
    <col min="5" max="5" width="14.5" bestFit="1" customWidth="1"/>
    <col min="7" max="7" width="12.33203125" bestFit="1" customWidth="1"/>
    <col min="8" max="8" width="15.6640625" bestFit="1" customWidth="1"/>
    <col min="9" max="9" width="29.1640625" bestFit="1" customWidth="1"/>
    <col min="11" max="11" width="10.83203125" style="1"/>
    <col min="12" max="12" width="15.6640625" style="1" bestFit="1" customWidth="1"/>
    <col min="13" max="13" width="36.6640625" style="1" bestFit="1" customWidth="1"/>
    <col min="14" max="14" width="10.83203125" style="1"/>
  </cols>
  <sheetData>
    <row r="1" spans="1:13" ht="18" x14ac:dyDescent="0.2">
      <c r="A1" s="4" t="s">
        <v>549</v>
      </c>
    </row>
    <row r="2" spans="1:13" x14ac:dyDescent="0.2">
      <c r="A2" s="1"/>
      <c r="B2" s="1"/>
      <c r="C2" s="1"/>
      <c r="F2" s="1"/>
      <c r="G2" s="1"/>
    </row>
    <row r="3" spans="1:13" x14ac:dyDescent="0.2">
      <c r="A3" s="5" t="s">
        <v>3</v>
      </c>
      <c r="B3" s="1" t="s">
        <v>44</v>
      </c>
      <c r="C3" s="1"/>
      <c r="D3" s="5" t="s">
        <v>3</v>
      </c>
      <c r="E3" s="1" t="s">
        <v>44</v>
      </c>
      <c r="F3" s="1"/>
      <c r="G3" s="1"/>
    </row>
    <row r="4" spans="1:13" x14ac:dyDescent="0.2">
      <c r="A4" s="1"/>
      <c r="B4" s="1"/>
      <c r="C4" s="1"/>
      <c r="D4" s="1"/>
      <c r="E4" s="1"/>
      <c r="F4" s="1"/>
      <c r="G4" s="1"/>
    </row>
    <row r="5" spans="1:13" x14ac:dyDescent="0.2">
      <c r="A5" s="5" t="s">
        <v>541</v>
      </c>
      <c r="B5" s="1" t="s">
        <v>538</v>
      </c>
      <c r="C5" s="1"/>
      <c r="D5" s="5" t="s">
        <v>542</v>
      </c>
      <c r="E5" s="1" t="s">
        <v>538</v>
      </c>
      <c r="F5" s="1"/>
      <c r="G5" s="3" t="s">
        <v>543</v>
      </c>
      <c r="H5" s="3" t="s">
        <v>6</v>
      </c>
      <c r="I5" s="3" t="s">
        <v>556</v>
      </c>
    </row>
    <row r="6" spans="1:13" x14ac:dyDescent="0.2">
      <c r="A6" s="6" t="s">
        <v>27</v>
      </c>
      <c r="B6" s="1">
        <v>5</v>
      </c>
      <c r="C6" s="1"/>
      <c r="D6" s="6" t="s">
        <v>133</v>
      </c>
      <c r="E6" s="1">
        <v>4</v>
      </c>
      <c r="F6" s="1"/>
      <c r="G6" s="1" t="s">
        <v>541</v>
      </c>
      <c r="H6" s="6" t="s">
        <v>27</v>
      </c>
      <c r="I6" s="1">
        <v>5</v>
      </c>
      <c r="L6" s="5" t="s">
        <v>532</v>
      </c>
      <c r="M6" s="1" t="s">
        <v>557</v>
      </c>
    </row>
    <row r="7" spans="1:13" x14ac:dyDescent="0.2">
      <c r="A7" s="6" t="s">
        <v>49</v>
      </c>
      <c r="B7" s="1">
        <v>4</v>
      </c>
      <c r="C7" s="1"/>
      <c r="D7" s="6" t="s">
        <v>33</v>
      </c>
      <c r="E7" s="1">
        <v>3</v>
      </c>
      <c r="F7" s="1"/>
      <c r="G7" s="1" t="s">
        <v>541</v>
      </c>
      <c r="H7" s="6" t="s">
        <v>49</v>
      </c>
      <c r="I7" s="1">
        <v>4</v>
      </c>
      <c r="L7" s="6" t="s">
        <v>27</v>
      </c>
      <c r="M7" s="1">
        <v>6</v>
      </c>
    </row>
    <row r="8" spans="1:13" x14ac:dyDescent="0.2">
      <c r="A8" s="6" t="s">
        <v>133</v>
      </c>
      <c r="B8" s="1">
        <v>2</v>
      </c>
      <c r="C8" s="1"/>
      <c r="D8" s="6" t="s">
        <v>17</v>
      </c>
      <c r="E8" s="1">
        <v>2</v>
      </c>
      <c r="F8" s="1"/>
      <c r="G8" s="1" t="s">
        <v>541</v>
      </c>
      <c r="H8" s="6" t="s">
        <v>133</v>
      </c>
      <c r="I8" s="1">
        <v>2</v>
      </c>
      <c r="L8" s="6" t="s">
        <v>49</v>
      </c>
      <c r="M8" s="1">
        <v>6</v>
      </c>
    </row>
    <row r="9" spans="1:13" x14ac:dyDescent="0.2">
      <c r="A9" s="6" t="s">
        <v>59</v>
      </c>
      <c r="B9" s="1">
        <v>2</v>
      </c>
      <c r="C9" s="1"/>
      <c r="D9" s="6" t="s">
        <v>49</v>
      </c>
      <c r="E9" s="1">
        <v>2</v>
      </c>
      <c r="F9" s="1"/>
      <c r="G9" s="1" t="s">
        <v>541</v>
      </c>
      <c r="H9" s="6" t="s">
        <v>59</v>
      </c>
      <c r="I9" s="1">
        <v>2</v>
      </c>
      <c r="L9" s="6" t="s">
        <v>133</v>
      </c>
      <c r="M9" s="1">
        <v>6</v>
      </c>
    </row>
    <row r="10" spans="1:13" x14ac:dyDescent="0.2">
      <c r="A10" s="6" t="s">
        <v>33</v>
      </c>
      <c r="B10" s="1">
        <v>2</v>
      </c>
      <c r="C10" s="1"/>
      <c r="D10" s="6" t="s">
        <v>73</v>
      </c>
      <c r="E10" s="1">
        <v>2</v>
      </c>
      <c r="F10" s="1"/>
      <c r="G10" s="1" t="s">
        <v>541</v>
      </c>
      <c r="H10" s="6" t="s">
        <v>33</v>
      </c>
      <c r="I10" s="1">
        <v>2</v>
      </c>
      <c r="L10" s="6" t="s">
        <v>33</v>
      </c>
      <c r="M10" s="1">
        <v>5</v>
      </c>
    </row>
    <row r="11" spans="1:13" x14ac:dyDescent="0.2">
      <c r="A11" s="6" t="s">
        <v>65</v>
      </c>
      <c r="B11" s="1">
        <v>2</v>
      </c>
      <c r="C11" s="1"/>
      <c r="D11" s="6" t="s">
        <v>54</v>
      </c>
      <c r="E11" s="1">
        <v>2</v>
      </c>
      <c r="F11" s="1"/>
      <c r="G11" s="1" t="s">
        <v>541</v>
      </c>
      <c r="H11" s="6" t="s">
        <v>65</v>
      </c>
      <c r="I11" s="1">
        <v>2</v>
      </c>
      <c r="L11" s="6" t="s">
        <v>59</v>
      </c>
      <c r="M11" s="1">
        <v>3</v>
      </c>
    </row>
    <row r="12" spans="1:13" x14ac:dyDescent="0.2">
      <c r="A12" s="6" t="s">
        <v>16</v>
      </c>
      <c r="B12" s="1">
        <v>1</v>
      </c>
      <c r="C12" s="1"/>
      <c r="D12" s="6" t="s">
        <v>62</v>
      </c>
      <c r="E12" s="1">
        <v>1</v>
      </c>
      <c r="F12" s="1"/>
      <c r="G12" s="1" t="s">
        <v>541</v>
      </c>
      <c r="H12" s="6" t="s">
        <v>16</v>
      </c>
      <c r="I12" s="1">
        <v>1</v>
      </c>
      <c r="L12" s="6" t="s">
        <v>73</v>
      </c>
      <c r="M12" s="1">
        <v>2</v>
      </c>
    </row>
    <row r="13" spans="1:13" x14ac:dyDescent="0.2">
      <c r="A13" s="6" t="s">
        <v>110</v>
      </c>
      <c r="B13" s="1">
        <v>1</v>
      </c>
      <c r="C13" s="1"/>
      <c r="D13" s="6" t="s">
        <v>68</v>
      </c>
      <c r="E13" s="1">
        <v>1</v>
      </c>
      <c r="F13" s="1"/>
      <c r="G13" s="1" t="s">
        <v>541</v>
      </c>
      <c r="H13" s="6" t="s">
        <v>110</v>
      </c>
      <c r="I13" s="1">
        <v>1</v>
      </c>
      <c r="L13" s="6" t="s">
        <v>17</v>
      </c>
      <c r="M13" s="1">
        <v>2</v>
      </c>
    </row>
    <row r="14" spans="1:13" x14ac:dyDescent="0.2">
      <c r="A14" s="6" t="s">
        <v>533</v>
      </c>
      <c r="B14" s="1">
        <v>19</v>
      </c>
      <c r="C14" s="1"/>
      <c r="D14" s="6" t="s">
        <v>27</v>
      </c>
      <c r="E14" s="1">
        <v>1</v>
      </c>
      <c r="F14" s="1"/>
      <c r="G14" s="1" t="s">
        <v>542</v>
      </c>
      <c r="H14" s="6" t="s">
        <v>133</v>
      </c>
      <c r="I14" s="1">
        <v>4</v>
      </c>
      <c r="L14" s="6" t="s">
        <v>65</v>
      </c>
      <c r="M14" s="1">
        <v>2</v>
      </c>
    </row>
    <row r="15" spans="1:13" x14ac:dyDescent="0.2">
      <c r="A15" s="1"/>
      <c r="B15" s="1"/>
      <c r="C15" s="1"/>
      <c r="D15" s="6" t="s">
        <v>59</v>
      </c>
      <c r="E15" s="1">
        <v>1</v>
      </c>
      <c r="F15" s="1"/>
      <c r="G15" s="1" t="s">
        <v>542</v>
      </c>
      <c r="H15" s="6" t="s">
        <v>33</v>
      </c>
      <c r="I15" s="1">
        <v>3</v>
      </c>
      <c r="L15" s="6" t="s">
        <v>54</v>
      </c>
      <c r="M15" s="1">
        <v>2</v>
      </c>
    </row>
    <row r="16" spans="1:13" x14ac:dyDescent="0.2">
      <c r="A16" s="1"/>
      <c r="B16" s="1"/>
      <c r="C16" s="1"/>
      <c r="D16" s="6" t="s">
        <v>533</v>
      </c>
      <c r="E16" s="1">
        <v>19</v>
      </c>
      <c r="F16" s="1"/>
      <c r="G16" s="1" t="s">
        <v>542</v>
      </c>
      <c r="H16" s="6" t="s">
        <v>17</v>
      </c>
      <c r="I16" s="1">
        <v>2</v>
      </c>
      <c r="L16" s="6" t="s">
        <v>16</v>
      </c>
      <c r="M16" s="1">
        <v>1</v>
      </c>
    </row>
    <row r="17" spans="1:13" x14ac:dyDescent="0.2">
      <c r="A17" s="1"/>
      <c r="B17" s="1"/>
      <c r="C17" s="1"/>
      <c r="D17" s="1"/>
      <c r="E17" s="1"/>
      <c r="F17" s="1"/>
      <c r="G17" s="1" t="s">
        <v>542</v>
      </c>
      <c r="H17" s="6" t="s">
        <v>49</v>
      </c>
      <c r="I17" s="1">
        <v>2</v>
      </c>
      <c r="L17" s="6" t="s">
        <v>62</v>
      </c>
      <c r="M17" s="1">
        <v>1</v>
      </c>
    </row>
    <row r="18" spans="1:13" x14ac:dyDescent="0.2">
      <c r="G18" s="1" t="s">
        <v>542</v>
      </c>
      <c r="H18" s="6" t="s">
        <v>73</v>
      </c>
      <c r="I18" s="1">
        <v>2</v>
      </c>
      <c r="L18" s="6" t="s">
        <v>110</v>
      </c>
      <c r="M18" s="1">
        <v>1</v>
      </c>
    </row>
    <row r="19" spans="1:13" x14ac:dyDescent="0.2">
      <c r="G19" s="1" t="s">
        <v>542</v>
      </c>
      <c r="H19" s="6" t="s">
        <v>54</v>
      </c>
      <c r="I19" s="1">
        <v>2</v>
      </c>
      <c r="L19" s="6" t="s">
        <v>68</v>
      </c>
      <c r="M19" s="1">
        <v>1</v>
      </c>
    </row>
    <row r="20" spans="1:13" x14ac:dyDescent="0.2">
      <c r="G20" s="1" t="s">
        <v>542</v>
      </c>
      <c r="H20" s="6" t="s">
        <v>62</v>
      </c>
      <c r="I20" s="1">
        <v>1</v>
      </c>
      <c r="L20" s="6" t="s">
        <v>533</v>
      </c>
      <c r="M20" s="1">
        <v>38</v>
      </c>
    </row>
    <row r="21" spans="1:13" x14ac:dyDescent="0.2">
      <c r="G21" s="1" t="s">
        <v>542</v>
      </c>
      <c r="H21" s="6" t="s">
        <v>68</v>
      </c>
      <c r="I21" s="1">
        <v>1</v>
      </c>
    </row>
    <row r="22" spans="1:13" x14ac:dyDescent="0.2">
      <c r="G22" s="1" t="s">
        <v>542</v>
      </c>
      <c r="H22" s="6" t="s">
        <v>27</v>
      </c>
      <c r="I22" s="1">
        <v>1</v>
      </c>
    </row>
    <row r="23" spans="1:13" x14ac:dyDescent="0.2">
      <c r="G23" s="1" t="s">
        <v>542</v>
      </c>
      <c r="H23" s="6" t="s">
        <v>59</v>
      </c>
      <c r="I23" s="1">
        <v>1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2604-0654-5F40-A322-5A174582525F}">
  <dimension ref="A1:AF458"/>
  <sheetViews>
    <sheetView workbookViewId="0"/>
  </sheetViews>
  <sheetFormatPr baseColWidth="10" defaultRowHeight="16" x14ac:dyDescent="0.2"/>
  <cols>
    <col min="1" max="1" width="35.83203125" style="1" bestFit="1" customWidth="1"/>
    <col min="2" max="2" width="11" style="1" bestFit="1" customWidth="1"/>
    <col min="3" max="3" width="7.33203125" style="1" bestFit="1" customWidth="1"/>
    <col min="4" max="4" width="21.1640625" style="1" bestFit="1" customWidth="1"/>
    <col min="5" max="5" width="51.6640625" style="1" bestFit="1" customWidth="1"/>
    <col min="6" max="6" width="34.5" style="1" bestFit="1" customWidth="1"/>
    <col min="7" max="7" width="12.83203125" style="1" bestFit="1" customWidth="1"/>
    <col min="8" max="8" width="18.5" style="1" bestFit="1" customWidth="1"/>
    <col min="9" max="9" width="12.33203125" style="1" bestFit="1" customWidth="1"/>
    <col min="10" max="10" width="12" style="1" bestFit="1" customWidth="1"/>
    <col min="11" max="11" width="18.5" style="1" bestFit="1" customWidth="1"/>
    <col min="12" max="12" width="24.1640625" style="1" customWidth="1"/>
    <col min="13" max="14" width="10.83203125" style="1"/>
    <col min="15" max="15" width="11.83203125" style="1" bestFit="1" customWidth="1"/>
    <col min="16" max="16" width="5.83203125" style="1" bestFit="1" customWidth="1"/>
    <col min="17" max="17" width="21.1640625" style="1" bestFit="1" customWidth="1"/>
    <col min="18" max="19" width="18.5" style="1" bestFit="1" customWidth="1"/>
    <col min="20" max="21" width="10.83203125" style="1"/>
    <col min="22" max="22" width="22" style="1" bestFit="1" customWidth="1"/>
    <col min="23" max="23" width="7.33203125" style="1" bestFit="1" customWidth="1"/>
    <col min="24" max="24" width="22.1640625" style="1" customWidth="1"/>
    <col min="25" max="25" width="25.83203125" style="1" bestFit="1" customWidth="1"/>
    <col min="26" max="26" width="17.5" style="1" bestFit="1" customWidth="1"/>
    <col min="27" max="27" width="13.33203125" style="1" customWidth="1"/>
    <col min="28" max="28" width="21.1640625" style="1" bestFit="1" customWidth="1"/>
    <col min="29" max="29" width="22.1640625" style="1" bestFit="1" customWidth="1"/>
    <col min="30" max="30" width="10.83203125" style="1"/>
    <col min="31" max="31" width="43" style="1" bestFit="1" customWidth="1"/>
    <col min="32" max="16384" width="10.83203125" style="1"/>
  </cols>
  <sheetData>
    <row r="1" spans="1:32" ht="18" x14ac:dyDescent="0.2">
      <c r="A1" s="4" t="s">
        <v>550</v>
      </c>
      <c r="V1" s="1" t="s">
        <v>615</v>
      </c>
      <c r="Y1" s="1" t="s">
        <v>616</v>
      </c>
    </row>
    <row r="2" spans="1:32" x14ac:dyDescent="0.2">
      <c r="S2" s="9" t="s">
        <v>603</v>
      </c>
      <c r="V2" s="9" t="s">
        <v>606</v>
      </c>
      <c r="Y2" s="9" t="s">
        <v>606</v>
      </c>
      <c r="Z2" s="9"/>
      <c r="AA2" s="9"/>
      <c r="AE2" s="3" t="s">
        <v>613</v>
      </c>
      <c r="AF2" s="9" t="s">
        <v>608</v>
      </c>
    </row>
    <row r="3" spans="1:32" x14ac:dyDescent="0.2">
      <c r="W3" s="9"/>
      <c r="X3" s="9"/>
    </row>
    <row r="4" spans="1:32" s="3" customFormat="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O4" s="3" t="s">
        <v>543</v>
      </c>
      <c r="P4" s="3" t="s">
        <v>0</v>
      </c>
      <c r="Q4" s="3" t="s">
        <v>3</v>
      </c>
      <c r="R4" s="3" t="s">
        <v>6</v>
      </c>
      <c r="S4" s="3" t="s">
        <v>602</v>
      </c>
      <c r="V4" s="5" t="s">
        <v>3</v>
      </c>
      <c r="W4" s="1" t="s">
        <v>617</v>
      </c>
      <c r="X4" s="9"/>
      <c r="Y4" s="5" t="s">
        <v>3</v>
      </c>
      <c r="Z4" s="1" t="s">
        <v>618</v>
      </c>
      <c r="AA4"/>
      <c r="AB4" s="3" t="s">
        <v>3</v>
      </c>
      <c r="AC4" s="3" t="s">
        <v>612</v>
      </c>
      <c r="AE4" s="3" t="s">
        <v>543</v>
      </c>
      <c r="AF4" s="3" t="s">
        <v>607</v>
      </c>
    </row>
    <row r="5" spans="1:32" x14ac:dyDescent="0.2">
      <c r="A5" s="1">
        <v>1930</v>
      </c>
      <c r="B5" s="2" t="d">
        <v>2030-07-26</v>
      </c>
      <c r="C5" s="1" t="s">
        <v>34</v>
      </c>
      <c r="D5" s="12" t="s">
        <v>42</v>
      </c>
      <c r="E5" s="1" t="s">
        <v>39</v>
      </c>
      <c r="F5" s="1" t="s">
        <v>15</v>
      </c>
      <c r="G5" s="1" t="s">
        <v>16</v>
      </c>
      <c r="H5" s="1" t="s">
        <v>33</v>
      </c>
      <c r="I5" s="1">
        <v>6</v>
      </c>
      <c r="J5" s="1">
        <v>1</v>
      </c>
      <c r="K5" s="1" t="s">
        <v>22</v>
      </c>
      <c r="L5" s="1" t="s">
        <v>19</v>
      </c>
      <c r="O5" s="1" t="s">
        <v>7</v>
      </c>
      <c r="P5" s="1">
        <v>1930</v>
      </c>
      <c r="Q5" s="12" t="s">
        <v>42</v>
      </c>
      <c r="R5" s="1" t="s">
        <v>33</v>
      </c>
      <c r="S5" s="1" t="s">
        <v>33</v>
      </c>
      <c r="Y5"/>
      <c r="Z5"/>
      <c r="AA5"/>
      <c r="AB5" s="12" t="s">
        <v>42</v>
      </c>
      <c r="AC5" s="15" t="s">
        <v>604</v>
      </c>
      <c r="AE5" s="1" t="s">
        <v>65</v>
      </c>
      <c r="AF5" s="1">
        <v>17</v>
      </c>
    </row>
    <row r="6" spans="1:32" x14ac:dyDescent="0.2">
      <c r="A6" s="1">
        <v>1930</v>
      </c>
      <c r="B6" s="2" t="d">
        <v>2030-07-27</v>
      </c>
      <c r="C6" s="1" t="s">
        <v>34</v>
      </c>
      <c r="D6" s="12" t="s">
        <v>42</v>
      </c>
      <c r="E6" s="1" t="s">
        <v>39</v>
      </c>
      <c r="F6" s="1" t="s">
        <v>15</v>
      </c>
      <c r="G6" s="1" t="s">
        <v>16</v>
      </c>
      <c r="H6" s="1" t="s">
        <v>16</v>
      </c>
      <c r="I6" s="1">
        <v>6</v>
      </c>
      <c r="J6" s="1">
        <v>1</v>
      </c>
      <c r="K6" s="1" t="s">
        <v>26</v>
      </c>
      <c r="L6" s="1" t="s">
        <v>19</v>
      </c>
      <c r="O6" s="1" t="s">
        <v>7</v>
      </c>
      <c r="P6" s="1">
        <v>1930</v>
      </c>
      <c r="Q6" s="12" t="s">
        <v>42</v>
      </c>
      <c r="R6" s="1" t="s">
        <v>16</v>
      </c>
      <c r="S6" s="1" t="s">
        <v>16</v>
      </c>
      <c r="V6" s="5" t="s">
        <v>532</v>
      </c>
      <c r="W6" s="5"/>
      <c r="X6" s="5"/>
      <c r="Y6" s="5" t="s">
        <v>532</v>
      </c>
      <c r="Z6"/>
      <c r="AA6"/>
      <c r="AB6" s="12" t="s">
        <v>44</v>
      </c>
      <c r="AC6" s="15" t="s">
        <v>604</v>
      </c>
      <c r="AE6" s="1" t="s">
        <v>27</v>
      </c>
      <c r="AF6" s="1">
        <v>16</v>
      </c>
    </row>
    <row r="7" spans="1:32" x14ac:dyDescent="0.2">
      <c r="A7" s="1">
        <v>1930</v>
      </c>
      <c r="B7" s="2" t="d">
        <v>2030-07-30</v>
      </c>
      <c r="C7" s="1" t="s">
        <v>43</v>
      </c>
      <c r="D7" s="12" t="s">
        <v>44</v>
      </c>
      <c r="E7" s="1" t="s">
        <v>39</v>
      </c>
      <c r="F7" s="1" t="s">
        <v>15</v>
      </c>
      <c r="G7" s="1" t="s">
        <v>16</v>
      </c>
      <c r="H7" s="1" t="s">
        <v>16</v>
      </c>
      <c r="I7" s="1">
        <v>4</v>
      </c>
      <c r="J7" s="1">
        <v>2</v>
      </c>
      <c r="K7" s="1" t="s">
        <v>33</v>
      </c>
      <c r="L7" s="1" t="s">
        <v>19</v>
      </c>
      <c r="O7" s="1" t="s">
        <v>7</v>
      </c>
      <c r="P7" s="1">
        <v>1930</v>
      </c>
      <c r="Q7" s="12" t="s">
        <v>44</v>
      </c>
      <c r="R7" s="1" t="s">
        <v>16</v>
      </c>
      <c r="S7" s="1" t="s">
        <v>16</v>
      </c>
      <c r="V7" s="6" t="s">
        <v>281</v>
      </c>
      <c r="W7" s="6"/>
      <c r="X7" s="6"/>
      <c r="Y7" s="6" t="s">
        <v>281</v>
      </c>
      <c r="Z7"/>
      <c r="AA7"/>
      <c r="AB7" s="12" t="s">
        <v>74</v>
      </c>
      <c r="AC7" s="15" t="s">
        <v>604</v>
      </c>
      <c r="AE7" s="1" t="s">
        <v>49</v>
      </c>
      <c r="AF7" s="1">
        <v>11</v>
      </c>
    </row>
    <row r="8" spans="1:32" x14ac:dyDescent="0.2">
      <c r="A8" s="1">
        <v>1934</v>
      </c>
      <c r="B8" s="2" t="d">
        <v>2034-05-31</v>
      </c>
      <c r="C8" s="1" t="s">
        <v>45</v>
      </c>
      <c r="D8" s="12" t="s">
        <v>74</v>
      </c>
      <c r="E8" s="1" t="s">
        <v>47</v>
      </c>
      <c r="F8" s="1" t="s">
        <v>48</v>
      </c>
      <c r="G8" s="1" t="s">
        <v>49</v>
      </c>
      <c r="H8" s="1" t="s">
        <v>73</v>
      </c>
      <c r="I8" s="1">
        <v>3</v>
      </c>
      <c r="J8" s="1">
        <v>2</v>
      </c>
      <c r="K8" s="1" t="s">
        <v>58</v>
      </c>
      <c r="L8" s="1" t="s">
        <v>19</v>
      </c>
      <c r="O8" s="1" t="s">
        <v>7</v>
      </c>
      <c r="P8" s="1">
        <v>1934</v>
      </c>
      <c r="Q8" s="12" t="s">
        <v>74</v>
      </c>
      <c r="R8" s="1" t="s">
        <v>73</v>
      </c>
      <c r="S8" s="1" t="s">
        <v>73</v>
      </c>
      <c r="V8" s="17" t="s">
        <v>33</v>
      </c>
      <c r="W8" s="17"/>
      <c r="X8" s="17"/>
      <c r="Y8" s="6" t="s">
        <v>33</v>
      </c>
      <c r="Z8"/>
      <c r="AA8"/>
      <c r="AB8" s="12" t="s">
        <v>76</v>
      </c>
      <c r="AC8" s="1" t="s">
        <v>605</v>
      </c>
      <c r="AE8" s="1" t="s">
        <v>110</v>
      </c>
      <c r="AF8" s="1">
        <v>10</v>
      </c>
    </row>
    <row r="9" spans="1:32" x14ac:dyDescent="0.2">
      <c r="A9" s="1">
        <v>1934</v>
      </c>
      <c r="B9" s="2" t="d">
        <v>2034-05-31</v>
      </c>
      <c r="C9" s="1" t="s">
        <v>45</v>
      </c>
      <c r="D9" s="12" t="s">
        <v>74</v>
      </c>
      <c r="E9" s="1" t="s">
        <v>56</v>
      </c>
      <c r="F9" s="1" t="s">
        <v>57</v>
      </c>
      <c r="G9" s="1" t="s">
        <v>49</v>
      </c>
      <c r="H9" s="1" t="s">
        <v>65</v>
      </c>
      <c r="I9" s="1">
        <v>2</v>
      </c>
      <c r="J9" s="1">
        <v>1</v>
      </c>
      <c r="K9" s="1" t="s">
        <v>62</v>
      </c>
      <c r="L9" s="1" t="s">
        <v>19</v>
      </c>
      <c r="O9" s="1" t="s">
        <v>7</v>
      </c>
      <c r="P9" s="1">
        <v>1934</v>
      </c>
      <c r="Q9" s="12" t="s">
        <v>74</v>
      </c>
      <c r="R9" s="1" t="s">
        <v>65</v>
      </c>
      <c r="S9" s="1" t="s">
        <v>65</v>
      </c>
      <c r="V9" s="6" t="s">
        <v>227</v>
      </c>
      <c r="W9" s="6"/>
      <c r="X9" s="6"/>
      <c r="Y9" s="6" t="s">
        <v>227</v>
      </c>
      <c r="Z9"/>
      <c r="AA9"/>
      <c r="AB9" s="12" t="s">
        <v>123</v>
      </c>
      <c r="AC9" s="1" t="s">
        <v>605</v>
      </c>
      <c r="AE9" s="1" t="s">
        <v>33</v>
      </c>
      <c r="AF9" s="1">
        <v>11</v>
      </c>
    </row>
    <row r="10" spans="1:32" x14ac:dyDescent="0.2">
      <c r="A10" s="1">
        <v>1934</v>
      </c>
      <c r="B10" s="2" t="d">
        <v>2034-05-31</v>
      </c>
      <c r="C10" s="1" t="s">
        <v>45</v>
      </c>
      <c r="D10" s="12" t="s">
        <v>74</v>
      </c>
      <c r="E10" s="1" t="s">
        <v>63</v>
      </c>
      <c r="F10" s="1" t="s">
        <v>64</v>
      </c>
      <c r="G10" s="1" t="s">
        <v>49</v>
      </c>
      <c r="H10" s="1" t="s">
        <v>49</v>
      </c>
      <c r="I10" s="1">
        <v>1</v>
      </c>
      <c r="J10" s="1">
        <v>1</v>
      </c>
      <c r="K10" s="1" t="s">
        <v>68</v>
      </c>
      <c r="L10" s="1" t="s">
        <v>19</v>
      </c>
      <c r="O10" s="1" t="s">
        <v>7</v>
      </c>
      <c r="P10" s="1">
        <v>1934</v>
      </c>
      <c r="Q10" s="12" t="s">
        <v>74</v>
      </c>
      <c r="R10" s="1" t="s">
        <v>49</v>
      </c>
      <c r="S10" s="1" t="s">
        <v>49</v>
      </c>
      <c r="V10" s="6" t="s">
        <v>50</v>
      </c>
      <c r="W10" s="6"/>
      <c r="X10" s="6"/>
      <c r="Y10" s="6" t="s">
        <v>50</v>
      </c>
      <c r="Z10"/>
      <c r="AA10"/>
      <c r="AB10" s="12" t="s">
        <v>241</v>
      </c>
      <c r="AC10" s="1" t="s">
        <v>605</v>
      </c>
      <c r="AE10" s="1" t="s">
        <v>16</v>
      </c>
      <c r="AF10" s="1">
        <v>9</v>
      </c>
    </row>
    <row r="11" spans="1:32" x14ac:dyDescent="0.2">
      <c r="A11" s="1">
        <v>1934</v>
      </c>
      <c r="B11" s="2" t="d">
        <v>2034-05-31</v>
      </c>
      <c r="C11" s="1" t="s">
        <v>45</v>
      </c>
      <c r="D11" s="12" t="s">
        <v>74</v>
      </c>
      <c r="E11" s="1" t="s">
        <v>60</v>
      </c>
      <c r="F11" s="1" t="s">
        <v>61</v>
      </c>
      <c r="G11" s="1" t="s">
        <v>49</v>
      </c>
      <c r="H11" s="1" t="s">
        <v>50</v>
      </c>
      <c r="I11" s="1">
        <v>2</v>
      </c>
      <c r="J11" s="1">
        <v>1</v>
      </c>
      <c r="K11" s="1" t="s">
        <v>54</v>
      </c>
      <c r="L11" s="1" t="s">
        <v>19</v>
      </c>
      <c r="O11" s="1" t="s">
        <v>7</v>
      </c>
      <c r="P11" s="1">
        <v>1934</v>
      </c>
      <c r="Q11" s="12" t="s">
        <v>74</v>
      </c>
      <c r="R11" s="1" t="s">
        <v>50</v>
      </c>
      <c r="S11" s="1" t="s">
        <v>50</v>
      </c>
      <c r="V11" s="6" t="s">
        <v>23</v>
      </c>
      <c r="W11" s="6"/>
      <c r="X11" s="6"/>
      <c r="Y11" s="6" t="s">
        <v>23</v>
      </c>
      <c r="Z11"/>
      <c r="AA11"/>
      <c r="AB11" s="12" t="s">
        <v>242</v>
      </c>
      <c r="AC11" s="1" t="s">
        <v>605</v>
      </c>
      <c r="AE11" s="1" t="s">
        <v>59</v>
      </c>
      <c r="AF11" s="1">
        <v>8</v>
      </c>
    </row>
    <row r="12" spans="1:32" x14ac:dyDescent="0.2">
      <c r="A12" s="1">
        <v>1934</v>
      </c>
      <c r="B12" s="2" t="d">
        <v>2034-06-01</v>
      </c>
      <c r="C12" s="1" t="s">
        <v>45</v>
      </c>
      <c r="D12" s="12" t="s">
        <v>74</v>
      </c>
      <c r="E12" s="1" t="s">
        <v>63</v>
      </c>
      <c r="F12" s="1" t="s">
        <v>64</v>
      </c>
      <c r="G12" s="1" t="s">
        <v>49</v>
      </c>
      <c r="H12" s="1" t="s">
        <v>49</v>
      </c>
      <c r="I12" s="1">
        <v>1</v>
      </c>
      <c r="J12" s="1">
        <v>0</v>
      </c>
      <c r="K12" s="1" t="s">
        <v>68</v>
      </c>
      <c r="L12" s="1" t="s">
        <v>19</v>
      </c>
      <c r="O12" s="1" t="s">
        <v>7</v>
      </c>
      <c r="P12" s="1">
        <v>1934</v>
      </c>
      <c r="Q12" s="12" t="s">
        <v>74</v>
      </c>
      <c r="R12" s="1" t="s">
        <v>49</v>
      </c>
      <c r="S12" s="1" t="s">
        <v>49</v>
      </c>
      <c r="V12" s="17" t="s">
        <v>27</v>
      </c>
      <c r="W12" s="17"/>
      <c r="X12" s="17"/>
      <c r="Y12" s="6" t="s">
        <v>27</v>
      </c>
      <c r="Z12"/>
      <c r="AA12"/>
      <c r="AB12" s="12" t="s">
        <v>323</v>
      </c>
      <c r="AC12" s="15" t="s">
        <v>604</v>
      </c>
      <c r="AE12" s="1" t="s">
        <v>18</v>
      </c>
      <c r="AF12" s="1">
        <v>8</v>
      </c>
    </row>
    <row r="13" spans="1:32" x14ac:dyDescent="0.2">
      <c r="A13" s="1">
        <v>1934</v>
      </c>
      <c r="B13" s="2" t="d">
        <v>2034-06-03</v>
      </c>
      <c r="C13" s="1" t="s">
        <v>45</v>
      </c>
      <c r="D13" s="12" t="s">
        <v>42</v>
      </c>
      <c r="E13" s="1" t="s">
        <v>56</v>
      </c>
      <c r="F13" s="1" t="s">
        <v>57</v>
      </c>
      <c r="G13" s="1" t="s">
        <v>49</v>
      </c>
      <c r="H13" s="1" t="s">
        <v>49</v>
      </c>
      <c r="I13" s="1">
        <v>1</v>
      </c>
      <c r="J13" s="1">
        <v>0</v>
      </c>
      <c r="K13" s="1" t="s">
        <v>50</v>
      </c>
      <c r="L13" s="1" t="s">
        <v>19</v>
      </c>
      <c r="O13" s="1" t="s">
        <v>7</v>
      </c>
      <c r="P13" s="1">
        <v>1934</v>
      </c>
      <c r="Q13" s="12" t="s">
        <v>42</v>
      </c>
      <c r="R13" s="1" t="s">
        <v>49</v>
      </c>
      <c r="S13" s="1" t="s">
        <v>49</v>
      </c>
      <c r="V13" s="6" t="s">
        <v>182</v>
      </c>
      <c r="W13" s="6"/>
      <c r="X13" s="6"/>
      <c r="Y13" s="6" t="s">
        <v>182</v>
      </c>
      <c r="Z13"/>
      <c r="AA13"/>
      <c r="AB13" s="12" t="s">
        <v>452</v>
      </c>
      <c r="AC13" s="1" t="s">
        <v>605</v>
      </c>
      <c r="AE13" s="1" t="s">
        <v>68</v>
      </c>
      <c r="AF13" s="1">
        <v>8</v>
      </c>
    </row>
    <row r="14" spans="1:32" x14ac:dyDescent="0.2">
      <c r="A14" s="1">
        <v>1934</v>
      </c>
      <c r="B14" s="2" t="d">
        <v>2034-06-03</v>
      </c>
      <c r="C14" s="1" t="s">
        <v>45</v>
      </c>
      <c r="D14" s="12" t="s">
        <v>42</v>
      </c>
      <c r="E14" s="1" t="s">
        <v>69</v>
      </c>
      <c r="F14" s="1" t="s">
        <v>70</v>
      </c>
      <c r="G14" s="1" t="s">
        <v>49</v>
      </c>
      <c r="H14" s="1" t="s">
        <v>73</v>
      </c>
      <c r="I14" s="1">
        <v>3</v>
      </c>
      <c r="J14" s="1">
        <v>1</v>
      </c>
      <c r="K14" s="1" t="s">
        <v>65</v>
      </c>
      <c r="L14" s="1" t="s">
        <v>19</v>
      </c>
      <c r="O14" s="1" t="s">
        <v>7</v>
      </c>
      <c r="P14" s="1">
        <v>1934</v>
      </c>
      <c r="Q14" s="12" t="s">
        <v>42</v>
      </c>
      <c r="R14" s="1" t="s">
        <v>73</v>
      </c>
      <c r="S14" s="1" t="s">
        <v>73</v>
      </c>
      <c r="V14" s="6" t="s">
        <v>273</v>
      </c>
      <c r="W14" s="6"/>
      <c r="X14" s="6"/>
      <c r="Y14" s="6" t="s">
        <v>273</v>
      </c>
      <c r="Z14"/>
      <c r="AA14"/>
      <c r="AB14" s="12" t="s">
        <v>527</v>
      </c>
      <c r="AC14" s="1" t="s">
        <v>605</v>
      </c>
      <c r="AE14" s="1" t="s">
        <v>17</v>
      </c>
      <c r="AF14" s="1">
        <v>7</v>
      </c>
    </row>
    <row r="15" spans="1:32" x14ac:dyDescent="0.2">
      <c r="A15" s="1">
        <v>1934</v>
      </c>
      <c r="B15" s="2" t="d">
        <v>2034-06-07</v>
      </c>
      <c r="C15" s="1" t="s">
        <v>75</v>
      </c>
      <c r="D15" s="12" t="s">
        <v>76</v>
      </c>
      <c r="E15" s="1" t="s">
        <v>52</v>
      </c>
      <c r="F15" s="1" t="s">
        <v>53</v>
      </c>
      <c r="G15" s="1" t="s">
        <v>49</v>
      </c>
      <c r="H15" s="1" t="s">
        <v>65</v>
      </c>
      <c r="I15" s="1">
        <v>3</v>
      </c>
      <c r="J15" s="1">
        <v>2</v>
      </c>
      <c r="K15" s="1" t="s">
        <v>50</v>
      </c>
      <c r="L15" s="1" t="s">
        <v>19</v>
      </c>
      <c r="O15" s="1" t="s">
        <v>7</v>
      </c>
      <c r="P15" s="1">
        <v>1934</v>
      </c>
      <c r="Q15" s="12" t="s">
        <v>76</v>
      </c>
      <c r="R15" s="1" t="s">
        <v>65</v>
      </c>
      <c r="S15" s="1" t="s">
        <v>65</v>
      </c>
      <c r="V15" s="6" t="s">
        <v>35</v>
      </c>
      <c r="W15" s="6"/>
      <c r="X15" s="6"/>
      <c r="Y15" s="6" t="s">
        <v>35</v>
      </c>
      <c r="Z15"/>
      <c r="AA15"/>
      <c r="AE15" s="1" t="s">
        <v>26</v>
      </c>
      <c r="AF15" s="1">
        <v>7</v>
      </c>
    </row>
    <row r="16" spans="1:32" x14ac:dyDescent="0.2">
      <c r="A16" s="1">
        <v>1934</v>
      </c>
      <c r="B16" s="2" t="d">
        <v>2034-06-10</v>
      </c>
      <c r="C16" s="1" t="s">
        <v>77</v>
      </c>
      <c r="D16" s="12" t="s">
        <v>44</v>
      </c>
      <c r="E16" s="1" t="s">
        <v>69</v>
      </c>
      <c r="F16" s="1" t="s">
        <v>70</v>
      </c>
      <c r="G16" s="1" t="s">
        <v>49</v>
      </c>
      <c r="H16" s="1" t="s">
        <v>49</v>
      </c>
      <c r="I16" s="1">
        <v>2</v>
      </c>
      <c r="J16" s="1">
        <v>1</v>
      </c>
      <c r="K16" s="1" t="s">
        <v>73</v>
      </c>
      <c r="L16" s="1" t="s">
        <v>78</v>
      </c>
      <c r="O16" s="1" t="s">
        <v>7</v>
      </c>
      <c r="P16" s="1">
        <v>1934</v>
      </c>
      <c r="Q16" s="12" t="s">
        <v>44</v>
      </c>
      <c r="R16" s="1" t="s">
        <v>49</v>
      </c>
      <c r="S16" s="1" t="s">
        <v>49</v>
      </c>
      <c r="V16" s="6" t="s">
        <v>177</v>
      </c>
      <c r="W16" s="6"/>
      <c r="X16" s="6"/>
      <c r="Y16" s="6" t="s">
        <v>177</v>
      </c>
      <c r="Z16"/>
      <c r="AA16"/>
      <c r="AE16" s="1" t="s">
        <v>58</v>
      </c>
      <c r="AF16" s="1">
        <v>6</v>
      </c>
    </row>
    <row r="17" spans="1:32" x14ac:dyDescent="0.2">
      <c r="A17" s="1">
        <v>1938</v>
      </c>
      <c r="B17" s="2" t="d">
        <v>2038-06-12</v>
      </c>
      <c r="C17" s="1" t="s">
        <v>79</v>
      </c>
      <c r="D17" s="12" t="s">
        <v>74</v>
      </c>
      <c r="E17" s="1" t="s">
        <v>102</v>
      </c>
      <c r="F17" s="1" t="s">
        <v>103</v>
      </c>
      <c r="G17" s="1" t="s">
        <v>17</v>
      </c>
      <c r="H17" s="1" t="s">
        <v>27</v>
      </c>
      <c r="I17" s="1">
        <v>1</v>
      </c>
      <c r="J17" s="1">
        <v>1</v>
      </c>
      <c r="K17" s="1" t="s">
        <v>73</v>
      </c>
      <c r="L17" s="1" t="s">
        <v>19</v>
      </c>
      <c r="O17" s="1" t="s">
        <v>7</v>
      </c>
      <c r="P17" s="1">
        <v>1938</v>
      </c>
      <c r="Q17" s="12" t="s">
        <v>74</v>
      </c>
      <c r="R17" s="1" t="s">
        <v>27</v>
      </c>
      <c r="S17" s="1" t="s">
        <v>27</v>
      </c>
      <c r="V17" s="6" t="s">
        <v>337</v>
      </c>
      <c r="W17" s="6"/>
      <c r="X17" s="6"/>
      <c r="Y17" s="6" t="s">
        <v>337</v>
      </c>
      <c r="Z17"/>
      <c r="AA17"/>
      <c r="AE17" s="1" t="s">
        <v>62</v>
      </c>
      <c r="AF17" s="1">
        <v>8</v>
      </c>
    </row>
    <row r="18" spans="1:32" x14ac:dyDescent="0.2">
      <c r="A18" s="1">
        <v>1938</v>
      </c>
      <c r="B18" s="2" t="d">
        <v>2038-06-12</v>
      </c>
      <c r="C18" s="1" t="s">
        <v>79</v>
      </c>
      <c r="D18" s="12" t="s">
        <v>74</v>
      </c>
      <c r="E18" s="1" t="s">
        <v>104</v>
      </c>
      <c r="F18" s="1" t="s">
        <v>105</v>
      </c>
      <c r="G18" s="1" t="s">
        <v>17</v>
      </c>
      <c r="H18" s="1" t="s">
        <v>54</v>
      </c>
      <c r="I18" s="1">
        <v>2</v>
      </c>
      <c r="J18" s="1">
        <v>0</v>
      </c>
      <c r="K18" s="1" t="s">
        <v>58</v>
      </c>
      <c r="L18" s="1" t="s">
        <v>19</v>
      </c>
      <c r="O18" s="1" t="s">
        <v>7</v>
      </c>
      <c r="P18" s="1">
        <v>1938</v>
      </c>
      <c r="Q18" s="12" t="s">
        <v>74</v>
      </c>
      <c r="R18" s="1" t="s">
        <v>54</v>
      </c>
      <c r="S18" s="1" t="s">
        <v>54</v>
      </c>
      <c r="V18" s="6" t="s">
        <v>399</v>
      </c>
      <c r="W18" s="6"/>
      <c r="X18" s="6"/>
      <c r="Y18" s="6" t="s">
        <v>399</v>
      </c>
      <c r="Z18"/>
      <c r="AA18"/>
    </row>
    <row r="19" spans="1:32" x14ac:dyDescent="0.2">
      <c r="A19" s="1">
        <v>1938</v>
      </c>
      <c r="B19" s="2" t="d">
        <v>2038-06-12</v>
      </c>
      <c r="C19" s="1" t="s">
        <v>79</v>
      </c>
      <c r="D19" s="12" t="s">
        <v>74</v>
      </c>
      <c r="E19" s="1" t="s">
        <v>106</v>
      </c>
      <c r="F19" s="1" t="s">
        <v>107</v>
      </c>
      <c r="G19" s="1" t="s">
        <v>17</v>
      </c>
      <c r="H19" s="1" t="s">
        <v>62</v>
      </c>
      <c r="I19" s="1">
        <v>8</v>
      </c>
      <c r="J19" s="1">
        <v>0</v>
      </c>
      <c r="K19" s="1" t="s">
        <v>90</v>
      </c>
      <c r="L19" s="1" t="s">
        <v>19</v>
      </c>
      <c r="O19" s="1" t="s">
        <v>7</v>
      </c>
      <c r="P19" s="1">
        <v>1938</v>
      </c>
      <c r="Q19" s="12" t="s">
        <v>74</v>
      </c>
      <c r="R19" s="1" t="s">
        <v>62</v>
      </c>
      <c r="S19" s="1" t="s">
        <v>62</v>
      </c>
      <c r="V19" s="6" t="s">
        <v>90</v>
      </c>
      <c r="W19" s="6"/>
      <c r="X19" s="6"/>
      <c r="Y19" s="6" t="s">
        <v>90</v>
      </c>
      <c r="Z19"/>
      <c r="AA19"/>
      <c r="AE19" s="3" t="s">
        <v>614</v>
      </c>
    </row>
    <row r="20" spans="1:32" x14ac:dyDescent="0.2">
      <c r="A20" s="1">
        <v>1938</v>
      </c>
      <c r="B20" s="2" t="d">
        <v>2038-06-12</v>
      </c>
      <c r="C20" s="1" t="s">
        <v>79</v>
      </c>
      <c r="D20" s="12" t="s">
        <v>74</v>
      </c>
      <c r="E20" s="1" t="s">
        <v>86</v>
      </c>
      <c r="F20" s="1" t="s">
        <v>87</v>
      </c>
      <c r="G20" s="1" t="s">
        <v>17</v>
      </c>
      <c r="H20" s="1" t="s">
        <v>49</v>
      </c>
      <c r="I20" s="1">
        <v>3</v>
      </c>
      <c r="J20" s="1">
        <v>1</v>
      </c>
      <c r="K20" s="1" t="s">
        <v>17</v>
      </c>
      <c r="L20" s="1" t="s">
        <v>19</v>
      </c>
      <c r="O20" s="1" t="s">
        <v>7</v>
      </c>
      <c r="P20" s="1">
        <v>1938</v>
      </c>
      <c r="Q20" s="12" t="s">
        <v>74</v>
      </c>
      <c r="R20" s="1" t="s">
        <v>49</v>
      </c>
      <c r="S20" s="1" t="s">
        <v>49</v>
      </c>
      <c r="V20" s="6" t="s">
        <v>73</v>
      </c>
      <c r="W20" s="6"/>
      <c r="X20" s="6"/>
      <c r="Y20" s="6" t="s">
        <v>73</v>
      </c>
      <c r="Z20"/>
      <c r="AA20"/>
    </row>
    <row r="21" spans="1:32" x14ac:dyDescent="0.2">
      <c r="A21" s="1">
        <v>1938</v>
      </c>
      <c r="B21" s="2" t="d">
        <v>2038-06-14</v>
      </c>
      <c r="C21" s="1" t="s">
        <v>75</v>
      </c>
      <c r="D21" s="12" t="s">
        <v>74</v>
      </c>
      <c r="E21" s="1" t="s">
        <v>102</v>
      </c>
      <c r="F21" s="1" t="s">
        <v>103</v>
      </c>
      <c r="G21" s="1" t="s">
        <v>17</v>
      </c>
      <c r="H21" s="1" t="s">
        <v>27</v>
      </c>
      <c r="I21" s="1">
        <v>2</v>
      </c>
      <c r="J21" s="1">
        <v>1</v>
      </c>
      <c r="K21" s="1" t="s">
        <v>73</v>
      </c>
      <c r="L21" s="1" t="s">
        <v>19</v>
      </c>
      <c r="O21" s="1" t="s">
        <v>7</v>
      </c>
      <c r="P21" s="1">
        <v>1938</v>
      </c>
      <c r="Q21" s="12" t="s">
        <v>74</v>
      </c>
      <c r="R21" s="1" t="s">
        <v>27</v>
      </c>
      <c r="S21" s="1" t="s">
        <v>27</v>
      </c>
      <c r="V21" s="6" t="s">
        <v>320</v>
      </c>
      <c r="W21" s="6"/>
      <c r="X21" s="6"/>
      <c r="Y21" s="6" t="s">
        <v>320</v>
      </c>
      <c r="Z21"/>
      <c r="AA21"/>
      <c r="AE21" s="3" t="s">
        <v>543</v>
      </c>
      <c r="AF21" s="3" t="s">
        <v>607</v>
      </c>
    </row>
    <row r="22" spans="1:32" x14ac:dyDescent="0.2">
      <c r="A22" s="1">
        <v>1938</v>
      </c>
      <c r="B22" s="2" t="d">
        <v>2038-06-16</v>
      </c>
      <c r="C22" s="1" t="s">
        <v>75</v>
      </c>
      <c r="D22" s="12" t="s">
        <v>42</v>
      </c>
      <c r="E22" s="1" t="s">
        <v>81</v>
      </c>
      <c r="F22" s="1" t="s">
        <v>82</v>
      </c>
      <c r="G22" s="1" t="s">
        <v>17</v>
      </c>
      <c r="H22" s="1" t="s">
        <v>54</v>
      </c>
      <c r="I22" s="1">
        <v>5</v>
      </c>
      <c r="J22" s="1">
        <v>1</v>
      </c>
      <c r="K22" s="1" t="s">
        <v>62</v>
      </c>
      <c r="L22" s="1" t="s">
        <v>19</v>
      </c>
      <c r="O22" s="1" t="s">
        <v>7</v>
      </c>
      <c r="P22" s="1">
        <v>1938</v>
      </c>
      <c r="Q22" s="12" t="s">
        <v>42</v>
      </c>
      <c r="R22" s="1" t="s">
        <v>54</v>
      </c>
      <c r="S22" s="1" t="s">
        <v>54</v>
      </c>
      <c r="V22" s="6" t="s">
        <v>423</v>
      </c>
      <c r="W22" s="6"/>
      <c r="X22" s="6"/>
      <c r="Y22" s="6" t="s">
        <v>423</v>
      </c>
      <c r="Z22"/>
      <c r="AA22"/>
      <c r="AE22" s="1" t="s">
        <v>65</v>
      </c>
      <c r="AF22" s="1">
        <v>16</v>
      </c>
    </row>
    <row r="23" spans="1:32" x14ac:dyDescent="0.2">
      <c r="A23" s="1">
        <v>1938</v>
      </c>
      <c r="B23" s="2" t="d">
        <v>2038-06-16</v>
      </c>
      <c r="C23" s="1" t="s">
        <v>75</v>
      </c>
      <c r="D23" s="12" t="s">
        <v>42</v>
      </c>
      <c r="E23" s="1" t="s">
        <v>91</v>
      </c>
      <c r="F23" s="1" t="s">
        <v>92</v>
      </c>
      <c r="G23" s="1" t="s">
        <v>17</v>
      </c>
      <c r="H23" s="1" t="s">
        <v>49</v>
      </c>
      <c r="I23" s="1">
        <v>2</v>
      </c>
      <c r="J23" s="1">
        <v>1</v>
      </c>
      <c r="K23" s="1" t="s">
        <v>27</v>
      </c>
      <c r="L23" s="1" t="s">
        <v>19</v>
      </c>
      <c r="O23" s="1" t="s">
        <v>7</v>
      </c>
      <c r="P23" s="1">
        <v>1938</v>
      </c>
      <c r="Q23" s="12" t="s">
        <v>42</v>
      </c>
      <c r="R23" s="1" t="s">
        <v>49</v>
      </c>
      <c r="S23" s="1" t="s">
        <v>49</v>
      </c>
      <c r="V23" s="17" t="s">
        <v>110</v>
      </c>
      <c r="W23" s="17"/>
      <c r="X23" s="17"/>
      <c r="Y23" s="6" t="s">
        <v>110</v>
      </c>
      <c r="Z23"/>
      <c r="AA23"/>
      <c r="AE23" s="1" t="s">
        <v>27</v>
      </c>
      <c r="AF23" s="1">
        <v>13</v>
      </c>
    </row>
    <row r="24" spans="1:32" x14ac:dyDescent="0.2">
      <c r="A24" s="1">
        <v>1938</v>
      </c>
      <c r="B24" s="2" t="d">
        <v>2038-06-19</v>
      </c>
      <c r="C24" s="1" t="s">
        <v>79</v>
      </c>
      <c r="D24" s="12" t="s">
        <v>76</v>
      </c>
      <c r="E24" s="1" t="s">
        <v>102</v>
      </c>
      <c r="F24" s="1" t="s">
        <v>103</v>
      </c>
      <c r="G24" s="1" t="s">
        <v>17</v>
      </c>
      <c r="H24" s="1" t="s">
        <v>27</v>
      </c>
      <c r="I24" s="1">
        <v>4</v>
      </c>
      <c r="J24" s="1">
        <v>2</v>
      </c>
      <c r="K24" s="1" t="s">
        <v>62</v>
      </c>
      <c r="L24" s="1" t="s">
        <v>19</v>
      </c>
      <c r="O24" s="1" t="s">
        <v>7</v>
      </c>
      <c r="P24" s="1">
        <v>1938</v>
      </c>
      <c r="Q24" s="12" t="s">
        <v>76</v>
      </c>
      <c r="R24" s="1" t="s">
        <v>27</v>
      </c>
      <c r="S24" s="1" t="s">
        <v>27</v>
      </c>
      <c r="V24" s="17" t="s">
        <v>17</v>
      </c>
      <c r="W24" s="17"/>
      <c r="X24" s="17"/>
      <c r="Y24" s="6" t="s">
        <v>17</v>
      </c>
      <c r="Z24"/>
      <c r="AA24"/>
      <c r="AE24" s="1" t="s">
        <v>49</v>
      </c>
      <c r="AF24" s="1">
        <v>10</v>
      </c>
    </row>
    <row r="25" spans="1:32" x14ac:dyDescent="0.2">
      <c r="A25" s="1">
        <v>1938</v>
      </c>
      <c r="B25" s="2" t="d">
        <v>2038-06-19</v>
      </c>
      <c r="C25" s="1" t="s">
        <v>79</v>
      </c>
      <c r="D25" s="12" t="s">
        <v>44</v>
      </c>
      <c r="E25" s="1" t="s">
        <v>86</v>
      </c>
      <c r="F25" s="1" t="s">
        <v>87</v>
      </c>
      <c r="G25" s="1" t="s">
        <v>17</v>
      </c>
      <c r="H25" s="1" t="s">
        <v>49</v>
      </c>
      <c r="I25" s="1">
        <v>4</v>
      </c>
      <c r="J25" s="1">
        <v>2</v>
      </c>
      <c r="K25" s="1" t="s">
        <v>54</v>
      </c>
      <c r="L25" s="1" t="s">
        <v>19</v>
      </c>
      <c r="O25" s="1" t="s">
        <v>7</v>
      </c>
      <c r="P25" s="1">
        <v>1938</v>
      </c>
      <c r="Q25" s="12" t="s">
        <v>44</v>
      </c>
      <c r="R25" s="1" t="s">
        <v>49</v>
      </c>
      <c r="S25" s="1" t="s">
        <v>49</v>
      </c>
      <c r="V25" s="17" t="s">
        <v>65</v>
      </c>
      <c r="W25" s="17"/>
      <c r="X25" s="17"/>
      <c r="Y25" s="6" t="s">
        <v>65</v>
      </c>
      <c r="Z25"/>
      <c r="AA25"/>
      <c r="AE25" s="1" t="s">
        <v>110</v>
      </c>
      <c r="AF25" s="1">
        <v>10</v>
      </c>
    </row>
    <row r="26" spans="1:32" x14ac:dyDescent="0.2">
      <c r="A26" s="1">
        <v>1950</v>
      </c>
      <c r="B26" s="2" t="d">
        <v>1950-07-09</v>
      </c>
      <c r="C26" s="1" t="s">
        <v>12</v>
      </c>
      <c r="D26" s="12" t="s">
        <v>123</v>
      </c>
      <c r="E26" s="1" t="s">
        <v>113</v>
      </c>
      <c r="F26" s="1" t="s">
        <v>114</v>
      </c>
      <c r="G26" s="1" t="s">
        <v>27</v>
      </c>
      <c r="H26" s="1" t="s">
        <v>16</v>
      </c>
      <c r="I26" s="1">
        <v>2</v>
      </c>
      <c r="J26" s="1">
        <v>2</v>
      </c>
      <c r="K26" s="1" t="s">
        <v>68</v>
      </c>
      <c r="L26" s="1" t="s">
        <v>19</v>
      </c>
      <c r="O26" s="1" t="s">
        <v>7</v>
      </c>
      <c r="P26" s="1">
        <v>1950</v>
      </c>
      <c r="Q26" s="12" t="s">
        <v>123</v>
      </c>
      <c r="R26" s="1" t="s">
        <v>16</v>
      </c>
      <c r="S26" s="1" t="s">
        <v>16</v>
      </c>
      <c r="V26" s="6" t="s">
        <v>472</v>
      </c>
      <c r="W26" s="6"/>
      <c r="X26" s="6"/>
      <c r="Y26" s="6" t="s">
        <v>472</v>
      </c>
      <c r="Z26"/>
      <c r="AA26"/>
      <c r="AE26" s="1" t="s">
        <v>33</v>
      </c>
      <c r="AF26" s="1">
        <v>10</v>
      </c>
    </row>
    <row r="27" spans="1:32" x14ac:dyDescent="0.2">
      <c r="A27" s="1">
        <v>1950</v>
      </c>
      <c r="B27" s="2" t="d">
        <v>1950-07-09</v>
      </c>
      <c r="C27" s="1" t="s">
        <v>12</v>
      </c>
      <c r="D27" s="12" t="s">
        <v>123</v>
      </c>
      <c r="E27" s="1" t="s">
        <v>108</v>
      </c>
      <c r="F27" s="1" t="s">
        <v>109</v>
      </c>
      <c r="G27" s="1" t="s">
        <v>27</v>
      </c>
      <c r="H27" s="1" t="s">
        <v>27</v>
      </c>
      <c r="I27" s="1">
        <v>7</v>
      </c>
      <c r="J27" s="1">
        <v>1</v>
      </c>
      <c r="K27" s="1" t="s">
        <v>62</v>
      </c>
      <c r="L27" s="1" t="s">
        <v>19</v>
      </c>
      <c r="O27" s="1" t="s">
        <v>7</v>
      </c>
      <c r="P27" s="1">
        <v>1950</v>
      </c>
      <c r="Q27" s="12" t="s">
        <v>123</v>
      </c>
      <c r="R27" s="1" t="s">
        <v>27</v>
      </c>
      <c r="S27" s="1" t="s">
        <v>27</v>
      </c>
      <c r="V27" s="6" t="s">
        <v>377</v>
      </c>
      <c r="W27" s="6"/>
      <c r="X27" s="6"/>
      <c r="Y27" s="6" t="s">
        <v>377</v>
      </c>
      <c r="Z27"/>
      <c r="AA27"/>
      <c r="AE27" s="1" t="s">
        <v>16</v>
      </c>
      <c r="AF27" s="1">
        <v>8</v>
      </c>
    </row>
    <row r="28" spans="1:32" x14ac:dyDescent="0.2">
      <c r="A28" s="1">
        <v>1950</v>
      </c>
      <c r="B28" s="2" t="d">
        <v>1950-07-13</v>
      </c>
      <c r="C28" s="1" t="s">
        <v>12</v>
      </c>
      <c r="D28" s="12" t="s">
        <v>123</v>
      </c>
      <c r="E28" s="1" t="s">
        <v>108</v>
      </c>
      <c r="F28" s="1" t="s">
        <v>109</v>
      </c>
      <c r="G28" s="1" t="s">
        <v>27</v>
      </c>
      <c r="H28" s="1" t="s">
        <v>27</v>
      </c>
      <c r="I28" s="1">
        <v>6</v>
      </c>
      <c r="J28" s="1">
        <v>1</v>
      </c>
      <c r="K28" s="1" t="s">
        <v>68</v>
      </c>
      <c r="L28" s="1" t="s">
        <v>19</v>
      </c>
      <c r="O28" s="1" t="s">
        <v>7</v>
      </c>
      <c r="P28" s="1">
        <v>1950</v>
      </c>
      <c r="Q28" s="12" t="s">
        <v>123</v>
      </c>
      <c r="R28" s="1" t="s">
        <v>27</v>
      </c>
      <c r="S28" s="1" t="s">
        <v>27</v>
      </c>
      <c r="V28" s="6" t="s">
        <v>54</v>
      </c>
      <c r="W28" s="6"/>
      <c r="X28" s="6"/>
      <c r="Y28" s="6" t="s">
        <v>54</v>
      </c>
      <c r="Z28"/>
      <c r="AA28"/>
      <c r="AE28" s="1" t="s">
        <v>59</v>
      </c>
      <c r="AF28" s="1">
        <v>8</v>
      </c>
    </row>
    <row r="29" spans="1:32" x14ac:dyDescent="0.2">
      <c r="A29" s="1">
        <v>1950</v>
      </c>
      <c r="B29" s="2" t="d">
        <v>1950-07-13</v>
      </c>
      <c r="C29" s="1" t="s">
        <v>12</v>
      </c>
      <c r="D29" s="12" t="s">
        <v>123</v>
      </c>
      <c r="E29" s="1" t="s">
        <v>113</v>
      </c>
      <c r="F29" s="1" t="s">
        <v>114</v>
      </c>
      <c r="G29" s="1" t="s">
        <v>27</v>
      </c>
      <c r="H29" s="1" t="s">
        <v>16</v>
      </c>
      <c r="I29" s="1">
        <v>3</v>
      </c>
      <c r="J29" s="1">
        <v>2</v>
      </c>
      <c r="K29" s="1" t="s">
        <v>62</v>
      </c>
      <c r="L29" s="1" t="s">
        <v>19</v>
      </c>
      <c r="O29" s="1" t="s">
        <v>7</v>
      </c>
      <c r="P29" s="1">
        <v>1950</v>
      </c>
      <c r="Q29" s="12" t="s">
        <v>123</v>
      </c>
      <c r="R29" s="1" t="s">
        <v>16</v>
      </c>
      <c r="S29" s="1" t="s">
        <v>16</v>
      </c>
      <c r="V29" s="17" t="s">
        <v>49</v>
      </c>
      <c r="W29" s="17"/>
      <c r="X29" s="17"/>
      <c r="Y29" s="6" t="s">
        <v>49</v>
      </c>
      <c r="Z29"/>
      <c r="AA29"/>
      <c r="AE29" s="1" t="s">
        <v>18</v>
      </c>
      <c r="AF29" s="1">
        <v>8</v>
      </c>
    </row>
    <row r="30" spans="1:32" x14ac:dyDescent="0.2">
      <c r="A30" s="1">
        <v>1950</v>
      </c>
      <c r="B30" s="2" t="d">
        <v>1950-07-16</v>
      </c>
      <c r="C30" s="1" t="s">
        <v>12</v>
      </c>
      <c r="D30" s="12" t="s">
        <v>123</v>
      </c>
      <c r="E30" s="1" t="s">
        <v>113</v>
      </c>
      <c r="F30" s="1" t="s">
        <v>114</v>
      </c>
      <c r="G30" s="1" t="s">
        <v>27</v>
      </c>
      <c r="H30" s="1" t="s">
        <v>62</v>
      </c>
      <c r="I30" s="1">
        <v>3</v>
      </c>
      <c r="J30" s="1">
        <v>1</v>
      </c>
      <c r="K30" s="1" t="s">
        <v>68</v>
      </c>
      <c r="L30" s="1" t="s">
        <v>19</v>
      </c>
      <c r="O30" s="1" t="s">
        <v>7</v>
      </c>
      <c r="P30" s="1">
        <v>1950</v>
      </c>
      <c r="Q30" s="12" t="s">
        <v>123</v>
      </c>
      <c r="R30" s="1" t="s">
        <v>62</v>
      </c>
      <c r="S30" s="1" t="s">
        <v>62</v>
      </c>
      <c r="V30" s="6" t="s">
        <v>395</v>
      </c>
      <c r="W30" s="6"/>
      <c r="X30" s="6"/>
      <c r="Y30" s="6" t="s">
        <v>395</v>
      </c>
      <c r="Z30"/>
      <c r="AA30"/>
      <c r="AE30" s="1" t="s">
        <v>68</v>
      </c>
      <c r="AF30" s="1">
        <v>7</v>
      </c>
    </row>
    <row r="31" spans="1:32" x14ac:dyDescent="0.2">
      <c r="A31" s="1">
        <v>1950</v>
      </c>
      <c r="B31" s="2" t="d">
        <v>1950-07-16</v>
      </c>
      <c r="C31" s="1" t="s">
        <v>12</v>
      </c>
      <c r="D31" s="12" t="s">
        <v>123</v>
      </c>
      <c r="E31" s="1" t="s">
        <v>108</v>
      </c>
      <c r="F31" s="1" t="s">
        <v>109</v>
      </c>
      <c r="G31" s="1" t="s">
        <v>27</v>
      </c>
      <c r="H31" s="1" t="s">
        <v>16</v>
      </c>
      <c r="I31" s="1">
        <v>2</v>
      </c>
      <c r="J31" s="1">
        <v>1</v>
      </c>
      <c r="K31" s="1" t="s">
        <v>27</v>
      </c>
      <c r="L31" s="1" t="s">
        <v>19</v>
      </c>
      <c r="O31" s="1" t="s">
        <v>7</v>
      </c>
      <c r="P31" s="1">
        <v>1950</v>
      </c>
      <c r="Q31" s="12" t="s">
        <v>123</v>
      </c>
      <c r="R31" s="1" t="s">
        <v>16</v>
      </c>
      <c r="S31" s="1" t="s">
        <v>16</v>
      </c>
      <c r="V31" s="6" t="s">
        <v>194</v>
      </c>
      <c r="W31" s="6"/>
      <c r="X31" s="6"/>
      <c r="Y31" s="6" t="s">
        <v>194</v>
      </c>
      <c r="Z31"/>
      <c r="AA31"/>
      <c r="AE31" s="1" t="s">
        <v>17</v>
      </c>
      <c r="AF31" s="1">
        <v>7</v>
      </c>
    </row>
    <row r="32" spans="1:32" x14ac:dyDescent="0.2">
      <c r="A32" s="1">
        <v>1954</v>
      </c>
      <c r="B32" s="2" t="d">
        <v>1954-06-26</v>
      </c>
      <c r="C32" s="1" t="s">
        <v>79</v>
      </c>
      <c r="D32" s="12" t="s">
        <v>74</v>
      </c>
      <c r="E32" s="1" t="s">
        <v>137</v>
      </c>
      <c r="F32" s="1" t="s">
        <v>138</v>
      </c>
      <c r="G32" s="1" t="s">
        <v>58</v>
      </c>
      <c r="H32" s="1" t="s">
        <v>16</v>
      </c>
      <c r="I32" s="1">
        <v>4</v>
      </c>
      <c r="J32" s="1">
        <v>2</v>
      </c>
      <c r="K32" s="1" t="s">
        <v>110</v>
      </c>
      <c r="L32" s="1" t="s">
        <v>19</v>
      </c>
      <c r="O32" s="1" t="s">
        <v>7</v>
      </c>
      <c r="P32" s="1">
        <v>1954</v>
      </c>
      <c r="Q32" s="12" t="s">
        <v>74</v>
      </c>
      <c r="R32" s="1" t="s">
        <v>16</v>
      </c>
      <c r="S32" s="1" t="s">
        <v>16</v>
      </c>
      <c r="V32" s="6" t="s">
        <v>135</v>
      </c>
      <c r="W32" s="6"/>
      <c r="X32" s="6"/>
      <c r="Y32" s="6" t="s">
        <v>135</v>
      </c>
      <c r="Z32"/>
      <c r="AA32"/>
      <c r="AE32" s="1" t="s">
        <v>26</v>
      </c>
      <c r="AF32" s="1">
        <v>6</v>
      </c>
    </row>
    <row r="33" spans="1:32" x14ac:dyDescent="0.2">
      <c r="A33" s="1">
        <v>1954</v>
      </c>
      <c r="B33" s="2" t="d">
        <v>1954-06-26</v>
      </c>
      <c r="C33" s="1" t="s">
        <v>79</v>
      </c>
      <c r="D33" s="12" t="s">
        <v>74</v>
      </c>
      <c r="E33" s="1" t="s">
        <v>131</v>
      </c>
      <c r="F33" s="1" t="s">
        <v>132</v>
      </c>
      <c r="G33" s="1" t="s">
        <v>58</v>
      </c>
      <c r="H33" s="1" t="s">
        <v>50</v>
      </c>
      <c r="I33" s="1">
        <v>7</v>
      </c>
      <c r="J33" s="1">
        <v>5</v>
      </c>
      <c r="K33" s="1" t="s">
        <v>58</v>
      </c>
      <c r="L33" s="1" t="s">
        <v>19</v>
      </c>
      <c r="O33" s="1" t="s">
        <v>7</v>
      </c>
      <c r="P33" s="1">
        <v>1954</v>
      </c>
      <c r="Q33" s="12" t="s">
        <v>74</v>
      </c>
      <c r="R33" s="1" t="s">
        <v>50</v>
      </c>
      <c r="S33" s="1" t="s">
        <v>50</v>
      </c>
      <c r="V33" s="6" t="s">
        <v>18</v>
      </c>
      <c r="W33" s="6"/>
      <c r="X33" s="6"/>
      <c r="Y33" s="6" t="s">
        <v>18</v>
      </c>
      <c r="Z33"/>
      <c r="AA33"/>
      <c r="AE33" s="1" t="s">
        <v>58</v>
      </c>
      <c r="AF33" s="1">
        <v>6</v>
      </c>
    </row>
    <row r="34" spans="1:32" x14ac:dyDescent="0.2">
      <c r="A34" s="1">
        <v>1954</v>
      </c>
      <c r="B34" s="2" t="d">
        <v>1954-06-27</v>
      </c>
      <c r="C34" s="1" t="s">
        <v>79</v>
      </c>
      <c r="D34" s="12" t="s">
        <v>74</v>
      </c>
      <c r="E34" s="1" t="s">
        <v>129</v>
      </c>
      <c r="F34" s="1" t="s">
        <v>130</v>
      </c>
      <c r="G34" s="1" t="s">
        <v>58</v>
      </c>
      <c r="H34" s="1" t="s">
        <v>133</v>
      </c>
      <c r="I34" s="1">
        <v>2</v>
      </c>
      <c r="J34" s="1">
        <v>0</v>
      </c>
      <c r="K34" s="1" t="s">
        <v>26</v>
      </c>
      <c r="L34" s="1" t="s">
        <v>19</v>
      </c>
      <c r="O34" s="1" t="s">
        <v>7</v>
      </c>
      <c r="P34" s="1">
        <v>1954</v>
      </c>
      <c r="Q34" s="12" t="s">
        <v>74</v>
      </c>
      <c r="R34" s="1" t="s">
        <v>133</v>
      </c>
      <c r="S34" s="1" t="s">
        <v>65</v>
      </c>
      <c r="V34" s="6" t="s">
        <v>216</v>
      </c>
      <c r="W34" s="6"/>
      <c r="X34" s="6"/>
      <c r="Y34" s="6" t="s">
        <v>216</v>
      </c>
      <c r="Z34"/>
      <c r="AA34"/>
      <c r="AE34" s="1" t="s">
        <v>62</v>
      </c>
      <c r="AF34" s="1">
        <v>6</v>
      </c>
    </row>
    <row r="35" spans="1:32" x14ac:dyDescent="0.2">
      <c r="A35" s="1">
        <v>1954</v>
      </c>
      <c r="B35" s="2" t="d">
        <v>1954-06-27</v>
      </c>
      <c r="C35" s="1" t="s">
        <v>79</v>
      </c>
      <c r="D35" s="12" t="s">
        <v>74</v>
      </c>
      <c r="E35" s="1" t="s">
        <v>124</v>
      </c>
      <c r="F35" s="1" t="s">
        <v>125</v>
      </c>
      <c r="G35" s="1" t="s">
        <v>58</v>
      </c>
      <c r="H35" s="1" t="s">
        <v>54</v>
      </c>
      <c r="I35" s="1">
        <v>4</v>
      </c>
      <c r="J35" s="1">
        <v>2</v>
      </c>
      <c r="K35" s="1" t="s">
        <v>27</v>
      </c>
      <c r="L35" s="1" t="s">
        <v>19</v>
      </c>
      <c r="O35" s="1" t="s">
        <v>7</v>
      </c>
      <c r="P35" s="1">
        <v>1954</v>
      </c>
      <c r="Q35" s="12" t="s">
        <v>74</v>
      </c>
      <c r="R35" s="1" t="s">
        <v>54</v>
      </c>
      <c r="S35" s="1" t="s">
        <v>54</v>
      </c>
      <c r="V35" s="17" t="s">
        <v>59</v>
      </c>
      <c r="W35" s="17"/>
      <c r="X35" s="17"/>
      <c r="Y35" s="6" t="s">
        <v>59</v>
      </c>
      <c r="Z35"/>
      <c r="AA35"/>
    </row>
    <row r="36" spans="1:32" x14ac:dyDescent="0.2">
      <c r="A36" s="1">
        <v>1954</v>
      </c>
      <c r="B36" s="2" t="d">
        <v>1954-06-30</v>
      </c>
      <c r="C36" s="1" t="s">
        <v>75</v>
      </c>
      <c r="D36" s="12" t="s">
        <v>42</v>
      </c>
      <c r="E36" s="1" t="s">
        <v>137</v>
      </c>
      <c r="F36" s="1" t="s">
        <v>138</v>
      </c>
      <c r="G36" s="1" t="s">
        <v>58</v>
      </c>
      <c r="H36" s="1" t="s">
        <v>133</v>
      </c>
      <c r="I36" s="1">
        <v>6</v>
      </c>
      <c r="J36" s="1">
        <v>1</v>
      </c>
      <c r="K36" s="1" t="s">
        <v>50</v>
      </c>
      <c r="L36" s="1" t="s">
        <v>19</v>
      </c>
      <c r="O36" s="1" t="s">
        <v>7</v>
      </c>
      <c r="P36" s="1">
        <v>1954</v>
      </c>
      <c r="Q36" s="12" t="s">
        <v>42</v>
      </c>
      <c r="R36" s="1" t="s">
        <v>133</v>
      </c>
      <c r="S36" s="1" t="s">
        <v>65</v>
      </c>
      <c r="V36" s="6" t="s">
        <v>378</v>
      </c>
      <c r="W36" s="6"/>
      <c r="X36" s="6"/>
      <c r="Y36" s="6" t="s">
        <v>378</v>
      </c>
      <c r="Z36"/>
      <c r="AA36"/>
    </row>
    <row r="37" spans="1:32" x14ac:dyDescent="0.2">
      <c r="A37" s="1">
        <v>1954</v>
      </c>
      <c r="B37" s="2" t="d">
        <v>1954-06-30</v>
      </c>
      <c r="C37" s="1" t="s">
        <v>75</v>
      </c>
      <c r="D37" s="12" t="s">
        <v>42</v>
      </c>
      <c r="E37" s="1" t="s">
        <v>131</v>
      </c>
      <c r="F37" s="1" t="s">
        <v>132</v>
      </c>
      <c r="G37" s="1" t="s">
        <v>58</v>
      </c>
      <c r="H37" s="1" t="s">
        <v>54</v>
      </c>
      <c r="I37" s="1">
        <v>4</v>
      </c>
      <c r="J37" s="1">
        <v>2</v>
      </c>
      <c r="K37" s="1" t="s">
        <v>16</v>
      </c>
      <c r="L37" s="1" t="s">
        <v>144</v>
      </c>
      <c r="O37" s="1" t="s">
        <v>7</v>
      </c>
      <c r="P37" s="1">
        <v>1954</v>
      </c>
      <c r="Q37" s="12" t="s">
        <v>42</v>
      </c>
      <c r="R37" s="1" t="s">
        <v>54</v>
      </c>
      <c r="S37" s="1" t="s">
        <v>54</v>
      </c>
      <c r="V37" s="6" t="s">
        <v>165</v>
      </c>
      <c r="W37" s="6"/>
      <c r="X37" s="6"/>
      <c r="Y37" s="6" t="s">
        <v>165</v>
      </c>
      <c r="Z37"/>
      <c r="AA37"/>
    </row>
    <row r="38" spans="1:32" x14ac:dyDescent="0.2">
      <c r="A38" s="1">
        <v>1954</v>
      </c>
      <c r="B38" s="2" t="d">
        <v>1954-07-03</v>
      </c>
      <c r="C38" s="1" t="s">
        <v>79</v>
      </c>
      <c r="D38" s="12" t="s">
        <v>76</v>
      </c>
      <c r="E38" s="1" t="s">
        <v>126</v>
      </c>
      <c r="F38" s="1" t="s">
        <v>127</v>
      </c>
      <c r="G38" s="1" t="s">
        <v>58</v>
      </c>
      <c r="H38" s="1" t="s">
        <v>50</v>
      </c>
      <c r="I38" s="1">
        <v>3</v>
      </c>
      <c r="J38" s="1">
        <v>1</v>
      </c>
      <c r="K38" s="1" t="s">
        <v>16</v>
      </c>
      <c r="L38" s="1" t="s">
        <v>19</v>
      </c>
      <c r="O38" s="1" t="s">
        <v>7</v>
      </c>
      <c r="P38" s="1">
        <v>1954</v>
      </c>
      <c r="Q38" s="12" t="s">
        <v>76</v>
      </c>
      <c r="R38" s="1" t="s">
        <v>50</v>
      </c>
      <c r="S38" s="1" t="s">
        <v>50</v>
      </c>
      <c r="V38" s="6" t="s">
        <v>93</v>
      </c>
      <c r="W38" s="6"/>
      <c r="X38" s="6"/>
      <c r="Y38" s="6" t="s">
        <v>93</v>
      </c>
      <c r="Z38"/>
      <c r="AA38"/>
    </row>
    <row r="39" spans="1:32" x14ac:dyDescent="0.2">
      <c r="A39" s="1">
        <v>1954</v>
      </c>
      <c r="B39" s="2" t="d">
        <v>1954-07-04</v>
      </c>
      <c r="C39" s="1" t="s">
        <v>79</v>
      </c>
      <c r="D39" s="12" t="s">
        <v>44</v>
      </c>
      <c r="E39" s="1" t="s">
        <v>124</v>
      </c>
      <c r="F39" s="1" t="s">
        <v>125</v>
      </c>
      <c r="G39" s="1" t="s">
        <v>58</v>
      </c>
      <c r="H39" s="1" t="s">
        <v>133</v>
      </c>
      <c r="I39" s="1">
        <v>3</v>
      </c>
      <c r="J39" s="1">
        <v>2</v>
      </c>
      <c r="K39" s="1" t="s">
        <v>54</v>
      </c>
      <c r="L39" s="1" t="s">
        <v>19</v>
      </c>
      <c r="O39" s="1" t="s">
        <v>7</v>
      </c>
      <c r="P39" s="1">
        <v>1954</v>
      </c>
      <c r="Q39" s="12" t="s">
        <v>44</v>
      </c>
      <c r="R39" s="1" t="s">
        <v>133</v>
      </c>
      <c r="S39" s="1" t="s">
        <v>65</v>
      </c>
      <c r="V39" s="6" t="s">
        <v>37</v>
      </c>
      <c r="W39" s="6"/>
      <c r="X39" s="6"/>
      <c r="Y39" s="6" t="s">
        <v>37</v>
      </c>
      <c r="Z39"/>
      <c r="AA39"/>
    </row>
    <row r="40" spans="1:32" x14ac:dyDescent="0.2">
      <c r="A40" s="1">
        <v>1958</v>
      </c>
      <c r="B40" s="2" t="d">
        <v>1958-06-19</v>
      </c>
      <c r="C40" s="1" t="s">
        <v>148</v>
      </c>
      <c r="D40" s="12" t="s">
        <v>74</v>
      </c>
      <c r="E40" s="1" t="s">
        <v>149</v>
      </c>
      <c r="F40" s="1" t="s">
        <v>150</v>
      </c>
      <c r="G40" s="1" t="s">
        <v>62</v>
      </c>
      <c r="H40" s="1" t="s">
        <v>27</v>
      </c>
      <c r="I40" s="1">
        <v>1</v>
      </c>
      <c r="J40" s="1">
        <v>0</v>
      </c>
      <c r="K40" s="1" t="s">
        <v>156</v>
      </c>
      <c r="L40" s="1" t="s">
        <v>19</v>
      </c>
      <c r="O40" s="1" t="s">
        <v>7</v>
      </c>
      <c r="P40" s="1">
        <v>1958</v>
      </c>
      <c r="Q40" s="12" t="s">
        <v>74</v>
      </c>
      <c r="R40" s="1" t="s">
        <v>27</v>
      </c>
      <c r="S40" s="1" t="s">
        <v>27</v>
      </c>
      <c r="V40" s="6" t="s">
        <v>31</v>
      </c>
      <c r="W40" s="6"/>
      <c r="X40" s="6"/>
      <c r="Y40" s="6" t="s">
        <v>31</v>
      </c>
      <c r="Z40"/>
      <c r="AA40"/>
    </row>
    <row r="41" spans="1:32" x14ac:dyDescent="0.2">
      <c r="A41" s="1">
        <v>1958</v>
      </c>
      <c r="B41" s="2" t="d">
        <v>1958-06-19</v>
      </c>
      <c r="C41" s="1" t="s">
        <v>148</v>
      </c>
      <c r="D41" s="12" t="s">
        <v>74</v>
      </c>
      <c r="E41" s="1" t="s">
        <v>152</v>
      </c>
      <c r="F41" s="1" t="s">
        <v>153</v>
      </c>
      <c r="G41" s="1" t="s">
        <v>62</v>
      </c>
      <c r="H41" s="1" t="s">
        <v>133</v>
      </c>
      <c r="I41" s="1">
        <v>1</v>
      </c>
      <c r="J41" s="1">
        <v>0</v>
      </c>
      <c r="K41" s="1" t="s">
        <v>26</v>
      </c>
      <c r="L41" s="1" t="s">
        <v>19</v>
      </c>
      <c r="O41" s="1" t="s">
        <v>7</v>
      </c>
      <c r="P41" s="1">
        <v>1958</v>
      </c>
      <c r="Q41" s="12" t="s">
        <v>74</v>
      </c>
      <c r="R41" s="1" t="s">
        <v>133</v>
      </c>
      <c r="S41" s="1" t="s">
        <v>65</v>
      </c>
      <c r="V41" s="6" t="s">
        <v>96</v>
      </c>
      <c r="W41" s="6"/>
      <c r="X41" s="6"/>
      <c r="Y41" s="6" t="s">
        <v>96</v>
      </c>
      <c r="Z41"/>
      <c r="AA41"/>
    </row>
    <row r="42" spans="1:32" x14ac:dyDescent="0.2">
      <c r="A42" s="1">
        <v>1958</v>
      </c>
      <c r="B42" s="2" t="d">
        <v>1958-06-19</v>
      </c>
      <c r="C42" s="1" t="s">
        <v>148</v>
      </c>
      <c r="D42" s="12" t="s">
        <v>74</v>
      </c>
      <c r="E42" s="1" t="s">
        <v>146</v>
      </c>
      <c r="F42" s="1" t="s">
        <v>147</v>
      </c>
      <c r="G42" s="1" t="s">
        <v>62</v>
      </c>
      <c r="H42" s="1" t="s">
        <v>62</v>
      </c>
      <c r="I42" s="1">
        <v>2</v>
      </c>
      <c r="J42" s="1">
        <v>0</v>
      </c>
      <c r="K42" s="1" t="s">
        <v>151</v>
      </c>
      <c r="L42" s="1" t="s">
        <v>19</v>
      </c>
      <c r="O42" s="1" t="s">
        <v>7</v>
      </c>
      <c r="P42" s="1">
        <v>1958</v>
      </c>
      <c r="Q42" s="12" t="s">
        <v>74</v>
      </c>
      <c r="R42" s="1" t="s">
        <v>62</v>
      </c>
      <c r="S42" s="1" t="s">
        <v>62</v>
      </c>
      <c r="V42" s="6" t="s">
        <v>197</v>
      </c>
      <c r="W42" s="6"/>
      <c r="X42" s="6"/>
      <c r="Y42" s="6" t="s">
        <v>197</v>
      </c>
      <c r="Z42"/>
      <c r="AA42"/>
    </row>
    <row r="43" spans="1:32" x14ac:dyDescent="0.2">
      <c r="A43" s="1">
        <v>1958</v>
      </c>
      <c r="B43" s="2" t="d">
        <v>1958-06-19</v>
      </c>
      <c r="C43" s="1" t="s">
        <v>148</v>
      </c>
      <c r="D43" s="12" t="s">
        <v>74</v>
      </c>
      <c r="E43" s="1" t="s">
        <v>157</v>
      </c>
      <c r="F43" s="1" t="s">
        <v>158</v>
      </c>
      <c r="G43" s="1" t="s">
        <v>62</v>
      </c>
      <c r="H43" s="1" t="s">
        <v>17</v>
      </c>
      <c r="I43" s="1">
        <v>4</v>
      </c>
      <c r="J43" s="1">
        <v>0</v>
      </c>
      <c r="K43" s="1" t="s">
        <v>165</v>
      </c>
      <c r="L43" s="1" t="s">
        <v>19</v>
      </c>
      <c r="O43" s="1" t="s">
        <v>7</v>
      </c>
      <c r="P43" s="1">
        <v>1958</v>
      </c>
      <c r="Q43" s="12" t="s">
        <v>74</v>
      </c>
      <c r="R43" s="1" t="s">
        <v>17</v>
      </c>
      <c r="S43" s="1" t="s">
        <v>17</v>
      </c>
      <c r="V43" s="6" t="s">
        <v>340</v>
      </c>
      <c r="W43" s="6"/>
      <c r="X43" s="6"/>
      <c r="Y43" s="6" t="s">
        <v>340</v>
      </c>
      <c r="Z43"/>
      <c r="AA43"/>
    </row>
    <row r="44" spans="1:32" x14ac:dyDescent="0.2">
      <c r="A44" s="1">
        <v>1958</v>
      </c>
      <c r="B44" s="2" t="d">
        <v>1958-06-24</v>
      </c>
      <c r="C44" s="1" t="s">
        <v>148</v>
      </c>
      <c r="D44" s="12" t="s">
        <v>42</v>
      </c>
      <c r="E44" s="1" t="s">
        <v>149</v>
      </c>
      <c r="F44" s="1" t="s">
        <v>150</v>
      </c>
      <c r="G44" s="1" t="s">
        <v>62</v>
      </c>
      <c r="H44" s="1" t="s">
        <v>62</v>
      </c>
      <c r="I44" s="1">
        <v>3</v>
      </c>
      <c r="J44" s="1">
        <v>1</v>
      </c>
      <c r="K44" s="1" t="s">
        <v>133</v>
      </c>
      <c r="L44" s="1" t="s">
        <v>19</v>
      </c>
      <c r="O44" s="1" t="s">
        <v>7</v>
      </c>
      <c r="P44" s="1">
        <v>1958</v>
      </c>
      <c r="Q44" s="12" t="s">
        <v>42</v>
      </c>
      <c r="R44" s="1" t="s">
        <v>62</v>
      </c>
      <c r="S44" s="1" t="s">
        <v>62</v>
      </c>
      <c r="V44" s="6" t="s">
        <v>30</v>
      </c>
      <c r="W44" s="6"/>
      <c r="X44" s="6"/>
      <c r="Y44" s="6" t="s">
        <v>30</v>
      </c>
      <c r="Z44"/>
      <c r="AA44"/>
    </row>
    <row r="45" spans="1:32" x14ac:dyDescent="0.2">
      <c r="A45" s="1">
        <v>1958</v>
      </c>
      <c r="B45" s="2" t="d">
        <v>1958-06-24</v>
      </c>
      <c r="C45" s="1" t="s">
        <v>148</v>
      </c>
      <c r="D45" s="12" t="s">
        <v>42</v>
      </c>
      <c r="E45" s="1" t="s">
        <v>146</v>
      </c>
      <c r="F45" s="1" t="s">
        <v>147</v>
      </c>
      <c r="G45" s="1" t="s">
        <v>62</v>
      </c>
      <c r="H45" s="1" t="s">
        <v>27</v>
      </c>
      <c r="I45" s="1">
        <v>5</v>
      </c>
      <c r="J45" s="1">
        <v>2</v>
      </c>
      <c r="K45" s="1" t="s">
        <v>17</v>
      </c>
      <c r="L45" s="1" t="s">
        <v>19</v>
      </c>
      <c r="O45" s="1" t="s">
        <v>7</v>
      </c>
      <c r="P45" s="1">
        <v>1958</v>
      </c>
      <c r="Q45" s="12" t="s">
        <v>42</v>
      </c>
      <c r="R45" s="1" t="s">
        <v>27</v>
      </c>
      <c r="S45" s="1" t="s">
        <v>27</v>
      </c>
      <c r="V45" s="6" t="s">
        <v>371</v>
      </c>
      <c r="W45" s="6"/>
      <c r="X45" s="6"/>
      <c r="Y45" s="6" t="s">
        <v>371</v>
      </c>
      <c r="Z45"/>
      <c r="AA45"/>
    </row>
    <row r="46" spans="1:32" x14ac:dyDescent="0.2">
      <c r="A46" s="1">
        <v>1958</v>
      </c>
      <c r="B46" s="2" t="d">
        <v>1958-06-28</v>
      </c>
      <c r="C46" s="1" t="s">
        <v>79</v>
      </c>
      <c r="D46" s="12" t="s">
        <v>76</v>
      </c>
      <c r="E46" s="1" t="s">
        <v>149</v>
      </c>
      <c r="F46" s="1" t="s">
        <v>150</v>
      </c>
      <c r="G46" s="1" t="s">
        <v>62</v>
      </c>
      <c r="H46" s="1" t="s">
        <v>17</v>
      </c>
      <c r="I46" s="1">
        <v>6</v>
      </c>
      <c r="J46" s="1">
        <v>3</v>
      </c>
      <c r="K46" s="1" t="s">
        <v>133</v>
      </c>
      <c r="L46" s="1" t="s">
        <v>19</v>
      </c>
      <c r="O46" s="1" t="s">
        <v>7</v>
      </c>
      <c r="P46" s="1">
        <v>1958</v>
      </c>
      <c r="Q46" s="12" t="s">
        <v>76</v>
      </c>
      <c r="R46" s="1" t="s">
        <v>17</v>
      </c>
      <c r="S46" s="1" t="s">
        <v>17</v>
      </c>
      <c r="V46" s="6" t="s">
        <v>407</v>
      </c>
      <c r="W46" s="6"/>
      <c r="X46" s="6"/>
      <c r="Y46" s="6" t="s">
        <v>407</v>
      </c>
      <c r="Z46"/>
      <c r="AA46"/>
    </row>
    <row r="47" spans="1:32" x14ac:dyDescent="0.2">
      <c r="A47" s="1">
        <v>1958</v>
      </c>
      <c r="B47" s="2" t="d">
        <v>1958-06-29</v>
      </c>
      <c r="C47" s="1" t="s">
        <v>12</v>
      </c>
      <c r="D47" s="12" t="s">
        <v>44</v>
      </c>
      <c r="E47" s="1" t="s">
        <v>146</v>
      </c>
      <c r="F47" s="1" t="s">
        <v>147</v>
      </c>
      <c r="G47" s="1" t="s">
        <v>62</v>
      </c>
      <c r="H47" s="1" t="s">
        <v>27</v>
      </c>
      <c r="I47" s="1">
        <v>5</v>
      </c>
      <c r="J47" s="1">
        <v>2</v>
      </c>
      <c r="K47" s="1" t="s">
        <v>62</v>
      </c>
      <c r="L47" s="1" t="s">
        <v>19</v>
      </c>
      <c r="O47" s="1" t="s">
        <v>7</v>
      </c>
      <c r="P47" s="1">
        <v>1958</v>
      </c>
      <c r="Q47" s="12" t="s">
        <v>44</v>
      </c>
      <c r="R47" s="1" t="s">
        <v>27</v>
      </c>
      <c r="S47" s="1" t="s">
        <v>27</v>
      </c>
      <c r="V47" s="6" t="s">
        <v>499</v>
      </c>
      <c r="W47" s="6"/>
      <c r="X47" s="6"/>
      <c r="Y47" s="6" t="s">
        <v>499</v>
      </c>
      <c r="Z47"/>
      <c r="AA47"/>
    </row>
    <row r="48" spans="1:32" x14ac:dyDescent="0.2">
      <c r="A48" s="1">
        <v>1962</v>
      </c>
      <c r="B48" s="2" t="d">
        <v>1962-06-10</v>
      </c>
      <c r="C48" s="1" t="s">
        <v>38</v>
      </c>
      <c r="D48" s="12" t="s">
        <v>74</v>
      </c>
      <c r="E48" s="1" t="s">
        <v>175</v>
      </c>
      <c r="F48" s="1" t="s">
        <v>176</v>
      </c>
      <c r="G48" s="1" t="s">
        <v>35</v>
      </c>
      <c r="H48" s="1" t="s">
        <v>35</v>
      </c>
      <c r="I48" s="1">
        <v>2</v>
      </c>
      <c r="J48" s="1">
        <v>1</v>
      </c>
      <c r="K48" s="1" t="s">
        <v>151</v>
      </c>
      <c r="L48" s="1" t="s">
        <v>19</v>
      </c>
      <c r="O48" s="1" t="s">
        <v>7</v>
      </c>
      <c r="P48" s="1">
        <v>1962</v>
      </c>
      <c r="Q48" s="12" t="s">
        <v>74</v>
      </c>
      <c r="R48" s="1" t="s">
        <v>35</v>
      </c>
      <c r="S48" s="1" t="s">
        <v>35</v>
      </c>
      <c r="V48" s="6" t="s">
        <v>151</v>
      </c>
      <c r="W48" s="6"/>
      <c r="X48" s="6"/>
      <c r="Y48" s="6" t="s">
        <v>151</v>
      </c>
      <c r="Z48"/>
      <c r="AA48"/>
    </row>
    <row r="49" spans="1:27" x14ac:dyDescent="0.2">
      <c r="A49" s="1">
        <v>1962</v>
      </c>
      <c r="B49" s="2" t="d">
        <v>1962-06-10</v>
      </c>
      <c r="C49" s="1" t="s">
        <v>38</v>
      </c>
      <c r="D49" s="12" t="s">
        <v>74</v>
      </c>
      <c r="E49" s="1" t="s">
        <v>178</v>
      </c>
      <c r="F49" s="1" t="s">
        <v>179</v>
      </c>
      <c r="G49" s="1" t="s">
        <v>35</v>
      </c>
      <c r="H49" s="1" t="s">
        <v>27</v>
      </c>
      <c r="I49" s="1">
        <v>3</v>
      </c>
      <c r="J49" s="1">
        <v>1</v>
      </c>
      <c r="K49" s="1" t="s">
        <v>110</v>
      </c>
      <c r="L49" s="1" t="s">
        <v>19</v>
      </c>
      <c r="O49" s="1" t="s">
        <v>7</v>
      </c>
      <c r="P49" s="1">
        <v>1962</v>
      </c>
      <c r="Q49" s="12" t="s">
        <v>74</v>
      </c>
      <c r="R49" s="1" t="s">
        <v>27</v>
      </c>
      <c r="S49" s="1" t="s">
        <v>27</v>
      </c>
      <c r="V49" s="17" t="s">
        <v>68</v>
      </c>
      <c r="W49" s="17"/>
      <c r="X49" s="17"/>
      <c r="Y49" s="6" t="s">
        <v>68</v>
      </c>
      <c r="Z49"/>
      <c r="AA49"/>
    </row>
    <row r="50" spans="1:27" x14ac:dyDescent="0.2">
      <c r="A50" s="1">
        <v>1962</v>
      </c>
      <c r="B50" s="2" t="d">
        <v>1962-06-10</v>
      </c>
      <c r="C50" s="1" t="s">
        <v>38</v>
      </c>
      <c r="D50" s="12" t="s">
        <v>74</v>
      </c>
      <c r="E50" s="1" t="s">
        <v>180</v>
      </c>
      <c r="F50" s="1" t="s">
        <v>181</v>
      </c>
      <c r="G50" s="1" t="s">
        <v>35</v>
      </c>
      <c r="H50" s="1" t="s">
        <v>73</v>
      </c>
      <c r="I50" s="1">
        <v>1</v>
      </c>
      <c r="J50" s="1">
        <v>0</v>
      </c>
      <c r="K50" s="1" t="s">
        <v>54</v>
      </c>
      <c r="L50" s="1" t="s">
        <v>19</v>
      </c>
      <c r="O50" s="1" t="s">
        <v>7</v>
      </c>
      <c r="P50" s="1">
        <v>1962</v>
      </c>
      <c r="Q50" s="12" t="s">
        <v>74</v>
      </c>
      <c r="R50" s="1" t="s">
        <v>73</v>
      </c>
      <c r="S50" s="1" t="s">
        <v>73</v>
      </c>
      <c r="V50" s="17" t="s">
        <v>62</v>
      </c>
      <c r="W50" s="17"/>
      <c r="X50" s="17"/>
      <c r="Y50" s="6" t="s">
        <v>62</v>
      </c>
      <c r="Z50"/>
      <c r="AA50"/>
    </row>
    <row r="51" spans="1:27" x14ac:dyDescent="0.2">
      <c r="A51" s="1">
        <v>1962</v>
      </c>
      <c r="B51" s="2" t="d">
        <v>1962-06-10</v>
      </c>
      <c r="C51" s="1" t="s">
        <v>38</v>
      </c>
      <c r="D51" s="12" t="s">
        <v>74</v>
      </c>
      <c r="E51" s="1" t="s">
        <v>183</v>
      </c>
      <c r="F51" s="1" t="s">
        <v>184</v>
      </c>
      <c r="G51" s="1" t="s">
        <v>35</v>
      </c>
      <c r="H51" s="1" t="s">
        <v>26</v>
      </c>
      <c r="I51" s="1">
        <v>1</v>
      </c>
      <c r="J51" s="1">
        <v>0</v>
      </c>
      <c r="K51" s="1" t="s">
        <v>133</v>
      </c>
      <c r="L51" s="1" t="s">
        <v>19</v>
      </c>
      <c r="O51" s="1" t="s">
        <v>7</v>
      </c>
      <c r="P51" s="1">
        <v>1962</v>
      </c>
      <c r="Q51" s="12" t="s">
        <v>74</v>
      </c>
      <c r="R51" s="1" t="s">
        <v>26</v>
      </c>
      <c r="S51" s="1" t="s">
        <v>26</v>
      </c>
      <c r="V51" s="16">
        <v>1934</v>
      </c>
      <c r="W51" s="16"/>
      <c r="X51" s="16"/>
      <c r="Y51" s="6" t="s">
        <v>58</v>
      </c>
      <c r="Z51"/>
      <c r="AA51"/>
    </row>
    <row r="52" spans="1:27" x14ac:dyDescent="0.2">
      <c r="A52" s="1">
        <v>1962</v>
      </c>
      <c r="B52" s="2" t="d">
        <v>1962-06-13</v>
      </c>
      <c r="C52" s="1" t="s">
        <v>38</v>
      </c>
      <c r="D52" s="12" t="s">
        <v>42</v>
      </c>
      <c r="E52" s="1" t="s">
        <v>178</v>
      </c>
      <c r="F52" s="1" t="s">
        <v>179</v>
      </c>
      <c r="G52" s="1" t="s">
        <v>35</v>
      </c>
      <c r="H52" s="1" t="s">
        <v>73</v>
      </c>
      <c r="I52" s="1">
        <v>3</v>
      </c>
      <c r="J52" s="1">
        <v>1</v>
      </c>
      <c r="K52" s="1" t="s">
        <v>26</v>
      </c>
      <c r="L52" s="1" t="s">
        <v>19</v>
      </c>
      <c r="O52" s="1" t="s">
        <v>7</v>
      </c>
      <c r="P52" s="1">
        <v>1962</v>
      </c>
      <c r="Q52" s="12" t="s">
        <v>42</v>
      </c>
      <c r="R52" s="1" t="s">
        <v>73</v>
      </c>
      <c r="S52" s="1" t="s">
        <v>73</v>
      </c>
      <c r="V52" s="16">
        <v>1938</v>
      </c>
      <c r="W52" s="16"/>
      <c r="X52" s="16"/>
      <c r="Y52" s="6" t="s">
        <v>134</v>
      </c>
      <c r="Z52"/>
      <c r="AA52"/>
    </row>
    <row r="53" spans="1:27" x14ac:dyDescent="0.2">
      <c r="A53" s="1">
        <v>1962</v>
      </c>
      <c r="B53" s="2" t="d">
        <v>1962-06-13</v>
      </c>
      <c r="C53" s="1" t="s">
        <v>38</v>
      </c>
      <c r="D53" s="12" t="s">
        <v>42</v>
      </c>
      <c r="E53" s="1" t="s">
        <v>183</v>
      </c>
      <c r="F53" s="1" t="s">
        <v>184</v>
      </c>
      <c r="G53" s="1" t="s">
        <v>35</v>
      </c>
      <c r="H53" s="1" t="s">
        <v>27</v>
      </c>
      <c r="I53" s="1">
        <v>4</v>
      </c>
      <c r="J53" s="1">
        <v>2</v>
      </c>
      <c r="K53" s="1" t="s">
        <v>35</v>
      </c>
      <c r="L53" s="1" t="s">
        <v>19</v>
      </c>
      <c r="O53" s="1" t="s">
        <v>7</v>
      </c>
      <c r="P53" s="1">
        <v>1962</v>
      </c>
      <c r="Q53" s="12" t="s">
        <v>42</v>
      </c>
      <c r="R53" s="1" t="s">
        <v>27</v>
      </c>
      <c r="S53" s="1" t="s">
        <v>27</v>
      </c>
      <c r="V53" s="16">
        <v>1950</v>
      </c>
      <c r="W53" s="16"/>
      <c r="X53" s="16"/>
      <c r="Y53" s="6" t="s">
        <v>476</v>
      </c>
      <c r="Z53"/>
      <c r="AA53"/>
    </row>
    <row r="54" spans="1:27" x14ac:dyDescent="0.2">
      <c r="A54" s="1">
        <v>1962</v>
      </c>
      <c r="B54" s="2" t="d">
        <v>1962-06-16</v>
      </c>
      <c r="C54" s="1" t="s">
        <v>38</v>
      </c>
      <c r="D54" s="12" t="s">
        <v>76</v>
      </c>
      <c r="E54" s="1" t="s">
        <v>183</v>
      </c>
      <c r="F54" s="1" t="s">
        <v>184</v>
      </c>
      <c r="G54" s="1" t="s">
        <v>35</v>
      </c>
      <c r="H54" s="1" t="s">
        <v>35</v>
      </c>
      <c r="I54" s="1">
        <v>1</v>
      </c>
      <c r="J54" s="1">
        <v>0</v>
      </c>
      <c r="K54" s="1" t="s">
        <v>26</v>
      </c>
      <c r="L54" s="1" t="s">
        <v>19</v>
      </c>
      <c r="O54" s="1" t="s">
        <v>7</v>
      </c>
      <c r="P54" s="1">
        <v>1962</v>
      </c>
      <c r="Q54" s="12" t="s">
        <v>76</v>
      </c>
      <c r="R54" s="1" t="s">
        <v>35</v>
      </c>
      <c r="S54" s="1" t="s">
        <v>35</v>
      </c>
      <c r="V54" s="16">
        <v>1958</v>
      </c>
      <c r="W54" s="16"/>
      <c r="X54" s="16"/>
      <c r="Y54" s="6" t="s">
        <v>16</v>
      </c>
      <c r="Z54"/>
      <c r="AA54"/>
    </row>
    <row r="55" spans="1:27" x14ac:dyDescent="0.2">
      <c r="A55" s="1">
        <v>1962</v>
      </c>
      <c r="B55" s="2" t="d">
        <v>1962-06-17</v>
      </c>
      <c r="C55" s="1" t="s">
        <v>38</v>
      </c>
      <c r="D55" s="12" t="s">
        <v>44</v>
      </c>
      <c r="E55" s="1" t="s">
        <v>183</v>
      </c>
      <c r="F55" s="1" t="s">
        <v>184</v>
      </c>
      <c r="G55" s="1" t="s">
        <v>35</v>
      </c>
      <c r="H55" s="1" t="s">
        <v>27</v>
      </c>
      <c r="I55" s="1">
        <v>3</v>
      </c>
      <c r="J55" s="1">
        <v>1</v>
      </c>
      <c r="K55" s="1" t="s">
        <v>73</v>
      </c>
      <c r="L55" s="1" t="s">
        <v>19</v>
      </c>
      <c r="O55" s="1" t="s">
        <v>7</v>
      </c>
      <c r="P55" s="1">
        <v>1962</v>
      </c>
      <c r="Q55" s="12" t="s">
        <v>44</v>
      </c>
      <c r="R55" s="1" t="s">
        <v>27</v>
      </c>
      <c r="S55" s="1" t="s">
        <v>27</v>
      </c>
      <c r="V55" s="16">
        <v>1974</v>
      </c>
      <c r="W55" s="16"/>
      <c r="X55" s="16"/>
      <c r="Y55" s="16">
        <v>1930</v>
      </c>
      <c r="Z55"/>
      <c r="AA55"/>
    </row>
    <row r="56" spans="1:27" x14ac:dyDescent="0.2">
      <c r="A56" s="1">
        <v>1966</v>
      </c>
      <c r="B56" s="2" t="d">
        <v>1966-07-23</v>
      </c>
      <c r="C56" s="1" t="s">
        <v>12</v>
      </c>
      <c r="D56" s="12" t="s">
        <v>74</v>
      </c>
      <c r="E56" s="1" t="s">
        <v>186</v>
      </c>
      <c r="F56" s="1" t="s">
        <v>187</v>
      </c>
      <c r="G56" s="1" t="s">
        <v>110</v>
      </c>
      <c r="H56" s="1" t="s">
        <v>110</v>
      </c>
      <c r="I56" s="1">
        <v>1</v>
      </c>
      <c r="J56" s="1">
        <v>0</v>
      </c>
      <c r="K56" s="1" t="s">
        <v>33</v>
      </c>
      <c r="L56" s="1" t="s">
        <v>19</v>
      </c>
      <c r="O56" s="1" t="s">
        <v>7</v>
      </c>
      <c r="P56" s="1">
        <v>1966</v>
      </c>
      <c r="Q56" s="12" t="s">
        <v>74</v>
      </c>
      <c r="R56" s="1" t="s">
        <v>110</v>
      </c>
      <c r="S56" s="1" t="s">
        <v>110</v>
      </c>
      <c r="V56" s="16">
        <v>1994</v>
      </c>
      <c r="W56" s="16"/>
      <c r="X56" s="16"/>
      <c r="Y56" s="16">
        <v>1954</v>
      </c>
      <c r="Z56"/>
      <c r="AA56"/>
    </row>
    <row r="57" spans="1:27" x14ac:dyDescent="0.2">
      <c r="A57" s="1">
        <v>1966</v>
      </c>
      <c r="B57" s="2" t="d">
        <v>1966-07-23</v>
      </c>
      <c r="C57" s="1" t="s">
        <v>12</v>
      </c>
      <c r="D57" s="12" t="s">
        <v>74</v>
      </c>
      <c r="E57" s="1" t="s">
        <v>188</v>
      </c>
      <c r="F57" s="1" t="s">
        <v>189</v>
      </c>
      <c r="G57" s="1" t="s">
        <v>110</v>
      </c>
      <c r="H57" s="1" t="s">
        <v>133</v>
      </c>
      <c r="I57" s="1">
        <v>4</v>
      </c>
      <c r="J57" s="1">
        <v>0</v>
      </c>
      <c r="K57" s="1" t="s">
        <v>16</v>
      </c>
      <c r="L57" s="1" t="s">
        <v>19</v>
      </c>
      <c r="O57" s="1" t="s">
        <v>7</v>
      </c>
      <c r="P57" s="1">
        <v>1966</v>
      </c>
      <c r="Q57" s="12" t="s">
        <v>74</v>
      </c>
      <c r="R57" s="1" t="s">
        <v>133</v>
      </c>
      <c r="S57" s="1" t="s">
        <v>65</v>
      </c>
      <c r="V57" s="16">
        <v>2002</v>
      </c>
      <c r="W57" s="16"/>
      <c r="X57" s="16"/>
      <c r="Y57" s="16">
        <v>1966</v>
      </c>
      <c r="Z57"/>
      <c r="AA57"/>
    </row>
    <row r="58" spans="1:27" x14ac:dyDescent="0.2">
      <c r="A58" s="1">
        <v>1966</v>
      </c>
      <c r="B58" s="2" t="d">
        <v>1966-07-23</v>
      </c>
      <c r="C58" s="1" t="s">
        <v>12</v>
      </c>
      <c r="D58" s="12" t="s">
        <v>74</v>
      </c>
      <c r="E58" s="1" t="s">
        <v>200</v>
      </c>
      <c r="F58" s="1" t="s">
        <v>201</v>
      </c>
      <c r="G58" s="1" t="s">
        <v>110</v>
      </c>
      <c r="H58" s="1" t="s">
        <v>151</v>
      </c>
      <c r="I58" s="1">
        <v>2</v>
      </c>
      <c r="J58" s="1">
        <v>1</v>
      </c>
      <c r="K58" s="1" t="s">
        <v>54</v>
      </c>
      <c r="L58" s="1" t="s">
        <v>19</v>
      </c>
      <c r="O58" s="1" t="s">
        <v>7</v>
      </c>
      <c r="P58" s="1">
        <v>1966</v>
      </c>
      <c r="Q58" s="12" t="s">
        <v>74</v>
      </c>
      <c r="R58" s="1" t="s">
        <v>151</v>
      </c>
      <c r="S58" s="1" t="s">
        <v>151</v>
      </c>
      <c r="V58" s="16">
        <v>2006</v>
      </c>
      <c r="W58" s="16"/>
      <c r="X58" s="16"/>
      <c r="Y58" s="16">
        <v>1970</v>
      </c>
      <c r="Z58"/>
      <c r="AA58"/>
    </row>
    <row r="59" spans="1:27" x14ac:dyDescent="0.2">
      <c r="A59" s="1">
        <v>1966</v>
      </c>
      <c r="B59" s="2" t="d">
        <v>1966-07-23</v>
      </c>
      <c r="C59" s="1" t="s">
        <v>12</v>
      </c>
      <c r="D59" s="12" t="s">
        <v>74</v>
      </c>
      <c r="E59" s="1" t="s">
        <v>190</v>
      </c>
      <c r="F59" s="1" t="s">
        <v>191</v>
      </c>
      <c r="G59" s="1" t="s">
        <v>110</v>
      </c>
      <c r="H59" s="1" t="s">
        <v>197</v>
      </c>
      <c r="I59" s="1">
        <v>5</v>
      </c>
      <c r="J59" s="1">
        <v>3</v>
      </c>
      <c r="K59" s="1" t="s">
        <v>194</v>
      </c>
      <c r="L59" s="1" t="s">
        <v>19</v>
      </c>
      <c r="O59" s="1" t="s">
        <v>7</v>
      </c>
      <c r="P59" s="1">
        <v>1966</v>
      </c>
      <c r="Q59" s="12" t="s">
        <v>74</v>
      </c>
      <c r="R59" s="1" t="s">
        <v>197</v>
      </c>
      <c r="S59" s="1" t="s">
        <v>197</v>
      </c>
      <c r="V59" s="6" t="s">
        <v>58</v>
      </c>
      <c r="W59" s="6"/>
      <c r="X59" s="6"/>
      <c r="Y59" s="16">
        <v>1986</v>
      </c>
      <c r="Z59"/>
      <c r="AA59"/>
    </row>
    <row r="60" spans="1:27" x14ac:dyDescent="0.2">
      <c r="A60" s="1">
        <v>1966</v>
      </c>
      <c r="B60" s="2" t="d">
        <v>1966-07-25</v>
      </c>
      <c r="C60" s="1" t="s">
        <v>185</v>
      </c>
      <c r="D60" s="12" t="s">
        <v>42</v>
      </c>
      <c r="E60" s="1" t="s">
        <v>190</v>
      </c>
      <c r="F60" s="1" t="s">
        <v>191</v>
      </c>
      <c r="G60" s="1" t="s">
        <v>110</v>
      </c>
      <c r="H60" s="1" t="s">
        <v>133</v>
      </c>
      <c r="I60" s="1">
        <v>2</v>
      </c>
      <c r="J60" s="1">
        <v>1</v>
      </c>
      <c r="K60" s="1" t="s">
        <v>151</v>
      </c>
      <c r="L60" s="1" t="s">
        <v>19</v>
      </c>
      <c r="O60" s="1" t="s">
        <v>7</v>
      </c>
      <c r="P60" s="1">
        <v>1966</v>
      </c>
      <c r="Q60" s="12" t="s">
        <v>42</v>
      </c>
      <c r="R60" s="1" t="s">
        <v>133</v>
      </c>
      <c r="S60" s="1" t="s">
        <v>65</v>
      </c>
      <c r="V60" s="16">
        <v>1934</v>
      </c>
      <c r="W60" s="16"/>
      <c r="X60" s="16"/>
      <c r="Y60" s="16">
        <v>1990</v>
      </c>
      <c r="Z60"/>
      <c r="AA60"/>
    </row>
    <row r="61" spans="1:27" x14ac:dyDescent="0.2">
      <c r="A61" s="1">
        <v>1966</v>
      </c>
      <c r="B61" s="2" t="d">
        <v>1966-07-26</v>
      </c>
      <c r="C61" s="1" t="s">
        <v>185</v>
      </c>
      <c r="D61" s="12" t="s">
        <v>42</v>
      </c>
      <c r="E61" s="1" t="s">
        <v>186</v>
      </c>
      <c r="F61" s="1" t="s">
        <v>187</v>
      </c>
      <c r="G61" s="1" t="s">
        <v>110</v>
      </c>
      <c r="H61" s="1" t="s">
        <v>110</v>
      </c>
      <c r="I61" s="1">
        <v>2</v>
      </c>
      <c r="J61" s="1">
        <v>1</v>
      </c>
      <c r="K61" s="1" t="s">
        <v>197</v>
      </c>
      <c r="L61" s="1" t="s">
        <v>19</v>
      </c>
      <c r="O61" s="1" t="s">
        <v>7</v>
      </c>
      <c r="P61" s="1">
        <v>1966</v>
      </c>
      <c r="Q61" s="12" t="s">
        <v>42</v>
      </c>
      <c r="R61" s="1" t="s">
        <v>110</v>
      </c>
      <c r="S61" s="1" t="s">
        <v>110</v>
      </c>
      <c r="V61" s="16">
        <v>1938</v>
      </c>
      <c r="W61" s="16"/>
      <c r="X61" s="16"/>
      <c r="Y61" s="16">
        <v>2010</v>
      </c>
      <c r="Z61"/>
      <c r="AA61"/>
    </row>
    <row r="62" spans="1:27" x14ac:dyDescent="0.2">
      <c r="A62" s="1">
        <v>1966</v>
      </c>
      <c r="B62" s="2" t="d">
        <v>1966-07-28</v>
      </c>
      <c r="C62" s="1" t="s">
        <v>185</v>
      </c>
      <c r="D62" s="12" t="s">
        <v>76</v>
      </c>
      <c r="E62" s="1" t="s">
        <v>186</v>
      </c>
      <c r="F62" s="1" t="s">
        <v>187</v>
      </c>
      <c r="G62" s="1" t="s">
        <v>110</v>
      </c>
      <c r="H62" s="1" t="s">
        <v>197</v>
      </c>
      <c r="I62" s="1">
        <v>2</v>
      </c>
      <c r="J62" s="1">
        <v>1</v>
      </c>
      <c r="K62" s="1" t="s">
        <v>151</v>
      </c>
      <c r="L62" s="1" t="s">
        <v>19</v>
      </c>
      <c r="O62" s="1" t="s">
        <v>7</v>
      </c>
      <c r="P62" s="1">
        <v>1966</v>
      </c>
      <c r="Q62" s="12" t="s">
        <v>76</v>
      </c>
      <c r="R62" s="1" t="s">
        <v>197</v>
      </c>
      <c r="S62" s="1" t="s">
        <v>197</v>
      </c>
      <c r="V62" s="16">
        <v>1954</v>
      </c>
      <c r="W62" s="16"/>
      <c r="X62" s="16"/>
      <c r="Y62" s="16">
        <v>2014</v>
      </c>
      <c r="Z62"/>
      <c r="AA62"/>
    </row>
    <row r="63" spans="1:27" x14ac:dyDescent="0.2">
      <c r="A63" s="1">
        <v>1966</v>
      </c>
      <c r="B63" s="2" t="d">
        <v>1966-07-30</v>
      </c>
      <c r="C63" s="1" t="s">
        <v>12</v>
      </c>
      <c r="D63" s="12" t="s">
        <v>44</v>
      </c>
      <c r="E63" s="1" t="s">
        <v>186</v>
      </c>
      <c r="F63" s="1" t="s">
        <v>187</v>
      </c>
      <c r="G63" s="1" t="s">
        <v>110</v>
      </c>
      <c r="H63" s="1" t="s">
        <v>110</v>
      </c>
      <c r="I63" s="1">
        <v>4</v>
      </c>
      <c r="J63" s="1">
        <v>2</v>
      </c>
      <c r="K63" s="1" t="s">
        <v>133</v>
      </c>
      <c r="L63" s="1" t="s">
        <v>203</v>
      </c>
      <c r="O63" s="1" t="s">
        <v>7</v>
      </c>
      <c r="P63" s="1">
        <v>1966</v>
      </c>
      <c r="Q63" s="12" t="s">
        <v>44</v>
      </c>
      <c r="R63" s="1" t="s">
        <v>110</v>
      </c>
      <c r="S63" s="1" t="s">
        <v>110</v>
      </c>
      <c r="V63" s="16">
        <v>1994</v>
      </c>
      <c r="W63" s="16"/>
      <c r="X63" s="16"/>
      <c r="Y63" s="6" t="s">
        <v>22</v>
      </c>
      <c r="Z63"/>
      <c r="AA63"/>
    </row>
    <row r="64" spans="1:27" x14ac:dyDescent="0.2">
      <c r="A64" s="1">
        <v>1970</v>
      </c>
      <c r="B64" s="2" t="d">
        <v>1970-06-14</v>
      </c>
      <c r="C64" s="1" t="s">
        <v>204</v>
      </c>
      <c r="D64" s="12" t="s">
        <v>74</v>
      </c>
      <c r="E64" s="1" t="s">
        <v>214</v>
      </c>
      <c r="F64" s="1" t="s">
        <v>215</v>
      </c>
      <c r="G64" s="1" t="s">
        <v>18</v>
      </c>
      <c r="H64" s="1" t="s">
        <v>49</v>
      </c>
      <c r="I64" s="1">
        <v>4</v>
      </c>
      <c r="J64" s="1">
        <v>1</v>
      </c>
      <c r="K64" s="1" t="s">
        <v>18</v>
      </c>
      <c r="L64" s="1" t="s">
        <v>19</v>
      </c>
      <c r="O64" s="1" t="s">
        <v>7</v>
      </c>
      <c r="P64" s="1">
        <v>1970</v>
      </c>
      <c r="Q64" s="12" t="s">
        <v>74</v>
      </c>
      <c r="R64" s="1" t="s">
        <v>49</v>
      </c>
      <c r="S64" s="1" t="s">
        <v>49</v>
      </c>
      <c r="V64" s="16">
        <v>2006</v>
      </c>
      <c r="W64" s="16"/>
      <c r="X64" s="16"/>
      <c r="Y64" s="6" t="s">
        <v>156</v>
      </c>
      <c r="Z64"/>
      <c r="AA64"/>
    </row>
    <row r="65" spans="1:27" x14ac:dyDescent="0.2">
      <c r="A65" s="1">
        <v>1970</v>
      </c>
      <c r="B65" s="2" t="d">
        <v>1970-06-14</v>
      </c>
      <c r="C65" s="1" t="s">
        <v>204</v>
      </c>
      <c r="D65" s="12" t="s">
        <v>74</v>
      </c>
      <c r="E65" s="1" t="s">
        <v>210</v>
      </c>
      <c r="F65" s="1" t="s">
        <v>211</v>
      </c>
      <c r="G65" s="1" t="s">
        <v>18</v>
      </c>
      <c r="H65" s="1" t="s">
        <v>133</v>
      </c>
      <c r="I65" s="1">
        <v>3</v>
      </c>
      <c r="J65" s="1">
        <v>2</v>
      </c>
      <c r="K65" s="1" t="s">
        <v>110</v>
      </c>
      <c r="L65" s="1" t="s">
        <v>218</v>
      </c>
      <c r="O65" s="1" t="s">
        <v>7</v>
      </c>
      <c r="P65" s="1">
        <v>1970</v>
      </c>
      <c r="Q65" s="12" t="s">
        <v>74</v>
      </c>
      <c r="R65" s="1" t="s">
        <v>133</v>
      </c>
      <c r="S65" s="1" t="s">
        <v>65</v>
      </c>
      <c r="V65" s="16">
        <v>2014</v>
      </c>
      <c r="W65" s="16"/>
      <c r="X65" s="16"/>
      <c r="Y65" s="6" t="s">
        <v>26</v>
      </c>
      <c r="Z65"/>
      <c r="AA65"/>
    </row>
    <row r="66" spans="1:27" x14ac:dyDescent="0.2">
      <c r="A66" s="1">
        <v>1970</v>
      </c>
      <c r="B66" s="2" t="d">
        <v>1970-06-14</v>
      </c>
      <c r="C66" s="1" t="s">
        <v>204</v>
      </c>
      <c r="D66" s="12" t="s">
        <v>74</v>
      </c>
      <c r="E66" s="1" t="s">
        <v>212</v>
      </c>
      <c r="F66" s="1" t="s">
        <v>213</v>
      </c>
      <c r="G66" s="1" t="s">
        <v>18</v>
      </c>
      <c r="H66" s="1" t="s">
        <v>27</v>
      </c>
      <c r="I66" s="1">
        <v>4</v>
      </c>
      <c r="J66" s="1">
        <v>2</v>
      </c>
      <c r="K66" s="1" t="s">
        <v>31</v>
      </c>
      <c r="L66" s="1" t="s">
        <v>19</v>
      </c>
      <c r="O66" s="1" t="s">
        <v>7</v>
      </c>
      <c r="P66" s="1">
        <v>1970</v>
      </c>
      <c r="Q66" s="12" t="s">
        <v>74</v>
      </c>
      <c r="R66" s="1" t="s">
        <v>27</v>
      </c>
      <c r="S66" s="1" t="s">
        <v>27</v>
      </c>
      <c r="V66" s="6" t="s">
        <v>134</v>
      </c>
      <c r="W66" s="6"/>
      <c r="X66" s="6"/>
      <c r="Y66" s="6" t="s">
        <v>533</v>
      </c>
      <c r="Z66"/>
      <c r="AA66"/>
    </row>
    <row r="67" spans="1:27" x14ac:dyDescent="0.2">
      <c r="A67" s="1">
        <v>1970</v>
      </c>
      <c r="B67" s="2" t="d">
        <v>1970-06-14</v>
      </c>
      <c r="C67" s="1" t="s">
        <v>204</v>
      </c>
      <c r="D67" s="12" t="s">
        <v>74</v>
      </c>
      <c r="E67" s="1" t="s">
        <v>205</v>
      </c>
      <c r="F67" s="1" t="s">
        <v>206</v>
      </c>
      <c r="G67" s="1" t="s">
        <v>18</v>
      </c>
      <c r="H67" s="1" t="s">
        <v>16</v>
      </c>
      <c r="I67" s="1">
        <v>1</v>
      </c>
      <c r="J67" s="1">
        <v>0</v>
      </c>
      <c r="K67" s="1" t="s">
        <v>151</v>
      </c>
      <c r="L67" s="1" t="s">
        <v>219</v>
      </c>
      <c r="O67" s="1" t="s">
        <v>7</v>
      </c>
      <c r="P67" s="1">
        <v>1970</v>
      </c>
      <c r="Q67" s="12" t="s">
        <v>74</v>
      </c>
      <c r="R67" s="1" t="s">
        <v>16</v>
      </c>
      <c r="S67" s="1" t="s">
        <v>16</v>
      </c>
      <c r="V67" s="6" t="s">
        <v>476</v>
      </c>
      <c r="W67" s="6"/>
      <c r="X67" s="6"/>
      <c r="Y67"/>
      <c r="Z67"/>
      <c r="AA67"/>
    </row>
    <row r="68" spans="1:27" x14ac:dyDescent="0.2">
      <c r="A68" s="1">
        <v>1970</v>
      </c>
      <c r="B68" s="2" t="d">
        <v>1970-06-17</v>
      </c>
      <c r="C68" s="1" t="s">
        <v>32</v>
      </c>
      <c r="D68" s="12" t="s">
        <v>42</v>
      </c>
      <c r="E68" s="1" t="s">
        <v>212</v>
      </c>
      <c r="F68" s="1" t="s">
        <v>213</v>
      </c>
      <c r="G68" s="1" t="s">
        <v>18</v>
      </c>
      <c r="H68" s="1" t="s">
        <v>27</v>
      </c>
      <c r="I68" s="1">
        <v>3</v>
      </c>
      <c r="J68" s="1">
        <v>1</v>
      </c>
      <c r="K68" s="1" t="s">
        <v>16</v>
      </c>
      <c r="L68" s="1" t="s">
        <v>19</v>
      </c>
      <c r="O68" s="1" t="s">
        <v>7</v>
      </c>
      <c r="P68" s="1">
        <v>1970</v>
      </c>
      <c r="Q68" s="12" t="s">
        <v>42</v>
      </c>
      <c r="R68" s="1" t="s">
        <v>27</v>
      </c>
      <c r="S68" s="1" t="s">
        <v>27</v>
      </c>
      <c r="V68" s="17" t="s">
        <v>16</v>
      </c>
      <c r="W68" s="17"/>
      <c r="X68" s="17"/>
      <c r="Y68"/>
      <c r="Z68"/>
      <c r="AA68"/>
    </row>
    <row r="69" spans="1:27" x14ac:dyDescent="0.2">
      <c r="A69" s="1">
        <v>1970</v>
      </c>
      <c r="B69" s="2" t="d">
        <v>1970-06-17</v>
      </c>
      <c r="C69" s="1" t="s">
        <v>32</v>
      </c>
      <c r="D69" s="12" t="s">
        <v>42</v>
      </c>
      <c r="E69" s="1" t="s">
        <v>205</v>
      </c>
      <c r="F69" s="1" t="s">
        <v>206</v>
      </c>
      <c r="G69" s="1" t="s">
        <v>18</v>
      </c>
      <c r="H69" s="1" t="s">
        <v>49</v>
      </c>
      <c r="I69" s="1">
        <v>4</v>
      </c>
      <c r="J69" s="1">
        <v>3</v>
      </c>
      <c r="K69" s="1" t="s">
        <v>133</v>
      </c>
      <c r="L69" s="1" t="s">
        <v>78</v>
      </c>
      <c r="O69" s="1" t="s">
        <v>7</v>
      </c>
      <c r="P69" s="1">
        <v>1970</v>
      </c>
      <c r="Q69" s="12" t="s">
        <v>42</v>
      </c>
      <c r="R69" s="1" t="s">
        <v>49</v>
      </c>
      <c r="S69" s="1" t="s">
        <v>49</v>
      </c>
      <c r="V69" s="6" t="s">
        <v>22</v>
      </c>
      <c r="W69" s="6"/>
      <c r="X69" s="6"/>
      <c r="Y69"/>
      <c r="Z69"/>
      <c r="AA69"/>
    </row>
    <row r="70" spans="1:27" x14ac:dyDescent="0.2">
      <c r="A70" s="1">
        <v>1970</v>
      </c>
      <c r="B70" s="2" t="d">
        <v>1970-06-20</v>
      </c>
      <c r="C70" s="1" t="s">
        <v>32</v>
      </c>
      <c r="D70" s="12" t="s">
        <v>76</v>
      </c>
      <c r="E70" s="1" t="s">
        <v>205</v>
      </c>
      <c r="F70" s="1" t="s">
        <v>206</v>
      </c>
      <c r="G70" s="1" t="s">
        <v>18</v>
      </c>
      <c r="H70" s="1" t="s">
        <v>133</v>
      </c>
      <c r="I70" s="1">
        <v>1</v>
      </c>
      <c r="J70" s="1">
        <v>0</v>
      </c>
      <c r="K70" s="1" t="s">
        <v>16</v>
      </c>
      <c r="L70" s="1" t="s">
        <v>19</v>
      </c>
      <c r="O70" s="1" t="s">
        <v>7</v>
      </c>
      <c r="P70" s="1">
        <v>1970</v>
      </c>
      <c r="Q70" s="12" t="s">
        <v>76</v>
      </c>
      <c r="R70" s="1" t="s">
        <v>133</v>
      </c>
      <c r="S70" s="1" t="s">
        <v>65</v>
      </c>
      <c r="V70" s="6" t="s">
        <v>156</v>
      </c>
      <c r="W70" s="6"/>
      <c r="X70" s="6"/>
      <c r="Y70"/>
      <c r="Z70"/>
      <c r="AA70"/>
    </row>
    <row r="71" spans="1:27" x14ac:dyDescent="0.2">
      <c r="A71" s="1">
        <v>1970</v>
      </c>
      <c r="B71" s="2" t="d">
        <v>1970-06-21</v>
      </c>
      <c r="C71" s="1" t="s">
        <v>204</v>
      </c>
      <c r="D71" s="12" t="s">
        <v>44</v>
      </c>
      <c r="E71" s="1" t="s">
        <v>205</v>
      </c>
      <c r="F71" s="1" t="s">
        <v>206</v>
      </c>
      <c r="G71" s="1" t="s">
        <v>18</v>
      </c>
      <c r="H71" s="1" t="s">
        <v>27</v>
      </c>
      <c r="I71" s="1">
        <v>4</v>
      </c>
      <c r="J71" s="1">
        <v>1</v>
      </c>
      <c r="K71" s="1" t="s">
        <v>49</v>
      </c>
      <c r="L71" s="1" t="s">
        <v>19</v>
      </c>
      <c r="O71" s="1" t="s">
        <v>7</v>
      </c>
      <c r="P71" s="1">
        <v>1970</v>
      </c>
      <c r="Q71" s="12" t="s">
        <v>44</v>
      </c>
      <c r="R71" s="1" t="s">
        <v>27</v>
      </c>
      <c r="S71" s="1" t="s">
        <v>27</v>
      </c>
      <c r="V71" s="6" t="s">
        <v>26</v>
      </c>
      <c r="W71" s="6"/>
      <c r="X71" s="6"/>
      <c r="Y71"/>
      <c r="Z71"/>
      <c r="AA71"/>
    </row>
    <row r="72" spans="1:27" x14ac:dyDescent="0.2">
      <c r="A72" s="1">
        <v>1974</v>
      </c>
      <c r="B72" s="2" t="d">
        <v>1974-06-26</v>
      </c>
      <c r="C72" s="1" t="s">
        <v>32</v>
      </c>
      <c r="D72" s="12" t="s">
        <v>241</v>
      </c>
      <c r="E72" s="1" t="s">
        <v>233</v>
      </c>
      <c r="F72" s="1" t="s">
        <v>234</v>
      </c>
      <c r="G72" s="1" t="s">
        <v>65</v>
      </c>
      <c r="H72" s="1" t="s">
        <v>26</v>
      </c>
      <c r="I72" s="1">
        <v>0</v>
      </c>
      <c r="J72" s="1">
        <v>2</v>
      </c>
      <c r="K72" s="1" t="s">
        <v>133</v>
      </c>
      <c r="L72" s="1" t="s">
        <v>19</v>
      </c>
      <c r="O72" s="1" t="s">
        <v>7</v>
      </c>
      <c r="P72" s="1">
        <v>1974</v>
      </c>
      <c r="Q72" s="12" t="s">
        <v>241</v>
      </c>
      <c r="R72" s="1" t="s">
        <v>26</v>
      </c>
      <c r="S72" s="1" t="s">
        <v>26</v>
      </c>
      <c r="V72" s="16">
        <v>1930</v>
      </c>
      <c r="W72" s="16"/>
      <c r="X72" s="16"/>
      <c r="Y72"/>
      <c r="Z72"/>
      <c r="AA72"/>
    </row>
    <row r="73" spans="1:27" x14ac:dyDescent="0.2">
      <c r="A73" s="1">
        <v>1974</v>
      </c>
      <c r="B73" s="2" t="d">
        <v>1974-06-26</v>
      </c>
      <c r="C73" s="1" t="s">
        <v>185</v>
      </c>
      <c r="D73" s="12" t="s">
        <v>242</v>
      </c>
      <c r="E73" s="1" t="s">
        <v>231</v>
      </c>
      <c r="F73" s="1" t="s">
        <v>232</v>
      </c>
      <c r="G73" s="1" t="s">
        <v>65</v>
      </c>
      <c r="H73" s="1" t="s">
        <v>27</v>
      </c>
      <c r="I73" s="1">
        <v>1</v>
      </c>
      <c r="J73" s="1">
        <v>0</v>
      </c>
      <c r="K73" s="1" t="s">
        <v>226</v>
      </c>
      <c r="L73" s="1" t="s">
        <v>19</v>
      </c>
      <c r="O73" s="1" t="s">
        <v>7</v>
      </c>
      <c r="P73" s="1">
        <v>1974</v>
      </c>
      <c r="Q73" s="12" t="s">
        <v>242</v>
      </c>
      <c r="R73" s="1" t="s">
        <v>27</v>
      </c>
      <c r="S73" s="1" t="s">
        <v>27</v>
      </c>
      <c r="V73" s="16">
        <v>1954</v>
      </c>
      <c r="W73" s="16"/>
      <c r="X73" s="16"/>
      <c r="Y73"/>
      <c r="Z73"/>
      <c r="AA73"/>
    </row>
    <row r="74" spans="1:27" x14ac:dyDescent="0.2">
      <c r="A74" s="1">
        <v>1974</v>
      </c>
      <c r="B74" s="2" t="d">
        <v>1974-06-26</v>
      </c>
      <c r="C74" s="1" t="s">
        <v>185</v>
      </c>
      <c r="D74" s="12" t="s">
        <v>242</v>
      </c>
      <c r="E74" s="1" t="s">
        <v>239</v>
      </c>
      <c r="F74" s="1" t="s">
        <v>240</v>
      </c>
      <c r="G74" s="1" t="s">
        <v>65</v>
      </c>
      <c r="H74" s="1" t="s">
        <v>59</v>
      </c>
      <c r="I74" s="1">
        <v>4</v>
      </c>
      <c r="J74" s="1">
        <v>0</v>
      </c>
      <c r="K74" s="1" t="s">
        <v>33</v>
      </c>
      <c r="L74" s="1" t="s">
        <v>19</v>
      </c>
      <c r="O74" s="1" t="s">
        <v>7</v>
      </c>
      <c r="P74" s="1">
        <v>1974</v>
      </c>
      <c r="Q74" s="12" t="s">
        <v>242</v>
      </c>
      <c r="R74" s="1" t="s">
        <v>59</v>
      </c>
      <c r="S74" s="1" t="s">
        <v>59</v>
      </c>
      <c r="V74" s="16">
        <v>1958</v>
      </c>
      <c r="W74" s="16"/>
      <c r="X74" s="16"/>
      <c r="Y74"/>
      <c r="Z74"/>
      <c r="AA74"/>
    </row>
    <row r="75" spans="1:27" x14ac:dyDescent="0.2">
      <c r="A75" s="1">
        <v>1974</v>
      </c>
      <c r="B75" s="2" t="d">
        <v>1974-06-26</v>
      </c>
      <c r="C75" s="1" t="s">
        <v>185</v>
      </c>
      <c r="D75" s="12" t="s">
        <v>241</v>
      </c>
      <c r="E75" s="1" t="s">
        <v>237</v>
      </c>
      <c r="F75" s="1" t="s">
        <v>238</v>
      </c>
      <c r="G75" s="1" t="s">
        <v>65</v>
      </c>
      <c r="H75" s="1" t="s">
        <v>62</v>
      </c>
      <c r="I75" s="1">
        <v>0</v>
      </c>
      <c r="J75" s="1">
        <v>1</v>
      </c>
      <c r="K75" s="1" t="s">
        <v>96</v>
      </c>
      <c r="L75" s="1" t="s">
        <v>19</v>
      </c>
      <c r="O75" s="1" t="s">
        <v>7</v>
      </c>
      <c r="P75" s="1">
        <v>1974</v>
      </c>
      <c r="Q75" s="12" t="s">
        <v>241</v>
      </c>
      <c r="R75" s="1" t="s">
        <v>62</v>
      </c>
      <c r="S75" s="1" t="s">
        <v>62</v>
      </c>
      <c r="V75" s="16">
        <v>1962</v>
      </c>
      <c r="W75" s="16"/>
      <c r="X75" s="16"/>
      <c r="Y75"/>
      <c r="Z75"/>
      <c r="AA75"/>
    </row>
    <row r="76" spans="1:27" x14ac:dyDescent="0.2">
      <c r="A76" s="1">
        <v>1974</v>
      </c>
      <c r="B76" s="2" t="d">
        <v>1974-06-30</v>
      </c>
      <c r="C76" s="1" t="s">
        <v>32</v>
      </c>
      <c r="D76" s="12" t="s">
        <v>242</v>
      </c>
      <c r="E76" s="1" t="s">
        <v>231</v>
      </c>
      <c r="F76" s="1" t="s">
        <v>232</v>
      </c>
      <c r="G76" s="1" t="s">
        <v>65</v>
      </c>
      <c r="H76" s="1" t="s">
        <v>33</v>
      </c>
      <c r="I76" s="1">
        <v>1</v>
      </c>
      <c r="J76" s="1">
        <v>2</v>
      </c>
      <c r="K76" s="1" t="s">
        <v>27</v>
      </c>
      <c r="L76" s="1" t="s">
        <v>19</v>
      </c>
      <c r="O76" s="1" t="s">
        <v>7</v>
      </c>
      <c r="P76" s="1">
        <v>1974</v>
      </c>
      <c r="Q76" s="12" t="s">
        <v>242</v>
      </c>
      <c r="R76" s="1" t="s">
        <v>33</v>
      </c>
      <c r="S76" s="1" t="s">
        <v>33</v>
      </c>
      <c r="V76" s="16">
        <v>1974</v>
      </c>
      <c r="W76" s="16"/>
      <c r="X76" s="16"/>
      <c r="Y76"/>
      <c r="Z76"/>
      <c r="AA76"/>
    </row>
    <row r="77" spans="1:27" x14ac:dyDescent="0.2">
      <c r="A77" s="1">
        <v>1974</v>
      </c>
      <c r="B77" s="2" t="d">
        <v>1974-06-30</v>
      </c>
      <c r="C77" s="1" t="s">
        <v>32</v>
      </c>
      <c r="D77" s="12" t="s">
        <v>241</v>
      </c>
      <c r="E77" s="1" t="s">
        <v>220</v>
      </c>
      <c r="F77" s="1" t="s">
        <v>221</v>
      </c>
      <c r="G77" s="1" t="s">
        <v>65</v>
      </c>
      <c r="H77" s="1" t="s">
        <v>96</v>
      </c>
      <c r="I77" s="1">
        <v>2</v>
      </c>
      <c r="J77" s="1">
        <v>1</v>
      </c>
      <c r="K77" s="1" t="s">
        <v>26</v>
      </c>
      <c r="L77" s="1" t="s">
        <v>19</v>
      </c>
      <c r="O77" s="1" t="s">
        <v>7</v>
      </c>
      <c r="P77" s="1">
        <v>1974</v>
      </c>
      <c r="Q77" s="12" t="s">
        <v>241</v>
      </c>
      <c r="R77" s="1" t="s">
        <v>96</v>
      </c>
      <c r="S77" s="1" t="s">
        <v>96</v>
      </c>
      <c r="V77" s="16">
        <v>1990</v>
      </c>
      <c r="W77" s="16"/>
      <c r="X77" s="16"/>
      <c r="Y77"/>
      <c r="Z77"/>
      <c r="AA77"/>
    </row>
    <row r="78" spans="1:27" x14ac:dyDescent="0.2">
      <c r="A78" s="1">
        <v>1974</v>
      </c>
      <c r="B78" s="2" t="d">
        <v>1974-06-30</v>
      </c>
      <c r="C78" s="1" t="s">
        <v>32</v>
      </c>
      <c r="D78" s="12" t="s">
        <v>242</v>
      </c>
      <c r="E78" s="1" t="s">
        <v>239</v>
      </c>
      <c r="F78" s="1" t="s">
        <v>240</v>
      </c>
      <c r="G78" s="1" t="s">
        <v>65</v>
      </c>
      <c r="H78" s="1" t="s">
        <v>226</v>
      </c>
      <c r="I78" s="1">
        <v>0</v>
      </c>
      <c r="J78" s="1">
        <v>2</v>
      </c>
      <c r="K78" s="1" t="s">
        <v>59</v>
      </c>
      <c r="L78" s="1" t="s">
        <v>19</v>
      </c>
      <c r="O78" s="1" t="s">
        <v>7</v>
      </c>
      <c r="P78" s="1">
        <v>1974</v>
      </c>
      <c r="Q78" s="12" t="s">
        <v>242</v>
      </c>
      <c r="R78" s="1" t="s">
        <v>226</v>
      </c>
      <c r="S78" s="1" t="s">
        <v>65</v>
      </c>
      <c r="V78" s="16">
        <v>1998</v>
      </c>
      <c r="W78" s="16"/>
      <c r="X78" s="16"/>
      <c r="Y78"/>
      <c r="Z78"/>
      <c r="AA78"/>
    </row>
    <row r="79" spans="1:27" x14ac:dyDescent="0.2">
      <c r="A79" s="1">
        <v>1974</v>
      </c>
      <c r="B79" s="2" t="d">
        <v>1974-06-30</v>
      </c>
      <c r="C79" s="1" t="s">
        <v>185</v>
      </c>
      <c r="D79" s="12" t="s">
        <v>241</v>
      </c>
      <c r="E79" s="1" t="s">
        <v>233</v>
      </c>
      <c r="F79" s="1" t="s">
        <v>234</v>
      </c>
      <c r="G79" s="1" t="s">
        <v>65</v>
      </c>
      <c r="H79" s="1" t="s">
        <v>133</v>
      </c>
      <c r="I79" s="1">
        <v>4</v>
      </c>
      <c r="J79" s="1">
        <v>2</v>
      </c>
      <c r="K79" s="1" t="s">
        <v>62</v>
      </c>
      <c r="L79" s="1" t="s">
        <v>19</v>
      </c>
      <c r="O79" s="1" t="s">
        <v>7</v>
      </c>
      <c r="P79" s="1">
        <v>1974</v>
      </c>
      <c r="Q79" s="12" t="s">
        <v>241</v>
      </c>
      <c r="R79" s="1" t="s">
        <v>133</v>
      </c>
      <c r="S79" s="14" t="s">
        <v>65</v>
      </c>
      <c r="V79" s="6" t="s">
        <v>533</v>
      </c>
      <c r="W79" s="6"/>
      <c r="X79" s="6"/>
      <c r="Y79"/>
      <c r="Z79" s="16"/>
      <c r="AA79" s="16"/>
    </row>
    <row r="80" spans="1:27" x14ac:dyDescent="0.2">
      <c r="A80" s="1">
        <v>1974</v>
      </c>
      <c r="B80" s="2" t="d">
        <v>1974-07-03</v>
      </c>
      <c r="C80" s="1" t="s">
        <v>79</v>
      </c>
      <c r="D80" s="12" t="s">
        <v>241</v>
      </c>
      <c r="E80" s="1" t="s">
        <v>220</v>
      </c>
      <c r="F80" s="1" t="s">
        <v>221</v>
      </c>
      <c r="G80" s="1" t="s">
        <v>65</v>
      </c>
      <c r="H80" s="1" t="s">
        <v>96</v>
      </c>
      <c r="I80" s="1">
        <v>0</v>
      </c>
      <c r="J80" s="1">
        <v>1</v>
      </c>
      <c r="K80" s="1" t="s">
        <v>133</v>
      </c>
      <c r="L80" s="1" t="s">
        <v>19</v>
      </c>
      <c r="O80" s="1" t="s">
        <v>7</v>
      </c>
      <c r="P80" s="1">
        <v>1974</v>
      </c>
      <c r="Q80" s="12" t="s">
        <v>241</v>
      </c>
      <c r="R80" s="1" t="s">
        <v>96</v>
      </c>
      <c r="S80" s="1" t="s">
        <v>96</v>
      </c>
      <c r="V80"/>
      <c r="W80"/>
      <c r="X80"/>
      <c r="Y80"/>
      <c r="Z80" s="21"/>
      <c r="AA80" s="21"/>
    </row>
    <row r="81" spans="1:27" x14ac:dyDescent="0.2">
      <c r="A81" s="1">
        <v>1974</v>
      </c>
      <c r="B81" s="2" t="d">
        <v>1974-07-03</v>
      </c>
      <c r="C81" s="1" t="s">
        <v>185</v>
      </c>
      <c r="D81" s="12" t="s">
        <v>242</v>
      </c>
      <c r="E81" s="1" t="s">
        <v>228</v>
      </c>
      <c r="F81" s="1" t="s">
        <v>229</v>
      </c>
      <c r="G81" s="1" t="s">
        <v>65</v>
      </c>
      <c r="H81" s="1" t="s">
        <v>59</v>
      </c>
      <c r="I81" s="1">
        <v>2</v>
      </c>
      <c r="J81" s="1">
        <v>0</v>
      </c>
      <c r="K81" s="1" t="s">
        <v>27</v>
      </c>
      <c r="L81" s="1" t="s">
        <v>19</v>
      </c>
      <c r="O81" s="1" t="s">
        <v>7</v>
      </c>
      <c r="P81" s="1">
        <v>1974</v>
      </c>
      <c r="Q81" s="12" t="s">
        <v>242</v>
      </c>
      <c r="R81" s="1" t="s">
        <v>59</v>
      </c>
      <c r="S81" s="1" t="s">
        <v>59</v>
      </c>
      <c r="V81"/>
      <c r="W81"/>
      <c r="X81"/>
      <c r="Y81"/>
      <c r="Z81" s="21"/>
      <c r="AA81" s="21"/>
    </row>
    <row r="82" spans="1:27" x14ac:dyDescent="0.2">
      <c r="A82" s="1">
        <v>1974</v>
      </c>
      <c r="B82" s="2" t="d">
        <v>1974-07-03</v>
      </c>
      <c r="C82" s="1" t="s">
        <v>185</v>
      </c>
      <c r="D82" s="12" t="s">
        <v>242</v>
      </c>
      <c r="E82" s="1" t="s">
        <v>239</v>
      </c>
      <c r="F82" s="1" t="s">
        <v>240</v>
      </c>
      <c r="G82" s="1" t="s">
        <v>65</v>
      </c>
      <c r="H82" s="1" t="s">
        <v>33</v>
      </c>
      <c r="I82" s="1">
        <v>1</v>
      </c>
      <c r="J82" s="1">
        <v>1</v>
      </c>
      <c r="K82" s="1" t="s">
        <v>226</v>
      </c>
      <c r="L82" s="1" t="s">
        <v>19</v>
      </c>
      <c r="O82" s="1" t="s">
        <v>7</v>
      </c>
      <c r="P82" s="1">
        <v>1974</v>
      </c>
      <c r="Q82" s="12" t="s">
        <v>242</v>
      </c>
      <c r="R82" s="1" t="s">
        <v>33</v>
      </c>
      <c r="S82" s="1" t="s">
        <v>33</v>
      </c>
      <c r="V82"/>
      <c r="W82"/>
      <c r="X82"/>
      <c r="Y82"/>
      <c r="Z82" s="21"/>
      <c r="AA82" s="21"/>
    </row>
    <row r="83" spans="1:27" x14ac:dyDescent="0.2">
      <c r="A83" s="1">
        <v>1974</v>
      </c>
      <c r="B83" s="2" t="d">
        <v>1974-07-03</v>
      </c>
      <c r="C83" s="1" t="s">
        <v>185</v>
      </c>
      <c r="D83" s="12" t="s">
        <v>241</v>
      </c>
      <c r="E83" s="1" t="s">
        <v>233</v>
      </c>
      <c r="F83" s="1" t="s">
        <v>234</v>
      </c>
      <c r="G83" s="1" t="s">
        <v>65</v>
      </c>
      <c r="H83" s="1" t="s">
        <v>62</v>
      </c>
      <c r="I83" s="1">
        <v>2</v>
      </c>
      <c r="J83" s="1">
        <v>1</v>
      </c>
      <c r="K83" s="1" t="s">
        <v>26</v>
      </c>
      <c r="L83" s="1" t="s">
        <v>19</v>
      </c>
      <c r="O83" s="1" t="s">
        <v>7</v>
      </c>
      <c r="P83" s="1">
        <v>1974</v>
      </c>
      <c r="Q83" s="12" t="s">
        <v>241</v>
      </c>
      <c r="R83" s="1" t="s">
        <v>62</v>
      </c>
      <c r="S83" s="1" t="s">
        <v>62</v>
      </c>
      <c r="V83"/>
      <c r="W83"/>
      <c r="X83"/>
      <c r="Y83"/>
      <c r="Z83" s="16"/>
      <c r="AA83" s="16"/>
    </row>
    <row r="84" spans="1:27" x14ac:dyDescent="0.2">
      <c r="A84" s="1">
        <v>1974</v>
      </c>
      <c r="B84" s="2" t="d">
        <v>1974-07-06</v>
      </c>
      <c r="C84" s="1" t="s">
        <v>32</v>
      </c>
      <c r="D84" s="12" t="s">
        <v>76</v>
      </c>
      <c r="E84" s="1" t="s">
        <v>222</v>
      </c>
      <c r="F84" s="1" t="s">
        <v>235</v>
      </c>
      <c r="G84" s="1" t="s">
        <v>65</v>
      </c>
      <c r="H84" s="1" t="s">
        <v>27</v>
      </c>
      <c r="I84" s="1">
        <v>0</v>
      </c>
      <c r="J84" s="1">
        <v>1</v>
      </c>
      <c r="K84" s="1" t="s">
        <v>96</v>
      </c>
      <c r="L84" s="1" t="s">
        <v>19</v>
      </c>
      <c r="O84" s="1" t="s">
        <v>7</v>
      </c>
      <c r="P84" s="1">
        <v>1974</v>
      </c>
      <c r="Q84" s="12" t="s">
        <v>76</v>
      </c>
      <c r="R84" s="1" t="s">
        <v>27</v>
      </c>
      <c r="S84" s="1" t="s">
        <v>27</v>
      </c>
      <c r="V84"/>
      <c r="W84"/>
      <c r="X84"/>
      <c r="Y84"/>
      <c r="Z84" s="16"/>
      <c r="AA84" s="16"/>
    </row>
    <row r="85" spans="1:27" x14ac:dyDescent="0.2">
      <c r="A85" s="1">
        <v>1974</v>
      </c>
      <c r="B85" s="2" t="d">
        <v>1974-07-07</v>
      </c>
      <c r="C85" s="1" t="s">
        <v>32</v>
      </c>
      <c r="D85" s="12" t="s">
        <v>44</v>
      </c>
      <c r="E85" s="1" t="s">
        <v>222</v>
      </c>
      <c r="F85" s="1" t="s">
        <v>235</v>
      </c>
      <c r="G85" s="1" t="s">
        <v>65</v>
      </c>
      <c r="H85" s="1" t="s">
        <v>59</v>
      </c>
      <c r="I85" s="1">
        <v>1</v>
      </c>
      <c r="J85" s="1">
        <v>2</v>
      </c>
      <c r="K85" s="1" t="s">
        <v>133</v>
      </c>
      <c r="L85" s="1" t="s">
        <v>19</v>
      </c>
      <c r="O85" s="1" t="s">
        <v>7</v>
      </c>
      <c r="P85" s="1">
        <v>1974</v>
      </c>
      <c r="Q85" s="12" t="s">
        <v>44</v>
      </c>
      <c r="R85" s="1" t="s">
        <v>59</v>
      </c>
      <c r="S85" s="1" t="s">
        <v>59</v>
      </c>
      <c r="V85"/>
      <c r="W85"/>
      <c r="X85"/>
      <c r="Y85"/>
      <c r="Z85" s="21"/>
      <c r="AA85" s="21"/>
    </row>
    <row r="86" spans="1:27" x14ac:dyDescent="0.2">
      <c r="A86" s="1">
        <v>1978</v>
      </c>
      <c r="B86" s="2" t="d">
        <v>1978-06-14</v>
      </c>
      <c r="C86" s="1" t="s">
        <v>245</v>
      </c>
      <c r="D86" s="12" t="s">
        <v>242</v>
      </c>
      <c r="E86" s="1" t="s">
        <v>243</v>
      </c>
      <c r="F86" s="1" t="s">
        <v>244</v>
      </c>
      <c r="G86" s="1" t="s">
        <v>33</v>
      </c>
      <c r="H86" s="1" t="s">
        <v>133</v>
      </c>
      <c r="I86" s="1">
        <v>0</v>
      </c>
      <c r="J86" s="1">
        <v>0</v>
      </c>
      <c r="K86" s="1" t="s">
        <v>49</v>
      </c>
      <c r="L86" s="1" t="s">
        <v>19</v>
      </c>
      <c r="O86" s="1" t="s">
        <v>7</v>
      </c>
      <c r="P86" s="1">
        <v>1978</v>
      </c>
      <c r="Q86" s="12" t="s">
        <v>242</v>
      </c>
      <c r="R86" s="1" t="s">
        <v>133</v>
      </c>
      <c r="S86" s="14" t="s">
        <v>65</v>
      </c>
      <c r="V86"/>
      <c r="W86"/>
      <c r="X86"/>
      <c r="Y86"/>
      <c r="Z86" s="16"/>
      <c r="AA86" s="16"/>
    </row>
    <row r="87" spans="1:27" x14ac:dyDescent="0.2">
      <c r="A87" s="1">
        <v>1978</v>
      </c>
      <c r="B87" s="2" t="d">
        <v>1978-06-14</v>
      </c>
      <c r="C87" s="1" t="s">
        <v>245</v>
      </c>
      <c r="D87" s="12" t="s">
        <v>242</v>
      </c>
      <c r="E87" s="1" t="s">
        <v>254</v>
      </c>
      <c r="F87" s="1" t="s">
        <v>255</v>
      </c>
      <c r="G87" s="1" t="s">
        <v>33</v>
      </c>
      <c r="H87" s="1" t="s">
        <v>59</v>
      </c>
      <c r="I87" s="1">
        <v>5</v>
      </c>
      <c r="J87" s="1">
        <v>1</v>
      </c>
      <c r="K87" s="1" t="s">
        <v>50</v>
      </c>
      <c r="L87" s="1" t="s">
        <v>19</v>
      </c>
      <c r="O87" s="1" t="s">
        <v>7</v>
      </c>
      <c r="P87" s="1">
        <v>1978</v>
      </c>
      <c r="Q87" s="12" t="s">
        <v>242</v>
      </c>
      <c r="R87" s="1" t="s">
        <v>59</v>
      </c>
      <c r="S87" s="1" t="s">
        <v>59</v>
      </c>
      <c r="V87"/>
      <c r="W87"/>
      <c r="X87"/>
      <c r="Y87"/>
      <c r="Z87" s="16"/>
      <c r="AA87" s="16"/>
    </row>
    <row r="88" spans="1:27" x14ac:dyDescent="0.2">
      <c r="A88" s="1">
        <v>1978</v>
      </c>
      <c r="B88" s="2" t="d">
        <v>1978-06-14</v>
      </c>
      <c r="C88" s="1" t="s">
        <v>248</v>
      </c>
      <c r="D88" s="12" t="s">
        <v>241</v>
      </c>
      <c r="E88" s="1" t="s">
        <v>256</v>
      </c>
      <c r="F88" s="1" t="s">
        <v>257</v>
      </c>
      <c r="G88" s="1" t="s">
        <v>33</v>
      </c>
      <c r="H88" s="1" t="s">
        <v>27</v>
      </c>
      <c r="I88" s="1">
        <v>3</v>
      </c>
      <c r="J88" s="1">
        <v>0</v>
      </c>
      <c r="K88" s="1" t="s">
        <v>31</v>
      </c>
      <c r="L88" s="1" t="s">
        <v>19</v>
      </c>
      <c r="O88" s="1" t="s">
        <v>7</v>
      </c>
      <c r="P88" s="1">
        <v>1978</v>
      </c>
      <c r="Q88" s="12" t="s">
        <v>241</v>
      </c>
      <c r="R88" s="1" t="s">
        <v>27</v>
      </c>
      <c r="S88" s="1" t="s">
        <v>27</v>
      </c>
      <c r="V88"/>
      <c r="W88"/>
      <c r="X88"/>
      <c r="Y88"/>
      <c r="Z88" s="16"/>
      <c r="AA88" s="16"/>
    </row>
    <row r="89" spans="1:27" x14ac:dyDescent="0.2">
      <c r="A89" s="1">
        <v>1978</v>
      </c>
      <c r="B89" s="2" t="d">
        <v>1978-06-14</v>
      </c>
      <c r="C89" s="1" t="s">
        <v>252</v>
      </c>
      <c r="D89" s="12" t="s">
        <v>241</v>
      </c>
      <c r="E89" s="1" t="s">
        <v>249</v>
      </c>
      <c r="F89" s="1" t="s">
        <v>250</v>
      </c>
      <c r="G89" s="1" t="s">
        <v>33</v>
      </c>
      <c r="H89" s="1" t="s">
        <v>33</v>
      </c>
      <c r="I89" s="1">
        <v>2</v>
      </c>
      <c r="J89" s="1">
        <v>0</v>
      </c>
      <c r="K89" s="1" t="s">
        <v>96</v>
      </c>
      <c r="L89" s="1" t="s">
        <v>19</v>
      </c>
      <c r="O89" s="1" t="s">
        <v>7</v>
      </c>
      <c r="P89" s="1">
        <v>1978</v>
      </c>
      <c r="Q89" s="12" t="s">
        <v>241</v>
      </c>
      <c r="R89" s="1" t="s">
        <v>33</v>
      </c>
      <c r="S89" s="1" t="s">
        <v>33</v>
      </c>
      <c r="V89"/>
      <c r="W89"/>
      <c r="X89"/>
      <c r="Y89"/>
      <c r="Z89" s="21"/>
      <c r="AA89" s="21"/>
    </row>
    <row r="90" spans="1:27" x14ac:dyDescent="0.2">
      <c r="A90" s="1">
        <v>1978</v>
      </c>
      <c r="B90" s="2" t="d">
        <v>1978-06-18</v>
      </c>
      <c r="C90" s="1" t="s">
        <v>245</v>
      </c>
      <c r="D90" s="12" t="s">
        <v>241</v>
      </c>
      <c r="E90" s="1" t="s">
        <v>256</v>
      </c>
      <c r="F90" s="1" t="s">
        <v>257</v>
      </c>
      <c r="G90" s="1" t="s">
        <v>33</v>
      </c>
      <c r="H90" s="1" t="s">
        <v>96</v>
      </c>
      <c r="I90" s="1">
        <v>1</v>
      </c>
      <c r="J90" s="1">
        <v>0</v>
      </c>
      <c r="K90" s="1" t="s">
        <v>31</v>
      </c>
      <c r="L90" s="1" t="s">
        <v>19</v>
      </c>
      <c r="O90" s="1" t="s">
        <v>7</v>
      </c>
      <c r="P90" s="1">
        <v>1978</v>
      </c>
      <c r="Q90" s="12" t="s">
        <v>241</v>
      </c>
      <c r="R90" s="1" t="s">
        <v>96</v>
      </c>
      <c r="S90" s="1" t="s">
        <v>96</v>
      </c>
      <c r="V90"/>
      <c r="W90"/>
      <c r="X90"/>
      <c r="Y90"/>
      <c r="Z90" s="16"/>
      <c r="AA90" s="16"/>
    </row>
    <row r="91" spans="1:27" x14ac:dyDescent="0.2">
      <c r="A91" s="1">
        <v>1978</v>
      </c>
      <c r="B91" s="2" t="d">
        <v>1978-06-18</v>
      </c>
      <c r="C91" s="1" t="s">
        <v>248</v>
      </c>
      <c r="D91" s="12" t="s">
        <v>242</v>
      </c>
      <c r="E91" s="1" t="s">
        <v>243</v>
      </c>
      <c r="F91" s="1" t="s">
        <v>244</v>
      </c>
      <c r="G91" s="1" t="s">
        <v>33</v>
      </c>
      <c r="H91" s="1" t="s">
        <v>49</v>
      </c>
      <c r="I91" s="1">
        <v>1</v>
      </c>
      <c r="J91" s="1">
        <v>0</v>
      </c>
      <c r="K91" s="1" t="s">
        <v>50</v>
      </c>
      <c r="L91" s="1" t="s">
        <v>19</v>
      </c>
      <c r="O91" s="1" t="s">
        <v>7</v>
      </c>
      <c r="P91" s="1">
        <v>1978</v>
      </c>
      <c r="Q91" s="12" t="s">
        <v>242</v>
      </c>
      <c r="R91" s="1" t="s">
        <v>49</v>
      </c>
      <c r="S91" s="1" t="s">
        <v>49</v>
      </c>
      <c r="V91"/>
      <c r="Y91"/>
      <c r="Z91" s="16"/>
      <c r="AA91" s="16"/>
    </row>
    <row r="92" spans="1:27" x14ac:dyDescent="0.2">
      <c r="A92" s="1">
        <v>1978</v>
      </c>
      <c r="B92" s="2" t="d">
        <v>1978-06-18</v>
      </c>
      <c r="C92" s="1" t="s">
        <v>248</v>
      </c>
      <c r="D92" s="12" t="s">
        <v>242</v>
      </c>
      <c r="E92" s="1" t="s">
        <v>254</v>
      </c>
      <c r="F92" s="1" t="s">
        <v>255</v>
      </c>
      <c r="G92" s="1" t="s">
        <v>33</v>
      </c>
      <c r="H92" s="1" t="s">
        <v>133</v>
      </c>
      <c r="I92" s="1">
        <v>2</v>
      </c>
      <c r="J92" s="1">
        <v>2</v>
      </c>
      <c r="K92" s="1" t="s">
        <v>59</v>
      </c>
      <c r="L92" s="1" t="s">
        <v>19</v>
      </c>
      <c r="O92" s="1" t="s">
        <v>7</v>
      </c>
      <c r="P92" s="1">
        <v>1978</v>
      </c>
      <c r="Q92" s="12" t="s">
        <v>242</v>
      </c>
      <c r="R92" s="1" t="s">
        <v>133</v>
      </c>
      <c r="S92" s="14" t="s">
        <v>65</v>
      </c>
      <c r="V92"/>
      <c r="Y92"/>
      <c r="Z92" s="16"/>
      <c r="AA92" s="16"/>
    </row>
    <row r="93" spans="1:27" x14ac:dyDescent="0.2">
      <c r="A93" s="1">
        <v>1978</v>
      </c>
      <c r="B93" s="2" t="d">
        <v>1978-06-18</v>
      </c>
      <c r="C93" s="1" t="s">
        <v>252</v>
      </c>
      <c r="D93" s="12" t="s">
        <v>241</v>
      </c>
      <c r="E93" s="1" t="s">
        <v>249</v>
      </c>
      <c r="F93" s="1" t="s">
        <v>250</v>
      </c>
      <c r="G93" s="1" t="s">
        <v>33</v>
      </c>
      <c r="H93" s="1" t="s">
        <v>33</v>
      </c>
      <c r="I93" s="1">
        <v>0</v>
      </c>
      <c r="J93" s="1">
        <v>0</v>
      </c>
      <c r="K93" s="1" t="s">
        <v>27</v>
      </c>
      <c r="L93" s="1" t="s">
        <v>19</v>
      </c>
      <c r="O93" s="1" t="s">
        <v>7</v>
      </c>
      <c r="P93" s="1">
        <v>1978</v>
      </c>
      <c r="Q93" s="12" t="s">
        <v>241</v>
      </c>
      <c r="R93" s="1" t="s">
        <v>33</v>
      </c>
      <c r="S93" s="1" t="s">
        <v>33</v>
      </c>
      <c r="V93"/>
      <c r="Y93"/>
      <c r="Z93" s="16"/>
      <c r="AA93" s="16"/>
    </row>
    <row r="94" spans="1:27" x14ac:dyDescent="0.2">
      <c r="A94" s="1">
        <v>1978</v>
      </c>
      <c r="B94" s="2" t="d">
        <v>1978-06-21</v>
      </c>
      <c r="C94" s="1" t="s">
        <v>245</v>
      </c>
      <c r="D94" s="12" t="s">
        <v>242</v>
      </c>
      <c r="E94" s="1" t="s">
        <v>243</v>
      </c>
      <c r="F94" s="1" t="s">
        <v>244</v>
      </c>
      <c r="G94" s="1" t="s">
        <v>33</v>
      </c>
      <c r="H94" s="1" t="s">
        <v>59</v>
      </c>
      <c r="I94" s="1">
        <v>2</v>
      </c>
      <c r="J94" s="1">
        <v>1</v>
      </c>
      <c r="K94" s="1" t="s">
        <v>49</v>
      </c>
      <c r="L94" s="1" t="s">
        <v>19</v>
      </c>
      <c r="O94" s="1" t="s">
        <v>7</v>
      </c>
      <c r="P94" s="1">
        <v>1978</v>
      </c>
      <c r="Q94" s="12" t="s">
        <v>242</v>
      </c>
      <c r="R94" s="1" t="s">
        <v>59</v>
      </c>
      <c r="S94" s="1" t="s">
        <v>59</v>
      </c>
      <c r="V94"/>
      <c r="Y94"/>
      <c r="Z94" s="16"/>
      <c r="AA94" s="16"/>
    </row>
    <row r="95" spans="1:27" x14ac:dyDescent="0.2">
      <c r="A95" s="1">
        <v>1978</v>
      </c>
      <c r="B95" s="2" t="d">
        <v>1978-06-21</v>
      </c>
      <c r="C95" s="1" t="s">
        <v>245</v>
      </c>
      <c r="D95" s="12" t="s">
        <v>242</v>
      </c>
      <c r="E95" s="1" t="s">
        <v>254</v>
      </c>
      <c r="F95" s="1" t="s">
        <v>255</v>
      </c>
      <c r="G95" s="1" t="s">
        <v>33</v>
      </c>
      <c r="H95" s="1" t="s">
        <v>50</v>
      </c>
      <c r="I95" s="1">
        <v>3</v>
      </c>
      <c r="J95" s="1">
        <v>2</v>
      </c>
      <c r="K95" s="1" t="s">
        <v>133</v>
      </c>
      <c r="L95" s="1" t="s">
        <v>19</v>
      </c>
      <c r="O95" s="1" t="s">
        <v>7</v>
      </c>
      <c r="P95" s="1">
        <v>1978</v>
      </c>
      <c r="Q95" s="12" t="s">
        <v>242</v>
      </c>
      <c r="R95" s="1" t="s">
        <v>50</v>
      </c>
      <c r="S95" s="1" t="s">
        <v>50</v>
      </c>
      <c r="V95"/>
      <c r="Y95"/>
      <c r="Z95" s="16"/>
      <c r="AA95" s="16"/>
    </row>
    <row r="96" spans="1:27" x14ac:dyDescent="0.2">
      <c r="A96" s="1">
        <v>1978</v>
      </c>
      <c r="B96" s="2" t="d">
        <v>1978-06-21</v>
      </c>
      <c r="C96" s="1" t="s">
        <v>248</v>
      </c>
      <c r="D96" s="12" t="s">
        <v>241</v>
      </c>
      <c r="E96" s="1" t="s">
        <v>256</v>
      </c>
      <c r="F96" s="1" t="s">
        <v>257</v>
      </c>
      <c r="G96" s="1" t="s">
        <v>33</v>
      </c>
      <c r="H96" s="1" t="s">
        <v>27</v>
      </c>
      <c r="I96" s="1">
        <v>3</v>
      </c>
      <c r="J96" s="1">
        <v>1</v>
      </c>
      <c r="K96" s="1" t="s">
        <v>96</v>
      </c>
      <c r="L96" s="1" t="s">
        <v>19</v>
      </c>
      <c r="O96" s="1" t="s">
        <v>7</v>
      </c>
      <c r="P96" s="1">
        <v>1978</v>
      </c>
      <c r="Q96" s="12" t="s">
        <v>241</v>
      </c>
      <c r="R96" s="1" t="s">
        <v>27</v>
      </c>
      <c r="S96" s="1" t="s">
        <v>27</v>
      </c>
      <c r="V96"/>
      <c r="Y96"/>
      <c r="Z96" s="16"/>
      <c r="AA96" s="16"/>
    </row>
    <row r="97" spans="1:27" x14ac:dyDescent="0.2">
      <c r="A97" s="1">
        <v>1978</v>
      </c>
      <c r="B97" s="2" t="d">
        <v>1978-06-21</v>
      </c>
      <c r="C97" s="1" t="s">
        <v>252</v>
      </c>
      <c r="D97" s="12" t="s">
        <v>241</v>
      </c>
      <c r="E97" s="1" t="s">
        <v>249</v>
      </c>
      <c r="F97" s="1" t="s">
        <v>250</v>
      </c>
      <c r="G97" s="1" t="s">
        <v>33</v>
      </c>
      <c r="H97" s="1" t="s">
        <v>33</v>
      </c>
      <c r="I97" s="1">
        <v>6</v>
      </c>
      <c r="J97" s="1">
        <v>0</v>
      </c>
      <c r="K97" s="1" t="s">
        <v>31</v>
      </c>
      <c r="L97" s="1" t="s">
        <v>19</v>
      </c>
      <c r="O97" s="1" t="s">
        <v>7</v>
      </c>
      <c r="P97" s="1">
        <v>1978</v>
      </c>
      <c r="Q97" s="12" t="s">
        <v>241</v>
      </c>
      <c r="R97" s="1" t="s">
        <v>33</v>
      </c>
      <c r="S97" s="1" t="s">
        <v>33</v>
      </c>
      <c r="V97"/>
      <c r="Y97"/>
      <c r="Z97" s="16"/>
      <c r="AA97" s="16"/>
    </row>
    <row r="98" spans="1:27" x14ac:dyDescent="0.2">
      <c r="A98" s="1">
        <v>1978</v>
      </c>
      <c r="B98" s="2" t="d">
        <v>1978-06-24</v>
      </c>
      <c r="C98" s="1" t="s">
        <v>12</v>
      </c>
      <c r="D98" s="12" t="s">
        <v>76</v>
      </c>
      <c r="E98" s="1" t="s">
        <v>243</v>
      </c>
      <c r="F98" s="1" t="s">
        <v>244</v>
      </c>
      <c r="G98" s="1" t="s">
        <v>33</v>
      </c>
      <c r="H98" s="1" t="s">
        <v>27</v>
      </c>
      <c r="I98" s="1">
        <v>2</v>
      </c>
      <c r="J98" s="1">
        <v>1</v>
      </c>
      <c r="K98" s="1" t="s">
        <v>49</v>
      </c>
      <c r="L98" s="1" t="s">
        <v>19</v>
      </c>
      <c r="O98" s="1" t="s">
        <v>7</v>
      </c>
      <c r="P98" s="1">
        <v>1978</v>
      </c>
      <c r="Q98" s="12" t="s">
        <v>76</v>
      </c>
      <c r="R98" s="1" t="s">
        <v>27</v>
      </c>
      <c r="S98" s="1" t="s">
        <v>27</v>
      </c>
      <c r="V98"/>
      <c r="Y98"/>
      <c r="Z98" s="21"/>
      <c r="AA98" s="21"/>
    </row>
    <row r="99" spans="1:27" x14ac:dyDescent="0.2">
      <c r="A99" s="1">
        <v>1978</v>
      </c>
      <c r="B99" s="2" t="d">
        <v>1978-06-25</v>
      </c>
      <c r="C99" s="1" t="s">
        <v>12</v>
      </c>
      <c r="D99" s="12" t="s">
        <v>44</v>
      </c>
      <c r="E99" s="1" t="s">
        <v>243</v>
      </c>
      <c r="F99" s="1" t="s">
        <v>244</v>
      </c>
      <c r="G99" s="1" t="s">
        <v>33</v>
      </c>
      <c r="H99" s="1" t="s">
        <v>33</v>
      </c>
      <c r="I99" s="1">
        <v>3</v>
      </c>
      <c r="J99" s="1">
        <v>1</v>
      </c>
      <c r="K99" s="1" t="s">
        <v>59</v>
      </c>
      <c r="L99" s="1" t="s">
        <v>261</v>
      </c>
      <c r="O99" s="1" t="s">
        <v>7</v>
      </c>
      <c r="P99" s="1">
        <v>1978</v>
      </c>
      <c r="Q99" s="12" t="s">
        <v>44</v>
      </c>
      <c r="R99" s="1" t="s">
        <v>33</v>
      </c>
      <c r="S99" s="1" t="s">
        <v>33</v>
      </c>
      <c r="V99"/>
      <c r="Y99"/>
      <c r="Z99" s="21"/>
      <c r="AA99" s="21"/>
    </row>
    <row r="100" spans="1:27" x14ac:dyDescent="0.2">
      <c r="A100" s="1">
        <v>1982</v>
      </c>
      <c r="B100" s="2" t="d">
        <v>1982-07-08</v>
      </c>
      <c r="C100" s="1" t="s">
        <v>265</v>
      </c>
      <c r="D100" s="12" t="s">
        <v>42</v>
      </c>
      <c r="E100" s="1" t="s">
        <v>263</v>
      </c>
      <c r="F100" s="1" t="s">
        <v>264</v>
      </c>
      <c r="G100" s="1" t="s">
        <v>68</v>
      </c>
      <c r="H100" s="1" t="s">
        <v>96</v>
      </c>
      <c r="I100" s="1">
        <v>0</v>
      </c>
      <c r="J100" s="1">
        <v>2</v>
      </c>
      <c r="K100" s="1" t="s">
        <v>49</v>
      </c>
      <c r="L100" s="1" t="s">
        <v>19</v>
      </c>
      <c r="O100" s="1" t="s">
        <v>7</v>
      </c>
      <c r="P100" s="1">
        <v>1982</v>
      </c>
      <c r="Q100" s="12" t="s">
        <v>42</v>
      </c>
      <c r="R100" s="1" t="s">
        <v>96</v>
      </c>
      <c r="S100" s="1" t="s">
        <v>96</v>
      </c>
      <c r="V100"/>
      <c r="Y100"/>
      <c r="Z100" s="20"/>
      <c r="AA100" s="20"/>
    </row>
    <row r="101" spans="1:27" x14ac:dyDescent="0.2">
      <c r="A101" s="1">
        <v>1982</v>
      </c>
      <c r="B101" s="2" t="d">
        <v>1982-07-08</v>
      </c>
      <c r="C101" s="1" t="s">
        <v>268</v>
      </c>
      <c r="D101" s="12" t="s">
        <v>42</v>
      </c>
      <c r="E101" s="1" t="s">
        <v>269</v>
      </c>
      <c r="F101" s="1" t="s">
        <v>270</v>
      </c>
      <c r="G101" s="1" t="s">
        <v>68</v>
      </c>
      <c r="H101" s="1" t="s">
        <v>133</v>
      </c>
      <c r="I101" s="1">
        <v>3</v>
      </c>
      <c r="J101" s="1">
        <v>3</v>
      </c>
      <c r="K101" s="1" t="s">
        <v>17</v>
      </c>
      <c r="L101" s="1" t="s">
        <v>303</v>
      </c>
      <c r="O101" s="1" t="s">
        <v>7</v>
      </c>
      <c r="P101" s="1">
        <v>1982</v>
      </c>
      <c r="Q101" s="12" t="s">
        <v>42</v>
      </c>
      <c r="R101" s="1" t="s">
        <v>133</v>
      </c>
      <c r="S101" s="14" t="s">
        <v>65</v>
      </c>
      <c r="V101"/>
      <c r="Y101"/>
      <c r="Z101" s="20"/>
      <c r="AA101" s="20"/>
    </row>
    <row r="102" spans="1:27" x14ac:dyDescent="0.2">
      <c r="A102" s="1">
        <v>1982</v>
      </c>
      <c r="B102" s="2" t="d">
        <v>1982-07-10</v>
      </c>
      <c r="C102" s="1" t="s">
        <v>262</v>
      </c>
      <c r="D102" s="12" t="s">
        <v>76</v>
      </c>
      <c r="E102" s="1" t="s">
        <v>296</v>
      </c>
      <c r="F102" s="1" t="s">
        <v>297</v>
      </c>
      <c r="G102" s="1" t="s">
        <v>68</v>
      </c>
      <c r="H102" s="1" t="s">
        <v>96</v>
      </c>
      <c r="I102" s="1">
        <v>3</v>
      </c>
      <c r="J102" s="1">
        <v>2</v>
      </c>
      <c r="K102" s="1" t="s">
        <v>17</v>
      </c>
      <c r="L102" s="1" t="s">
        <v>19</v>
      </c>
      <c r="O102" s="1" t="s">
        <v>7</v>
      </c>
      <c r="P102" s="1">
        <v>1982</v>
      </c>
      <c r="Q102" s="12" t="s">
        <v>76</v>
      </c>
      <c r="R102" s="1" t="s">
        <v>96</v>
      </c>
      <c r="S102" s="1" t="s">
        <v>96</v>
      </c>
      <c r="V102"/>
      <c r="Y102"/>
      <c r="Z102" s="20"/>
      <c r="AA102" s="20"/>
    </row>
    <row r="103" spans="1:27" x14ac:dyDescent="0.2">
      <c r="A103" s="1">
        <v>1982</v>
      </c>
      <c r="B103" s="2" t="d">
        <v>1982-07-11</v>
      </c>
      <c r="C103" s="1" t="s">
        <v>262</v>
      </c>
      <c r="D103" s="12" t="s">
        <v>44</v>
      </c>
      <c r="E103" s="1" t="s">
        <v>302</v>
      </c>
      <c r="F103" s="1" t="s">
        <v>300</v>
      </c>
      <c r="G103" s="1" t="s">
        <v>68</v>
      </c>
      <c r="H103" s="1" t="s">
        <v>49</v>
      </c>
      <c r="I103" s="1">
        <v>3</v>
      </c>
      <c r="J103" s="1">
        <v>1</v>
      </c>
      <c r="K103" s="1" t="s">
        <v>133</v>
      </c>
      <c r="L103" s="1" t="s">
        <v>19</v>
      </c>
      <c r="O103" s="1" t="s">
        <v>7</v>
      </c>
      <c r="P103" s="1">
        <v>1982</v>
      </c>
      <c r="Q103" s="12" t="s">
        <v>44</v>
      </c>
      <c r="R103" s="1" t="s">
        <v>49</v>
      </c>
      <c r="S103" s="1" t="s">
        <v>49</v>
      </c>
      <c r="V103"/>
      <c r="Y103"/>
      <c r="Z103" s="20"/>
      <c r="AA103" s="20"/>
    </row>
    <row r="104" spans="1:27" x14ac:dyDescent="0.2">
      <c r="A104" s="1">
        <v>1986</v>
      </c>
      <c r="B104" s="2" t="d">
        <v>1986-06-15</v>
      </c>
      <c r="C104" s="1" t="s">
        <v>32</v>
      </c>
      <c r="D104" s="12" t="s">
        <v>323</v>
      </c>
      <c r="E104" s="1" t="s">
        <v>210</v>
      </c>
      <c r="F104" s="1" t="s">
        <v>211</v>
      </c>
      <c r="G104" s="1" t="s">
        <v>18</v>
      </c>
      <c r="H104" s="1" t="s">
        <v>151</v>
      </c>
      <c r="I104" s="1">
        <v>3</v>
      </c>
      <c r="J104" s="1">
        <v>4</v>
      </c>
      <c r="K104" s="1" t="s">
        <v>23</v>
      </c>
      <c r="L104" s="1" t="s">
        <v>324</v>
      </c>
      <c r="O104" s="1" t="s">
        <v>7</v>
      </c>
      <c r="P104" s="1">
        <v>1986</v>
      </c>
      <c r="Q104" s="12" t="s">
        <v>323</v>
      </c>
      <c r="R104" s="1" t="s">
        <v>151</v>
      </c>
      <c r="S104" s="1" t="s">
        <v>151</v>
      </c>
      <c r="V104"/>
      <c r="Y104"/>
      <c r="Z104" s="16"/>
      <c r="AA104" s="16"/>
    </row>
    <row r="105" spans="1:27" x14ac:dyDescent="0.2">
      <c r="A105" s="1">
        <v>1986</v>
      </c>
      <c r="B105" s="2" t="d">
        <v>1986-06-15</v>
      </c>
      <c r="C105" s="1" t="s">
        <v>204</v>
      </c>
      <c r="D105" s="12" t="s">
        <v>323</v>
      </c>
      <c r="E105" s="1" t="s">
        <v>205</v>
      </c>
      <c r="F105" s="1" t="s">
        <v>206</v>
      </c>
      <c r="G105" s="1" t="s">
        <v>18</v>
      </c>
      <c r="H105" s="1" t="s">
        <v>18</v>
      </c>
      <c r="I105" s="1">
        <v>2</v>
      </c>
      <c r="J105" s="1">
        <v>0</v>
      </c>
      <c r="K105" s="1" t="s">
        <v>182</v>
      </c>
      <c r="L105" s="1" t="s">
        <v>19</v>
      </c>
      <c r="O105" s="1" t="s">
        <v>7</v>
      </c>
      <c r="P105" s="1">
        <v>1986</v>
      </c>
      <c r="Q105" s="12" t="s">
        <v>323</v>
      </c>
      <c r="R105" s="1" t="s">
        <v>18</v>
      </c>
      <c r="S105" s="1" t="s">
        <v>18</v>
      </c>
      <c r="V105"/>
      <c r="Y105"/>
      <c r="Z105" s="20"/>
      <c r="AA105" s="20"/>
    </row>
    <row r="106" spans="1:27" x14ac:dyDescent="0.2">
      <c r="A106" s="1">
        <v>1986</v>
      </c>
      <c r="B106" s="2" t="d">
        <v>1986-06-16</v>
      </c>
      <c r="C106" s="1" t="s">
        <v>32</v>
      </c>
      <c r="D106" s="12" t="s">
        <v>323</v>
      </c>
      <c r="E106" s="1" t="s">
        <v>207</v>
      </c>
      <c r="F106" s="1" t="s">
        <v>208</v>
      </c>
      <c r="G106" s="1" t="s">
        <v>18</v>
      </c>
      <c r="H106" s="1" t="s">
        <v>33</v>
      </c>
      <c r="I106" s="1">
        <v>1</v>
      </c>
      <c r="J106" s="1">
        <v>0</v>
      </c>
      <c r="K106" s="1" t="s">
        <v>16</v>
      </c>
      <c r="L106" s="1" t="s">
        <v>19</v>
      </c>
      <c r="O106" s="1" t="s">
        <v>7</v>
      </c>
      <c r="P106" s="1">
        <v>1986</v>
      </c>
      <c r="Q106" s="12" t="s">
        <v>323</v>
      </c>
      <c r="R106" s="1" t="s">
        <v>33</v>
      </c>
      <c r="S106" s="1" t="s">
        <v>33</v>
      </c>
      <c r="V106"/>
      <c r="Y106"/>
      <c r="Z106" s="20"/>
      <c r="AA106" s="20"/>
    </row>
    <row r="107" spans="1:27" x14ac:dyDescent="0.2">
      <c r="A107" s="1">
        <v>1986</v>
      </c>
      <c r="B107" s="2" t="d">
        <v>1986-06-16</v>
      </c>
      <c r="C107" s="1" t="s">
        <v>204</v>
      </c>
      <c r="D107" s="12" t="s">
        <v>323</v>
      </c>
      <c r="E107" s="1" t="s">
        <v>212</v>
      </c>
      <c r="F107" s="1" t="s">
        <v>213</v>
      </c>
      <c r="G107" s="1" t="s">
        <v>18</v>
      </c>
      <c r="H107" s="1" t="s">
        <v>27</v>
      </c>
      <c r="I107" s="1">
        <v>4</v>
      </c>
      <c r="J107" s="1">
        <v>0</v>
      </c>
      <c r="K107" s="1" t="s">
        <v>96</v>
      </c>
      <c r="L107" s="1" t="s">
        <v>19</v>
      </c>
      <c r="O107" s="1" t="s">
        <v>7</v>
      </c>
      <c r="P107" s="1">
        <v>1986</v>
      </c>
      <c r="Q107" s="12" t="s">
        <v>323</v>
      </c>
      <c r="R107" s="1" t="s">
        <v>27</v>
      </c>
      <c r="S107" s="1" t="s">
        <v>27</v>
      </c>
      <c r="V107"/>
      <c r="Y107"/>
      <c r="Z107" s="20"/>
      <c r="AA107" s="20"/>
    </row>
    <row r="108" spans="1:27" x14ac:dyDescent="0.2">
      <c r="A108" s="1">
        <v>1986</v>
      </c>
      <c r="B108" s="2" t="d">
        <v>1986-06-17</v>
      </c>
      <c r="C108" s="1" t="s">
        <v>204</v>
      </c>
      <c r="D108" s="12" t="s">
        <v>323</v>
      </c>
      <c r="E108" s="1" t="s">
        <v>309</v>
      </c>
      <c r="F108" s="1" t="s">
        <v>206</v>
      </c>
      <c r="G108" s="1" t="s">
        <v>18</v>
      </c>
      <c r="H108" s="1" t="s">
        <v>49</v>
      </c>
      <c r="I108" s="1">
        <v>0</v>
      </c>
      <c r="J108" s="1">
        <v>2</v>
      </c>
      <c r="K108" s="1" t="s">
        <v>17</v>
      </c>
      <c r="L108" s="1" t="s">
        <v>19</v>
      </c>
      <c r="O108" s="1" t="s">
        <v>7</v>
      </c>
      <c r="P108" s="1">
        <v>1986</v>
      </c>
      <c r="Q108" s="12" t="s">
        <v>323</v>
      </c>
      <c r="R108" s="1" t="s">
        <v>49</v>
      </c>
      <c r="S108" s="1" t="s">
        <v>49</v>
      </c>
      <c r="V108"/>
      <c r="Y108"/>
      <c r="Z108" s="16"/>
      <c r="AA108" s="16"/>
    </row>
    <row r="109" spans="1:27" x14ac:dyDescent="0.2">
      <c r="A109" s="1">
        <v>1986</v>
      </c>
      <c r="B109" s="2" t="d">
        <v>1986-06-17</v>
      </c>
      <c r="C109" s="1" t="s">
        <v>32</v>
      </c>
      <c r="D109" s="12" t="s">
        <v>323</v>
      </c>
      <c r="E109" s="1" t="s">
        <v>311</v>
      </c>
      <c r="F109" s="1" t="s">
        <v>312</v>
      </c>
      <c r="G109" s="1" t="s">
        <v>18</v>
      </c>
      <c r="H109" s="1" t="s">
        <v>216</v>
      </c>
      <c r="I109" s="1">
        <v>0</v>
      </c>
      <c r="J109" s="1">
        <v>1</v>
      </c>
      <c r="K109" s="1" t="s">
        <v>133</v>
      </c>
      <c r="L109" s="1" t="s">
        <v>19</v>
      </c>
      <c r="O109" s="1" t="s">
        <v>7</v>
      </c>
      <c r="P109" s="1">
        <v>1986</v>
      </c>
      <c r="Q109" s="12" t="s">
        <v>323</v>
      </c>
      <c r="R109" s="1" t="s">
        <v>216</v>
      </c>
      <c r="S109" s="1" t="s">
        <v>216</v>
      </c>
      <c r="V109"/>
      <c r="Y109"/>
      <c r="Z109" s="16"/>
      <c r="AA109" s="16"/>
    </row>
    <row r="110" spans="1:27" x14ac:dyDescent="0.2">
      <c r="A110" s="1">
        <v>1986</v>
      </c>
      <c r="B110" s="2" t="d">
        <v>1986-06-18</v>
      </c>
      <c r="C110" s="1" t="s">
        <v>204</v>
      </c>
      <c r="D110" s="12" t="s">
        <v>323</v>
      </c>
      <c r="E110" s="1" t="s">
        <v>205</v>
      </c>
      <c r="F110" s="1" t="s">
        <v>206</v>
      </c>
      <c r="G110" s="1" t="s">
        <v>18</v>
      </c>
      <c r="H110" s="1" t="s">
        <v>110</v>
      </c>
      <c r="I110" s="1">
        <v>3</v>
      </c>
      <c r="J110" s="1">
        <v>0</v>
      </c>
      <c r="K110" s="1" t="s">
        <v>37</v>
      </c>
      <c r="L110" s="1" t="s">
        <v>19</v>
      </c>
      <c r="O110" s="1" t="s">
        <v>7</v>
      </c>
      <c r="P110" s="1">
        <v>1986</v>
      </c>
      <c r="Q110" s="12" t="s">
        <v>323</v>
      </c>
      <c r="R110" s="1" t="s">
        <v>110</v>
      </c>
      <c r="S110" s="1" t="s">
        <v>110</v>
      </c>
      <c r="V110"/>
      <c r="Y110"/>
      <c r="Z110" s="21"/>
      <c r="AA110" s="21"/>
    </row>
    <row r="111" spans="1:27" x14ac:dyDescent="0.2">
      <c r="A111" s="1">
        <v>1986</v>
      </c>
      <c r="B111" s="2" t="d">
        <v>1986-06-18</v>
      </c>
      <c r="C111" s="1" t="s">
        <v>32</v>
      </c>
      <c r="D111" s="12" t="s">
        <v>323</v>
      </c>
      <c r="E111" s="1" t="s">
        <v>321</v>
      </c>
      <c r="F111" s="1" t="s">
        <v>322</v>
      </c>
      <c r="G111" s="1" t="s">
        <v>18</v>
      </c>
      <c r="H111" s="1" t="s">
        <v>320</v>
      </c>
      <c r="I111" s="1">
        <v>1</v>
      </c>
      <c r="J111" s="1">
        <v>5</v>
      </c>
      <c r="K111" s="1" t="s">
        <v>68</v>
      </c>
      <c r="L111" s="1" t="s">
        <v>19</v>
      </c>
      <c r="O111" s="1" t="s">
        <v>7</v>
      </c>
      <c r="P111" s="1">
        <v>1986</v>
      </c>
      <c r="Q111" s="12" t="s">
        <v>323</v>
      </c>
      <c r="R111" s="1" t="s">
        <v>320</v>
      </c>
      <c r="S111" s="1" t="s">
        <v>320</v>
      </c>
      <c r="V111"/>
      <c r="Y111"/>
      <c r="Z111" s="16"/>
      <c r="AA111" s="16"/>
    </row>
    <row r="112" spans="1:27" x14ac:dyDescent="0.2">
      <c r="A112" s="1">
        <v>1986</v>
      </c>
      <c r="B112" s="2" t="d">
        <v>1986-06-21</v>
      </c>
      <c r="C112" s="1" t="s">
        <v>204</v>
      </c>
      <c r="D112" s="12" t="s">
        <v>74</v>
      </c>
      <c r="E112" s="1" t="s">
        <v>212</v>
      </c>
      <c r="F112" s="1" t="s">
        <v>213</v>
      </c>
      <c r="G112" s="1" t="s">
        <v>18</v>
      </c>
      <c r="H112" s="1" t="s">
        <v>27</v>
      </c>
      <c r="I112" s="1">
        <v>1</v>
      </c>
      <c r="J112" s="1">
        <v>1</v>
      </c>
      <c r="K112" s="1" t="s">
        <v>17</v>
      </c>
      <c r="L112" s="1" t="s">
        <v>325</v>
      </c>
      <c r="O112" s="1" t="s">
        <v>7</v>
      </c>
      <c r="P112" s="1">
        <v>1986</v>
      </c>
      <c r="Q112" s="12" t="s">
        <v>74</v>
      </c>
      <c r="R112" s="1" t="s">
        <v>27</v>
      </c>
      <c r="S112" s="1" t="s">
        <v>27</v>
      </c>
      <c r="V112"/>
      <c r="Y112"/>
      <c r="Z112" s="16"/>
      <c r="AA112" s="16"/>
    </row>
    <row r="113" spans="1:27" x14ac:dyDescent="0.2">
      <c r="A113" s="1">
        <v>1986</v>
      </c>
      <c r="B113" s="2" t="d">
        <v>1986-06-21</v>
      </c>
      <c r="C113" s="1" t="s">
        <v>32</v>
      </c>
      <c r="D113" s="12" t="s">
        <v>74</v>
      </c>
      <c r="E113" s="1" t="s">
        <v>311</v>
      </c>
      <c r="F113" s="1" t="s">
        <v>312</v>
      </c>
      <c r="G113" s="1" t="s">
        <v>18</v>
      </c>
      <c r="H113" s="1" t="s">
        <v>133</v>
      </c>
      <c r="I113" s="1">
        <v>0</v>
      </c>
      <c r="J113" s="1">
        <v>0</v>
      </c>
      <c r="K113" s="1" t="s">
        <v>18</v>
      </c>
      <c r="L113" s="1" t="s">
        <v>326</v>
      </c>
      <c r="O113" s="1" t="s">
        <v>7</v>
      </c>
      <c r="P113" s="1">
        <v>1986</v>
      </c>
      <c r="Q113" s="12" t="s">
        <v>74</v>
      </c>
      <c r="R113" s="1" t="s">
        <v>133</v>
      </c>
      <c r="S113" s="14" t="s">
        <v>65</v>
      </c>
      <c r="V113"/>
      <c r="Y113"/>
      <c r="Z113" s="16"/>
      <c r="AA113" s="16"/>
    </row>
    <row r="114" spans="1:27" x14ac:dyDescent="0.2">
      <c r="A114" s="1">
        <v>1986</v>
      </c>
      <c r="B114" s="2" t="d">
        <v>1986-06-22</v>
      </c>
      <c r="C114" s="1" t="s">
        <v>32</v>
      </c>
      <c r="D114" s="12" t="s">
        <v>74</v>
      </c>
      <c r="E114" s="1" t="s">
        <v>207</v>
      </c>
      <c r="F114" s="1" t="s">
        <v>208</v>
      </c>
      <c r="G114" s="1" t="s">
        <v>18</v>
      </c>
      <c r="H114" s="1" t="s">
        <v>68</v>
      </c>
      <c r="I114" s="1">
        <v>1</v>
      </c>
      <c r="J114" s="1">
        <v>1</v>
      </c>
      <c r="K114" s="1" t="s">
        <v>23</v>
      </c>
      <c r="L114" s="1" t="s">
        <v>327</v>
      </c>
      <c r="O114" s="1" t="s">
        <v>7</v>
      </c>
      <c r="P114" s="1">
        <v>1986</v>
      </c>
      <c r="Q114" s="12" t="s">
        <v>74</v>
      </c>
      <c r="R114" s="1" t="s">
        <v>68</v>
      </c>
      <c r="S114" s="1" t="s">
        <v>68</v>
      </c>
      <c r="V114"/>
      <c r="Y114"/>
      <c r="Z114" s="20"/>
      <c r="AA114" s="20"/>
    </row>
    <row r="115" spans="1:27" x14ac:dyDescent="0.2">
      <c r="A115" s="1">
        <v>1986</v>
      </c>
      <c r="B115" s="2" t="d">
        <v>1986-06-22</v>
      </c>
      <c r="C115" s="1" t="s">
        <v>204</v>
      </c>
      <c r="D115" s="12" t="s">
        <v>74</v>
      </c>
      <c r="E115" s="1" t="s">
        <v>205</v>
      </c>
      <c r="F115" s="1" t="s">
        <v>206</v>
      </c>
      <c r="G115" s="1" t="s">
        <v>18</v>
      </c>
      <c r="H115" s="1" t="s">
        <v>33</v>
      </c>
      <c r="I115" s="1">
        <v>2</v>
      </c>
      <c r="J115" s="1">
        <v>1</v>
      </c>
      <c r="K115" s="1" t="s">
        <v>110</v>
      </c>
      <c r="L115" s="1" t="s">
        <v>19</v>
      </c>
      <c r="O115" s="1" t="s">
        <v>7</v>
      </c>
      <c r="P115" s="1">
        <v>1986</v>
      </c>
      <c r="Q115" s="12" t="s">
        <v>74</v>
      </c>
      <c r="R115" s="1" t="s">
        <v>33</v>
      </c>
      <c r="S115" s="1" t="s">
        <v>33</v>
      </c>
      <c r="V115"/>
      <c r="Y115"/>
      <c r="Z115" s="20"/>
      <c r="AA115" s="20"/>
    </row>
    <row r="116" spans="1:27" x14ac:dyDescent="0.2">
      <c r="A116" s="1">
        <v>1986</v>
      </c>
      <c r="B116" s="2" t="d">
        <v>1986-06-25</v>
      </c>
      <c r="C116" s="1" t="s">
        <v>204</v>
      </c>
      <c r="D116" s="12" t="s">
        <v>42</v>
      </c>
      <c r="E116" s="1" t="s">
        <v>212</v>
      </c>
      <c r="F116" s="1" t="s">
        <v>213</v>
      </c>
      <c r="G116" s="1" t="s">
        <v>18</v>
      </c>
      <c r="H116" s="1" t="s">
        <v>17</v>
      </c>
      <c r="I116" s="1">
        <v>0</v>
      </c>
      <c r="J116" s="1">
        <v>2</v>
      </c>
      <c r="K116" s="1" t="s">
        <v>133</v>
      </c>
      <c r="L116" s="1" t="s">
        <v>19</v>
      </c>
      <c r="O116" s="1" t="s">
        <v>7</v>
      </c>
      <c r="P116" s="1">
        <v>1986</v>
      </c>
      <c r="Q116" s="12" t="s">
        <v>42</v>
      </c>
      <c r="R116" s="1" t="s">
        <v>17</v>
      </c>
      <c r="S116" s="1" t="s">
        <v>17</v>
      </c>
      <c r="V116"/>
      <c r="Y116"/>
      <c r="Z116" s="20"/>
      <c r="AA116" s="20"/>
    </row>
    <row r="117" spans="1:27" x14ac:dyDescent="0.2">
      <c r="A117" s="1">
        <v>1986</v>
      </c>
      <c r="B117" s="2" t="d">
        <v>1986-06-25</v>
      </c>
      <c r="C117" s="1" t="s">
        <v>32</v>
      </c>
      <c r="D117" s="12" t="s">
        <v>42</v>
      </c>
      <c r="E117" s="1" t="s">
        <v>205</v>
      </c>
      <c r="F117" s="1" t="s">
        <v>206</v>
      </c>
      <c r="G117" s="1" t="s">
        <v>18</v>
      </c>
      <c r="H117" s="1" t="s">
        <v>33</v>
      </c>
      <c r="I117" s="1">
        <v>2</v>
      </c>
      <c r="J117" s="1">
        <v>0</v>
      </c>
      <c r="K117" s="1" t="s">
        <v>23</v>
      </c>
      <c r="L117" s="1" t="s">
        <v>19</v>
      </c>
      <c r="O117" s="1" t="s">
        <v>7</v>
      </c>
      <c r="P117" s="1">
        <v>1986</v>
      </c>
      <c r="Q117" s="12" t="s">
        <v>42</v>
      </c>
      <c r="R117" s="1" t="s">
        <v>33</v>
      </c>
      <c r="S117" s="1" t="s">
        <v>33</v>
      </c>
      <c r="V117"/>
      <c r="Y117"/>
      <c r="Z117" s="20"/>
      <c r="AA117" s="20"/>
    </row>
    <row r="118" spans="1:27" x14ac:dyDescent="0.2">
      <c r="A118" s="1">
        <v>1986</v>
      </c>
      <c r="B118" s="2" t="d">
        <v>1986-06-28</v>
      </c>
      <c r="C118" s="1" t="s">
        <v>204</v>
      </c>
      <c r="D118" s="12" t="s">
        <v>76</v>
      </c>
      <c r="E118" s="1" t="s">
        <v>207</v>
      </c>
      <c r="F118" s="1" t="s">
        <v>208</v>
      </c>
      <c r="G118" s="1" t="s">
        <v>18</v>
      </c>
      <c r="H118" s="1" t="s">
        <v>17</v>
      </c>
      <c r="I118" s="1">
        <v>4</v>
      </c>
      <c r="J118" s="1">
        <v>2</v>
      </c>
      <c r="K118" s="1" t="s">
        <v>23</v>
      </c>
      <c r="L118" s="1" t="s">
        <v>328</v>
      </c>
      <c r="O118" s="1" t="s">
        <v>7</v>
      </c>
      <c r="P118" s="1">
        <v>1986</v>
      </c>
      <c r="Q118" s="12" t="s">
        <v>76</v>
      </c>
      <c r="R118" s="1" t="s">
        <v>17</v>
      </c>
      <c r="S118" s="1" t="s">
        <v>17</v>
      </c>
      <c r="V118"/>
      <c r="Y118"/>
      <c r="Z118" s="6"/>
      <c r="AA118" s="6"/>
    </row>
    <row r="119" spans="1:27" x14ac:dyDescent="0.2">
      <c r="A119" s="1">
        <v>1986</v>
      </c>
      <c r="B119" s="2" t="d">
        <v>1986-06-29</v>
      </c>
      <c r="C119" s="1" t="s">
        <v>204</v>
      </c>
      <c r="D119" s="12" t="s">
        <v>44</v>
      </c>
      <c r="E119" s="1" t="s">
        <v>205</v>
      </c>
      <c r="F119" s="1" t="s">
        <v>206</v>
      </c>
      <c r="G119" s="1" t="s">
        <v>18</v>
      </c>
      <c r="H119" s="1" t="s">
        <v>33</v>
      </c>
      <c r="I119" s="1">
        <v>3</v>
      </c>
      <c r="J119" s="1">
        <v>2</v>
      </c>
      <c r="K119" s="1" t="s">
        <v>133</v>
      </c>
      <c r="L119" s="1" t="s">
        <v>19</v>
      </c>
      <c r="O119" s="1" t="s">
        <v>7</v>
      </c>
      <c r="P119" s="1">
        <v>1986</v>
      </c>
      <c r="Q119" s="12" t="s">
        <v>44</v>
      </c>
      <c r="R119" s="1" t="s">
        <v>33</v>
      </c>
      <c r="S119" s="1" t="s">
        <v>33</v>
      </c>
      <c r="V119"/>
      <c r="Y119"/>
      <c r="Z119" s="16"/>
      <c r="AA119" s="16"/>
    </row>
    <row r="120" spans="1:27" x14ac:dyDescent="0.2">
      <c r="A120" s="1">
        <v>1990</v>
      </c>
      <c r="B120" s="2" t="d">
        <v>1990-06-23</v>
      </c>
      <c r="C120" s="1" t="s">
        <v>79</v>
      </c>
      <c r="D120" s="12" t="s">
        <v>323</v>
      </c>
      <c r="E120" s="1" t="s">
        <v>347</v>
      </c>
      <c r="F120" s="1" t="s">
        <v>53</v>
      </c>
      <c r="G120" s="1" t="s">
        <v>49</v>
      </c>
      <c r="H120" s="1" t="s">
        <v>273</v>
      </c>
      <c r="I120" s="1">
        <v>2</v>
      </c>
      <c r="J120" s="1">
        <v>1</v>
      </c>
      <c r="K120" s="1" t="s">
        <v>177</v>
      </c>
      <c r="L120" s="1" t="s">
        <v>349</v>
      </c>
      <c r="O120" s="1" t="s">
        <v>7</v>
      </c>
      <c r="P120" s="1">
        <v>1990</v>
      </c>
      <c r="Q120" s="12" t="s">
        <v>323</v>
      </c>
      <c r="R120" s="1" t="s">
        <v>273</v>
      </c>
      <c r="S120" s="1" t="s">
        <v>273</v>
      </c>
      <c r="V120"/>
      <c r="Y120"/>
      <c r="Z120" s="21"/>
      <c r="AA120" s="21"/>
    </row>
    <row r="121" spans="1:27" x14ac:dyDescent="0.2">
      <c r="A121" s="1">
        <v>1990</v>
      </c>
      <c r="B121" s="2" t="d">
        <v>1990-06-23</v>
      </c>
      <c r="C121" s="1" t="s">
        <v>268</v>
      </c>
      <c r="D121" s="12" t="s">
        <v>323</v>
      </c>
      <c r="E121" s="1" t="s">
        <v>330</v>
      </c>
      <c r="F121" s="1" t="s">
        <v>331</v>
      </c>
      <c r="G121" s="1" t="s">
        <v>49</v>
      </c>
      <c r="H121" s="1" t="s">
        <v>73</v>
      </c>
      <c r="I121" s="1">
        <v>4</v>
      </c>
      <c r="J121" s="1">
        <v>1</v>
      </c>
      <c r="K121" s="1" t="s">
        <v>337</v>
      </c>
      <c r="L121" s="1" t="s">
        <v>19</v>
      </c>
      <c r="O121" s="1" t="s">
        <v>7</v>
      </c>
      <c r="P121" s="1">
        <v>1990</v>
      </c>
      <c r="Q121" s="12" t="s">
        <v>323</v>
      </c>
      <c r="R121" s="1" t="s">
        <v>73</v>
      </c>
      <c r="S121" s="1" t="s">
        <v>73</v>
      </c>
      <c r="V121"/>
      <c r="Y121"/>
      <c r="Z121" s="16"/>
      <c r="AA121" s="16"/>
    </row>
    <row r="122" spans="1:27" x14ac:dyDescent="0.2">
      <c r="A122" s="1">
        <v>1990</v>
      </c>
      <c r="B122" s="2" t="d">
        <v>1990-06-24</v>
      </c>
      <c r="C122" s="1" t="s">
        <v>79</v>
      </c>
      <c r="D122" s="12" t="s">
        <v>323</v>
      </c>
      <c r="E122" s="1" t="s">
        <v>336</v>
      </c>
      <c r="F122" s="1" t="s">
        <v>48</v>
      </c>
      <c r="G122" s="1" t="s">
        <v>49</v>
      </c>
      <c r="H122" s="1" t="s">
        <v>27</v>
      </c>
      <c r="I122" s="1">
        <v>0</v>
      </c>
      <c r="J122" s="1">
        <v>1</v>
      </c>
      <c r="K122" s="1" t="s">
        <v>33</v>
      </c>
      <c r="L122" s="1" t="s">
        <v>19</v>
      </c>
      <c r="O122" s="1" t="s">
        <v>7</v>
      </c>
      <c r="P122" s="1">
        <v>1990</v>
      </c>
      <c r="Q122" s="12" t="s">
        <v>323</v>
      </c>
      <c r="R122" s="1" t="s">
        <v>27</v>
      </c>
      <c r="S122" s="1" t="s">
        <v>27</v>
      </c>
      <c r="V122"/>
      <c r="Y122"/>
      <c r="Z122" s="16"/>
      <c r="AA122" s="16"/>
    </row>
    <row r="123" spans="1:27" x14ac:dyDescent="0.2">
      <c r="A123" s="1">
        <v>1990</v>
      </c>
      <c r="B123" s="2" t="d">
        <v>1990-06-24</v>
      </c>
      <c r="C123" s="1" t="s">
        <v>268</v>
      </c>
      <c r="D123" s="12" t="s">
        <v>323</v>
      </c>
      <c r="E123" s="1" t="s">
        <v>329</v>
      </c>
      <c r="F123" s="1" t="s">
        <v>57</v>
      </c>
      <c r="G123" s="1" t="s">
        <v>49</v>
      </c>
      <c r="H123" s="1" t="s">
        <v>133</v>
      </c>
      <c r="I123" s="1">
        <v>2</v>
      </c>
      <c r="J123" s="1">
        <v>1</v>
      </c>
      <c r="K123" s="1" t="s">
        <v>59</v>
      </c>
      <c r="L123" s="1" t="s">
        <v>19</v>
      </c>
      <c r="O123" s="1" t="s">
        <v>7</v>
      </c>
      <c r="P123" s="1">
        <v>1990</v>
      </c>
      <c r="Q123" s="12" t="s">
        <v>323</v>
      </c>
      <c r="R123" s="1" t="s">
        <v>133</v>
      </c>
      <c r="S123" s="14" t="s">
        <v>65</v>
      </c>
      <c r="V123"/>
      <c r="Y123"/>
      <c r="Z123" s="21"/>
      <c r="AA123" s="21"/>
    </row>
    <row r="124" spans="1:27" x14ac:dyDescent="0.2">
      <c r="A124" s="1">
        <v>1990</v>
      </c>
      <c r="B124" s="2" t="d">
        <v>1990-06-25</v>
      </c>
      <c r="C124" s="1" t="s">
        <v>79</v>
      </c>
      <c r="D124" s="12" t="s">
        <v>323</v>
      </c>
      <c r="E124" s="1" t="s">
        <v>66</v>
      </c>
      <c r="F124" s="1" t="s">
        <v>67</v>
      </c>
      <c r="G124" s="1" t="s">
        <v>49</v>
      </c>
      <c r="H124" s="1" t="s">
        <v>340</v>
      </c>
      <c r="I124" s="1">
        <v>0</v>
      </c>
      <c r="J124" s="1">
        <v>0</v>
      </c>
      <c r="K124" s="1" t="s">
        <v>30</v>
      </c>
      <c r="L124" s="1" t="s">
        <v>350</v>
      </c>
      <c r="O124" s="1" t="s">
        <v>7</v>
      </c>
      <c r="P124" s="1">
        <v>1990</v>
      </c>
      <c r="Q124" s="12" t="s">
        <v>323</v>
      </c>
      <c r="R124" s="1" t="s">
        <v>340</v>
      </c>
      <c r="S124" s="1" t="s">
        <v>340</v>
      </c>
      <c r="V124"/>
      <c r="Y124"/>
      <c r="Z124" s="16"/>
      <c r="AA124" s="16"/>
    </row>
    <row r="125" spans="1:27" x14ac:dyDescent="0.2">
      <c r="A125" s="1">
        <v>1990</v>
      </c>
      <c r="B125" s="2" t="d">
        <v>1990-06-25</v>
      </c>
      <c r="C125" s="1" t="s">
        <v>268</v>
      </c>
      <c r="D125" s="12" t="s">
        <v>323</v>
      </c>
      <c r="E125" s="1" t="s">
        <v>334</v>
      </c>
      <c r="F125" s="1" t="s">
        <v>70</v>
      </c>
      <c r="G125" s="1" t="s">
        <v>49</v>
      </c>
      <c r="H125" s="1" t="s">
        <v>49</v>
      </c>
      <c r="I125" s="1">
        <v>2</v>
      </c>
      <c r="J125" s="1">
        <v>0</v>
      </c>
      <c r="K125" s="1" t="s">
        <v>16</v>
      </c>
      <c r="L125" s="1" t="s">
        <v>19</v>
      </c>
      <c r="O125" s="1" t="s">
        <v>7</v>
      </c>
      <c r="P125" s="1">
        <v>1990</v>
      </c>
      <c r="Q125" s="12" t="s">
        <v>323</v>
      </c>
      <c r="R125" s="1" t="s">
        <v>49</v>
      </c>
      <c r="S125" s="1" t="s">
        <v>49</v>
      </c>
      <c r="V125"/>
      <c r="Y125"/>
      <c r="Z125" s="16"/>
      <c r="AA125" s="16"/>
    </row>
    <row r="126" spans="1:27" x14ac:dyDescent="0.2">
      <c r="A126" s="1">
        <v>1990</v>
      </c>
      <c r="B126" s="2" t="d">
        <v>1990-06-26</v>
      </c>
      <c r="C126" s="1" t="s">
        <v>79</v>
      </c>
      <c r="D126" s="12" t="s">
        <v>323</v>
      </c>
      <c r="E126" s="1" t="s">
        <v>341</v>
      </c>
      <c r="F126" s="1" t="s">
        <v>342</v>
      </c>
      <c r="G126" s="1" t="s">
        <v>49</v>
      </c>
      <c r="H126" s="1" t="s">
        <v>68</v>
      </c>
      <c r="I126" s="1">
        <v>1</v>
      </c>
      <c r="J126" s="1">
        <v>2</v>
      </c>
      <c r="K126" s="1" t="s">
        <v>26</v>
      </c>
      <c r="L126" s="1" t="s">
        <v>351</v>
      </c>
      <c r="O126" s="1" t="s">
        <v>7</v>
      </c>
      <c r="P126" s="1">
        <v>1990</v>
      </c>
      <c r="Q126" s="12" t="s">
        <v>323</v>
      </c>
      <c r="R126" s="1" t="s">
        <v>68</v>
      </c>
      <c r="S126" s="1" t="s">
        <v>68</v>
      </c>
      <c r="V126"/>
      <c r="Y126"/>
      <c r="Z126" s="16"/>
      <c r="AA126" s="16"/>
    </row>
    <row r="127" spans="1:27" x14ac:dyDescent="0.2">
      <c r="A127" s="1">
        <v>1990</v>
      </c>
      <c r="B127" s="2" t="d">
        <v>1990-06-26</v>
      </c>
      <c r="C127" s="1" t="s">
        <v>268</v>
      </c>
      <c r="D127" s="12" t="s">
        <v>323</v>
      </c>
      <c r="E127" s="1" t="s">
        <v>332</v>
      </c>
      <c r="F127" s="1" t="s">
        <v>61</v>
      </c>
      <c r="G127" s="1" t="s">
        <v>49</v>
      </c>
      <c r="H127" s="1" t="s">
        <v>110</v>
      </c>
      <c r="I127" s="1">
        <v>1</v>
      </c>
      <c r="J127" s="1">
        <v>0</v>
      </c>
      <c r="K127" s="1" t="s">
        <v>23</v>
      </c>
      <c r="L127" s="1" t="s">
        <v>203</v>
      </c>
      <c r="O127" s="1" t="s">
        <v>7</v>
      </c>
      <c r="P127" s="1">
        <v>1990</v>
      </c>
      <c r="Q127" s="12" t="s">
        <v>323</v>
      </c>
      <c r="R127" s="1" t="s">
        <v>110</v>
      </c>
      <c r="S127" s="1" t="s">
        <v>110</v>
      </c>
      <c r="V127"/>
      <c r="Y127"/>
      <c r="Z127" s="16"/>
      <c r="AA127" s="16"/>
    </row>
    <row r="128" spans="1:27" x14ac:dyDescent="0.2">
      <c r="A128" s="1">
        <v>1990</v>
      </c>
      <c r="B128" s="2" t="d">
        <v>1990-06-30</v>
      </c>
      <c r="C128" s="1" t="s">
        <v>79</v>
      </c>
      <c r="D128" s="12" t="s">
        <v>74</v>
      </c>
      <c r="E128" s="1" t="s">
        <v>335</v>
      </c>
      <c r="F128" s="1" t="s">
        <v>64</v>
      </c>
      <c r="G128" s="1" t="s">
        <v>49</v>
      </c>
      <c r="H128" s="1" t="s">
        <v>26</v>
      </c>
      <c r="I128" s="1">
        <v>0</v>
      </c>
      <c r="J128" s="1">
        <v>0</v>
      </c>
      <c r="K128" s="1" t="s">
        <v>33</v>
      </c>
      <c r="L128" s="1" t="s">
        <v>352</v>
      </c>
      <c r="O128" s="1" t="s">
        <v>7</v>
      </c>
      <c r="P128" s="1">
        <v>1990</v>
      </c>
      <c r="Q128" s="12" t="s">
        <v>74</v>
      </c>
      <c r="R128" s="1" t="s">
        <v>26</v>
      </c>
      <c r="S128" s="1" t="s">
        <v>26</v>
      </c>
      <c r="V128"/>
      <c r="Y128"/>
      <c r="Z128" s="16"/>
      <c r="AA128" s="16"/>
    </row>
    <row r="129" spans="1:27" x14ac:dyDescent="0.2">
      <c r="A129" s="1">
        <v>1990</v>
      </c>
      <c r="B129" s="2" t="d">
        <v>1990-06-30</v>
      </c>
      <c r="C129" s="1" t="s">
        <v>268</v>
      </c>
      <c r="D129" s="12" t="s">
        <v>74</v>
      </c>
      <c r="E129" s="1" t="s">
        <v>334</v>
      </c>
      <c r="F129" s="1" t="s">
        <v>70</v>
      </c>
      <c r="G129" s="1" t="s">
        <v>49</v>
      </c>
      <c r="H129" s="1" t="s">
        <v>49</v>
      </c>
      <c r="I129" s="1">
        <v>1</v>
      </c>
      <c r="J129" s="1">
        <v>0</v>
      </c>
      <c r="K129" s="1" t="s">
        <v>340</v>
      </c>
      <c r="L129" s="1" t="s">
        <v>19</v>
      </c>
      <c r="O129" s="1" t="s">
        <v>7</v>
      </c>
      <c r="P129" s="1">
        <v>1990</v>
      </c>
      <c r="Q129" s="12" t="s">
        <v>74</v>
      </c>
      <c r="R129" s="1" t="s">
        <v>49</v>
      </c>
      <c r="S129" s="1" t="s">
        <v>49</v>
      </c>
      <c r="V129"/>
      <c r="Y129"/>
      <c r="Z129" s="16"/>
      <c r="AA129" s="16"/>
    </row>
    <row r="130" spans="1:27" x14ac:dyDescent="0.2">
      <c r="A130" s="1">
        <v>1990</v>
      </c>
      <c r="B130" s="2" t="d">
        <v>1990-07-01</v>
      </c>
      <c r="C130" s="1" t="s">
        <v>79</v>
      </c>
      <c r="D130" s="12" t="s">
        <v>74</v>
      </c>
      <c r="E130" s="1" t="s">
        <v>329</v>
      </c>
      <c r="F130" s="1" t="s">
        <v>57</v>
      </c>
      <c r="G130" s="1" t="s">
        <v>49</v>
      </c>
      <c r="H130" s="1" t="s">
        <v>133</v>
      </c>
      <c r="I130" s="1">
        <v>1</v>
      </c>
      <c r="J130" s="1">
        <v>0</v>
      </c>
      <c r="K130" s="1" t="s">
        <v>73</v>
      </c>
      <c r="L130" s="1" t="s">
        <v>19</v>
      </c>
      <c r="O130" s="1" t="s">
        <v>7</v>
      </c>
      <c r="P130" s="1">
        <v>1990</v>
      </c>
      <c r="Q130" s="12" t="s">
        <v>74</v>
      </c>
      <c r="R130" s="1" t="s">
        <v>133</v>
      </c>
      <c r="S130" s="14" t="s">
        <v>65</v>
      </c>
      <c r="V130"/>
      <c r="Y130"/>
      <c r="Z130" s="16"/>
      <c r="AA130" s="16"/>
    </row>
    <row r="131" spans="1:27" x14ac:dyDescent="0.2">
      <c r="A131" s="1">
        <v>1990</v>
      </c>
      <c r="B131" s="2" t="d">
        <v>1990-07-01</v>
      </c>
      <c r="C131" s="1" t="s">
        <v>268</v>
      </c>
      <c r="D131" s="12" t="s">
        <v>74</v>
      </c>
      <c r="E131" s="1" t="s">
        <v>347</v>
      </c>
      <c r="F131" s="1" t="s">
        <v>53</v>
      </c>
      <c r="G131" s="1" t="s">
        <v>49</v>
      </c>
      <c r="H131" s="1" t="s">
        <v>110</v>
      </c>
      <c r="I131" s="1">
        <v>3</v>
      </c>
      <c r="J131" s="1">
        <v>2</v>
      </c>
      <c r="K131" s="1" t="s">
        <v>273</v>
      </c>
      <c r="L131" s="1" t="s">
        <v>203</v>
      </c>
      <c r="O131" s="1" t="s">
        <v>7</v>
      </c>
      <c r="P131" s="1">
        <v>1990</v>
      </c>
      <c r="Q131" s="12" t="s">
        <v>74</v>
      </c>
      <c r="R131" s="1" t="s">
        <v>110</v>
      </c>
      <c r="S131" s="1" t="s">
        <v>110</v>
      </c>
      <c r="V131"/>
      <c r="Y131"/>
      <c r="Z131" s="16"/>
      <c r="AA131" s="16"/>
    </row>
    <row r="132" spans="1:27" x14ac:dyDescent="0.2">
      <c r="A132" s="1">
        <v>1990</v>
      </c>
      <c r="B132" s="2" t="d">
        <v>1990-07-03</v>
      </c>
      <c r="C132" s="1" t="s">
        <v>262</v>
      </c>
      <c r="D132" s="12" t="s">
        <v>42</v>
      </c>
      <c r="E132" s="1" t="s">
        <v>347</v>
      </c>
      <c r="F132" s="1" t="s">
        <v>53</v>
      </c>
      <c r="G132" s="1" t="s">
        <v>49</v>
      </c>
      <c r="H132" s="1" t="s">
        <v>49</v>
      </c>
      <c r="I132" s="1">
        <v>1</v>
      </c>
      <c r="J132" s="1">
        <v>1</v>
      </c>
      <c r="K132" s="1" t="s">
        <v>33</v>
      </c>
      <c r="L132" s="1" t="s">
        <v>353</v>
      </c>
      <c r="O132" s="1" t="s">
        <v>7</v>
      </c>
      <c r="P132" s="1">
        <v>1990</v>
      </c>
      <c r="Q132" s="12" t="s">
        <v>42</v>
      </c>
      <c r="R132" s="1" t="s">
        <v>49</v>
      </c>
      <c r="S132" s="1" t="s">
        <v>49</v>
      </c>
      <c r="V132"/>
      <c r="Y132"/>
      <c r="Z132" s="16"/>
      <c r="AA132" s="16"/>
    </row>
    <row r="133" spans="1:27" x14ac:dyDescent="0.2">
      <c r="A133" s="1">
        <v>1990</v>
      </c>
      <c r="B133" s="2" t="d">
        <v>1990-07-04</v>
      </c>
      <c r="C133" s="1" t="s">
        <v>262</v>
      </c>
      <c r="D133" s="12" t="s">
        <v>42</v>
      </c>
      <c r="E133" s="1" t="s">
        <v>336</v>
      </c>
      <c r="F133" s="1" t="s">
        <v>48</v>
      </c>
      <c r="G133" s="1" t="s">
        <v>49</v>
      </c>
      <c r="H133" s="1" t="s">
        <v>133</v>
      </c>
      <c r="I133" s="1">
        <v>1</v>
      </c>
      <c r="J133" s="1">
        <v>1</v>
      </c>
      <c r="K133" s="1" t="s">
        <v>110</v>
      </c>
      <c r="L133" s="1" t="s">
        <v>354</v>
      </c>
      <c r="O133" s="1" t="s">
        <v>7</v>
      </c>
      <c r="P133" s="1">
        <v>1990</v>
      </c>
      <c r="Q133" s="12" t="s">
        <v>42</v>
      </c>
      <c r="R133" s="1" t="s">
        <v>133</v>
      </c>
      <c r="S133" s="14" t="s">
        <v>65</v>
      </c>
      <c r="V133"/>
      <c r="Y133"/>
      <c r="Z133" s="21"/>
      <c r="AA133" s="21"/>
    </row>
    <row r="134" spans="1:27" x14ac:dyDescent="0.2">
      <c r="A134" s="1">
        <v>1990</v>
      </c>
      <c r="B134" s="2" t="d">
        <v>1990-07-07</v>
      </c>
      <c r="C134" s="1" t="s">
        <v>262</v>
      </c>
      <c r="D134" s="12" t="s">
        <v>76</v>
      </c>
      <c r="E134" s="1" t="s">
        <v>330</v>
      </c>
      <c r="F134" s="1" t="s">
        <v>331</v>
      </c>
      <c r="G134" s="1" t="s">
        <v>49</v>
      </c>
      <c r="H134" s="1" t="s">
        <v>49</v>
      </c>
      <c r="I134" s="1">
        <v>2</v>
      </c>
      <c r="J134" s="1">
        <v>1</v>
      </c>
      <c r="K134" s="1" t="s">
        <v>110</v>
      </c>
      <c r="L134" s="1" t="s">
        <v>19</v>
      </c>
      <c r="O134" s="1" t="s">
        <v>7</v>
      </c>
      <c r="P134" s="1">
        <v>1990</v>
      </c>
      <c r="Q134" s="12" t="s">
        <v>76</v>
      </c>
      <c r="R134" s="1" t="s">
        <v>49</v>
      </c>
      <c r="S134" s="1" t="s">
        <v>49</v>
      </c>
      <c r="V134"/>
      <c r="Y134"/>
      <c r="Z134" s="21"/>
      <c r="AA134" s="21"/>
    </row>
    <row r="135" spans="1:27" x14ac:dyDescent="0.2">
      <c r="A135" s="1">
        <v>1990</v>
      </c>
      <c r="B135" s="2" t="d">
        <v>1990-07-08</v>
      </c>
      <c r="C135" s="1" t="s">
        <v>262</v>
      </c>
      <c r="D135" s="12" t="s">
        <v>44</v>
      </c>
      <c r="E135" s="1" t="s">
        <v>334</v>
      </c>
      <c r="F135" s="1" t="s">
        <v>70</v>
      </c>
      <c r="G135" s="1" t="s">
        <v>49</v>
      </c>
      <c r="H135" s="1" t="s">
        <v>133</v>
      </c>
      <c r="I135" s="1">
        <v>1</v>
      </c>
      <c r="J135" s="1">
        <v>0</v>
      </c>
      <c r="K135" s="1" t="s">
        <v>33</v>
      </c>
      <c r="L135" s="1" t="s">
        <v>19</v>
      </c>
      <c r="O135" s="1" t="s">
        <v>7</v>
      </c>
      <c r="P135" s="1">
        <v>1990</v>
      </c>
      <c r="Q135" s="12" t="s">
        <v>44</v>
      </c>
      <c r="R135" s="1" t="s">
        <v>133</v>
      </c>
      <c r="S135" s="14" t="s">
        <v>65</v>
      </c>
      <c r="V135"/>
      <c r="Y135"/>
      <c r="Z135" s="21"/>
      <c r="AA135" s="21"/>
    </row>
    <row r="136" spans="1:27" x14ac:dyDescent="0.2">
      <c r="A136" s="1">
        <v>1994</v>
      </c>
      <c r="B136" s="2" t="d">
        <v>1994-07-02</v>
      </c>
      <c r="C136" s="1" t="s">
        <v>204</v>
      </c>
      <c r="D136" s="12" t="s">
        <v>323</v>
      </c>
      <c r="E136" s="1" t="s">
        <v>357</v>
      </c>
      <c r="F136" s="1" t="s">
        <v>358</v>
      </c>
      <c r="G136" s="1" t="s">
        <v>22</v>
      </c>
      <c r="H136" s="1" t="s">
        <v>65</v>
      </c>
      <c r="I136" s="1">
        <v>3</v>
      </c>
      <c r="J136" s="1">
        <v>2</v>
      </c>
      <c r="K136" s="1" t="s">
        <v>23</v>
      </c>
      <c r="L136" s="1" t="s">
        <v>19</v>
      </c>
      <c r="O136" s="1" t="s">
        <v>7</v>
      </c>
      <c r="P136" s="1">
        <v>1994</v>
      </c>
      <c r="Q136" s="12" t="s">
        <v>323</v>
      </c>
      <c r="R136" s="1" t="s">
        <v>65</v>
      </c>
      <c r="S136" s="1" t="s">
        <v>65</v>
      </c>
      <c r="V136"/>
      <c r="Y136"/>
      <c r="Z136" s="16"/>
      <c r="AA136" s="16"/>
    </row>
    <row r="137" spans="1:27" x14ac:dyDescent="0.2">
      <c r="A137" s="1">
        <v>1994</v>
      </c>
      <c r="B137" s="2" t="d">
        <v>1994-07-02</v>
      </c>
      <c r="C137" s="1" t="s">
        <v>45</v>
      </c>
      <c r="D137" s="12" t="s">
        <v>323</v>
      </c>
      <c r="E137" s="1" t="s">
        <v>369</v>
      </c>
      <c r="F137" s="1" t="s">
        <v>370</v>
      </c>
      <c r="G137" s="1" t="s">
        <v>22</v>
      </c>
      <c r="H137" s="1" t="s">
        <v>68</v>
      </c>
      <c r="I137" s="1">
        <v>3</v>
      </c>
      <c r="J137" s="1">
        <v>0</v>
      </c>
      <c r="K137" s="1" t="s">
        <v>58</v>
      </c>
      <c r="L137" s="1" t="s">
        <v>19</v>
      </c>
      <c r="O137" s="1" t="s">
        <v>7</v>
      </c>
      <c r="P137" s="1">
        <v>1994</v>
      </c>
      <c r="Q137" s="12" t="s">
        <v>323</v>
      </c>
      <c r="R137" s="1" t="s">
        <v>68</v>
      </c>
      <c r="S137" s="1" t="s">
        <v>68</v>
      </c>
      <c r="V137"/>
      <c r="Y137"/>
      <c r="Z137" s="16"/>
      <c r="AA137" s="16"/>
    </row>
    <row r="138" spans="1:27" x14ac:dyDescent="0.2">
      <c r="A138" s="1">
        <v>1994</v>
      </c>
      <c r="B138" s="2" t="d">
        <v>1994-07-03</v>
      </c>
      <c r="C138" s="1" t="s">
        <v>204</v>
      </c>
      <c r="D138" s="12" t="s">
        <v>323</v>
      </c>
      <c r="E138" s="1" t="s">
        <v>355</v>
      </c>
      <c r="F138" s="1" t="s">
        <v>356</v>
      </c>
      <c r="G138" s="1" t="s">
        <v>22</v>
      </c>
      <c r="H138" s="1" t="s">
        <v>371</v>
      </c>
      <c r="I138" s="1">
        <v>1</v>
      </c>
      <c r="J138" s="1">
        <v>3</v>
      </c>
      <c r="K138" s="1" t="s">
        <v>62</v>
      </c>
      <c r="L138" s="1" t="s">
        <v>19</v>
      </c>
      <c r="O138" s="1" t="s">
        <v>7</v>
      </c>
      <c r="P138" s="1">
        <v>1994</v>
      </c>
      <c r="Q138" s="12" t="s">
        <v>323</v>
      </c>
      <c r="R138" s="1" t="s">
        <v>371</v>
      </c>
      <c r="S138" s="1" t="s">
        <v>371</v>
      </c>
      <c r="V138"/>
      <c r="Y138"/>
      <c r="Z138" s="21"/>
      <c r="AA138" s="21"/>
    </row>
    <row r="139" spans="1:27" x14ac:dyDescent="0.2">
      <c r="A139" s="1">
        <v>1994</v>
      </c>
      <c r="B139" s="2" t="d">
        <v>1994-07-03</v>
      </c>
      <c r="C139" s="1" t="s">
        <v>379</v>
      </c>
      <c r="D139" s="12" t="s">
        <v>323</v>
      </c>
      <c r="E139" s="1" t="s">
        <v>364</v>
      </c>
      <c r="F139" s="1" t="s">
        <v>365</v>
      </c>
      <c r="G139" s="1" t="s">
        <v>22</v>
      </c>
      <c r="H139" s="1" t="s">
        <v>30</v>
      </c>
      <c r="I139" s="1">
        <v>3</v>
      </c>
      <c r="J139" s="1">
        <v>2</v>
      </c>
      <c r="K139" s="1" t="s">
        <v>33</v>
      </c>
      <c r="L139" s="1" t="s">
        <v>19</v>
      </c>
      <c r="O139" s="1" t="s">
        <v>7</v>
      </c>
      <c r="P139" s="1">
        <v>1994</v>
      </c>
      <c r="Q139" s="12" t="s">
        <v>323</v>
      </c>
      <c r="R139" s="1" t="s">
        <v>30</v>
      </c>
      <c r="S139" s="1" t="s">
        <v>30</v>
      </c>
      <c r="V139"/>
      <c r="Y139"/>
      <c r="Z139" s="16"/>
      <c r="AA139" s="16"/>
    </row>
    <row r="140" spans="1:27" x14ac:dyDescent="0.2">
      <c r="A140" s="1">
        <v>1994</v>
      </c>
      <c r="B140" s="2" t="d">
        <v>1994-07-04</v>
      </c>
      <c r="C140" s="1" t="s">
        <v>204</v>
      </c>
      <c r="D140" s="12" t="s">
        <v>323</v>
      </c>
      <c r="E140" s="1" t="s">
        <v>367</v>
      </c>
      <c r="F140" s="1" t="s">
        <v>368</v>
      </c>
      <c r="G140" s="1" t="s">
        <v>22</v>
      </c>
      <c r="H140" s="1" t="s">
        <v>59</v>
      </c>
      <c r="I140" s="1">
        <v>2</v>
      </c>
      <c r="J140" s="1">
        <v>0</v>
      </c>
      <c r="K140" s="1" t="s">
        <v>340</v>
      </c>
      <c r="L140" s="1" t="s">
        <v>19</v>
      </c>
      <c r="O140" s="1" t="s">
        <v>7</v>
      </c>
      <c r="P140" s="1">
        <v>1994</v>
      </c>
      <c r="Q140" s="12" t="s">
        <v>323</v>
      </c>
      <c r="R140" s="1" t="s">
        <v>59</v>
      </c>
      <c r="S140" s="1" t="s">
        <v>59</v>
      </c>
      <c r="V140"/>
      <c r="Y140"/>
      <c r="Z140" s="16"/>
      <c r="AA140" s="16"/>
    </row>
    <row r="141" spans="1:27" x14ac:dyDescent="0.2">
      <c r="A141" s="1">
        <v>1994</v>
      </c>
      <c r="B141" s="2" t="d">
        <v>1994-07-04</v>
      </c>
      <c r="C141" s="1" t="s">
        <v>366</v>
      </c>
      <c r="D141" s="12" t="s">
        <v>323</v>
      </c>
      <c r="E141" s="1" t="s">
        <v>372</v>
      </c>
      <c r="F141" s="1" t="s">
        <v>373</v>
      </c>
      <c r="G141" s="1" t="s">
        <v>22</v>
      </c>
      <c r="H141" s="1" t="s">
        <v>27</v>
      </c>
      <c r="I141" s="1">
        <v>1</v>
      </c>
      <c r="J141" s="1">
        <v>0</v>
      </c>
      <c r="K141" s="1" t="s">
        <v>22</v>
      </c>
      <c r="L141" s="1" t="s">
        <v>19</v>
      </c>
      <c r="O141" s="1" t="s">
        <v>7</v>
      </c>
      <c r="P141" s="1">
        <v>1994</v>
      </c>
      <c r="Q141" s="12" t="s">
        <v>323</v>
      </c>
      <c r="R141" s="1" t="s">
        <v>27</v>
      </c>
      <c r="S141" s="1" t="s">
        <v>27</v>
      </c>
      <c r="V141"/>
      <c r="Y141"/>
      <c r="Z141" s="16"/>
      <c r="AA141" s="16"/>
    </row>
    <row r="142" spans="1:27" x14ac:dyDescent="0.2">
      <c r="A142" s="1">
        <v>1994</v>
      </c>
      <c r="B142" s="2" t="d">
        <v>1994-07-05</v>
      </c>
      <c r="C142" s="1" t="s">
        <v>41</v>
      </c>
      <c r="D142" s="12" t="s">
        <v>323</v>
      </c>
      <c r="E142" s="1" t="s">
        <v>375</v>
      </c>
      <c r="F142" s="1" t="s">
        <v>376</v>
      </c>
      <c r="G142" s="1" t="s">
        <v>22</v>
      </c>
      <c r="H142" s="1" t="s">
        <v>378</v>
      </c>
      <c r="I142" s="1">
        <v>1</v>
      </c>
      <c r="J142" s="1">
        <v>2</v>
      </c>
      <c r="K142" s="1" t="s">
        <v>49</v>
      </c>
      <c r="L142" s="1" t="s">
        <v>78</v>
      </c>
      <c r="O142" s="1" t="s">
        <v>7</v>
      </c>
      <c r="P142" s="1">
        <v>1994</v>
      </c>
      <c r="Q142" s="12" t="s">
        <v>323</v>
      </c>
      <c r="R142" s="1" t="s">
        <v>378</v>
      </c>
      <c r="S142" s="1" t="s">
        <v>378</v>
      </c>
      <c r="V142"/>
      <c r="Y142"/>
      <c r="Z142" s="16"/>
      <c r="AA142" s="16"/>
    </row>
    <row r="143" spans="1:27" x14ac:dyDescent="0.2">
      <c r="A143" s="1">
        <v>1994</v>
      </c>
      <c r="B143" s="2" t="d">
        <v>1994-07-05</v>
      </c>
      <c r="C143" s="1" t="s">
        <v>45</v>
      </c>
      <c r="D143" s="12" t="s">
        <v>323</v>
      </c>
      <c r="E143" s="1" t="s">
        <v>362</v>
      </c>
      <c r="F143" s="1" t="s">
        <v>363</v>
      </c>
      <c r="G143" s="1" t="s">
        <v>22</v>
      </c>
      <c r="H143" s="1" t="s">
        <v>18</v>
      </c>
      <c r="I143" s="1">
        <v>1</v>
      </c>
      <c r="J143" s="1">
        <v>1</v>
      </c>
      <c r="K143" s="1" t="s">
        <v>182</v>
      </c>
      <c r="L143" s="1" t="s">
        <v>380</v>
      </c>
      <c r="O143" s="1" t="s">
        <v>7</v>
      </c>
      <c r="P143" s="1">
        <v>1994</v>
      </c>
      <c r="Q143" s="12" t="s">
        <v>323</v>
      </c>
      <c r="R143" s="1" t="s">
        <v>18</v>
      </c>
      <c r="S143" s="1" t="s">
        <v>18</v>
      </c>
      <c r="V143"/>
      <c r="Y143"/>
      <c r="Z143" s="21"/>
      <c r="AA143" s="21"/>
    </row>
    <row r="144" spans="1:27" x14ac:dyDescent="0.2">
      <c r="A144" s="1">
        <v>1994</v>
      </c>
      <c r="B144" s="2" t="d">
        <v>1994-07-09</v>
      </c>
      <c r="C144" s="1" t="s">
        <v>204</v>
      </c>
      <c r="D144" s="12" t="s">
        <v>74</v>
      </c>
      <c r="E144" s="1" t="s">
        <v>375</v>
      </c>
      <c r="F144" s="1" t="s">
        <v>376</v>
      </c>
      <c r="G144" s="1" t="s">
        <v>22</v>
      </c>
      <c r="H144" s="1" t="s">
        <v>49</v>
      </c>
      <c r="I144" s="1">
        <v>2</v>
      </c>
      <c r="J144" s="1">
        <v>1</v>
      </c>
      <c r="K144" s="1" t="s">
        <v>68</v>
      </c>
      <c r="L144" s="1" t="s">
        <v>19</v>
      </c>
      <c r="O144" s="1" t="s">
        <v>7</v>
      </c>
      <c r="P144" s="1">
        <v>1994</v>
      </c>
      <c r="Q144" s="12" t="s">
        <v>74</v>
      </c>
      <c r="R144" s="1" t="s">
        <v>49</v>
      </c>
      <c r="S144" s="1" t="s">
        <v>49</v>
      </c>
      <c r="V144"/>
      <c r="Y144"/>
      <c r="Z144" s="16"/>
      <c r="AA144" s="16"/>
    </row>
    <row r="145" spans="1:27" x14ac:dyDescent="0.2">
      <c r="A145" s="1">
        <v>1994</v>
      </c>
      <c r="B145" s="2" t="d">
        <v>1994-07-09</v>
      </c>
      <c r="C145" s="1" t="s">
        <v>38</v>
      </c>
      <c r="D145" s="12" t="s">
        <v>74</v>
      </c>
      <c r="E145" s="1" t="s">
        <v>355</v>
      </c>
      <c r="F145" s="1" t="s">
        <v>356</v>
      </c>
      <c r="G145" s="1" t="s">
        <v>22</v>
      </c>
      <c r="H145" s="1" t="s">
        <v>59</v>
      </c>
      <c r="I145" s="1">
        <v>2</v>
      </c>
      <c r="J145" s="1">
        <v>3</v>
      </c>
      <c r="K145" s="1" t="s">
        <v>27</v>
      </c>
      <c r="L145" s="1" t="s">
        <v>19</v>
      </c>
      <c r="O145" s="1" t="s">
        <v>7</v>
      </c>
      <c r="P145" s="1">
        <v>1994</v>
      </c>
      <c r="Q145" s="12" t="s">
        <v>74</v>
      </c>
      <c r="R145" s="1" t="s">
        <v>59</v>
      </c>
      <c r="S145" s="1" t="s">
        <v>59</v>
      </c>
      <c r="V145"/>
      <c r="Y145"/>
      <c r="Z145" s="16"/>
      <c r="AA145" s="16"/>
    </row>
    <row r="146" spans="1:27" x14ac:dyDescent="0.2">
      <c r="A146" s="1">
        <v>1994</v>
      </c>
      <c r="B146" s="2" t="d">
        <v>1994-07-10</v>
      </c>
      <c r="C146" s="1" t="s">
        <v>204</v>
      </c>
      <c r="D146" s="12" t="s">
        <v>74</v>
      </c>
      <c r="E146" s="1" t="s">
        <v>362</v>
      </c>
      <c r="F146" s="1" t="s">
        <v>363</v>
      </c>
      <c r="G146" s="1" t="s">
        <v>22</v>
      </c>
      <c r="H146" s="1" t="s">
        <v>182</v>
      </c>
      <c r="I146" s="1">
        <v>2</v>
      </c>
      <c r="J146" s="1">
        <v>1</v>
      </c>
      <c r="K146" s="1" t="s">
        <v>65</v>
      </c>
      <c r="L146" s="1" t="s">
        <v>19</v>
      </c>
      <c r="O146" s="1" t="s">
        <v>7</v>
      </c>
      <c r="P146" s="1">
        <v>1994</v>
      </c>
      <c r="Q146" s="12" t="s">
        <v>74</v>
      </c>
      <c r="R146" s="1" t="s">
        <v>182</v>
      </c>
      <c r="S146" s="1" t="s">
        <v>182</v>
      </c>
      <c r="V146"/>
      <c r="Y146"/>
      <c r="Z146" s="16"/>
      <c r="AA146" s="16"/>
    </row>
    <row r="147" spans="1:27" x14ac:dyDescent="0.2">
      <c r="A147" s="1">
        <v>1994</v>
      </c>
      <c r="B147" s="2" t="d">
        <v>1994-07-10</v>
      </c>
      <c r="C147" s="1" t="s">
        <v>366</v>
      </c>
      <c r="D147" s="12" t="s">
        <v>74</v>
      </c>
      <c r="E147" s="1" t="s">
        <v>372</v>
      </c>
      <c r="F147" s="1" t="s">
        <v>373</v>
      </c>
      <c r="G147" s="1" t="s">
        <v>22</v>
      </c>
      <c r="H147" s="1" t="s">
        <v>30</v>
      </c>
      <c r="I147" s="1">
        <v>2</v>
      </c>
      <c r="J147" s="1">
        <v>2</v>
      </c>
      <c r="K147" s="1" t="s">
        <v>62</v>
      </c>
      <c r="L147" s="1" t="s">
        <v>381</v>
      </c>
      <c r="O147" s="1" t="s">
        <v>7</v>
      </c>
      <c r="P147" s="1">
        <v>1994</v>
      </c>
      <c r="Q147" s="12" t="s">
        <v>74</v>
      </c>
      <c r="R147" s="1" t="s">
        <v>30</v>
      </c>
      <c r="S147" s="1" t="s">
        <v>30</v>
      </c>
      <c r="V147"/>
      <c r="Y147"/>
      <c r="Z147" s="16"/>
      <c r="AA147" s="16"/>
    </row>
    <row r="148" spans="1:27" x14ac:dyDescent="0.2">
      <c r="A148" s="1">
        <v>1994</v>
      </c>
      <c r="B148" s="2" t="d">
        <v>1994-07-13</v>
      </c>
      <c r="C148" s="1" t="s">
        <v>32</v>
      </c>
      <c r="D148" s="12" t="s">
        <v>42</v>
      </c>
      <c r="E148" s="1" t="s">
        <v>362</v>
      </c>
      <c r="F148" s="1" t="s">
        <v>363</v>
      </c>
      <c r="G148" s="1" t="s">
        <v>22</v>
      </c>
      <c r="H148" s="1" t="s">
        <v>182</v>
      </c>
      <c r="I148" s="1">
        <v>1</v>
      </c>
      <c r="J148" s="1">
        <v>2</v>
      </c>
      <c r="K148" s="1" t="s">
        <v>49</v>
      </c>
      <c r="L148" s="1" t="s">
        <v>19</v>
      </c>
      <c r="O148" s="1" t="s">
        <v>7</v>
      </c>
      <c r="P148" s="1">
        <v>1994</v>
      </c>
      <c r="Q148" s="12" t="s">
        <v>42</v>
      </c>
      <c r="R148" s="1" t="s">
        <v>182</v>
      </c>
      <c r="S148" s="1" t="s">
        <v>182</v>
      </c>
      <c r="V148"/>
      <c r="Y148"/>
      <c r="Z148" s="16"/>
      <c r="AA148" s="16"/>
    </row>
    <row r="149" spans="1:27" x14ac:dyDescent="0.2">
      <c r="A149" s="1">
        <v>1994</v>
      </c>
      <c r="B149" s="2" t="d">
        <v>1994-07-13</v>
      </c>
      <c r="C149" s="1" t="s">
        <v>45</v>
      </c>
      <c r="D149" s="12" t="s">
        <v>42</v>
      </c>
      <c r="E149" s="1" t="s">
        <v>364</v>
      </c>
      <c r="F149" s="1" t="s">
        <v>365</v>
      </c>
      <c r="G149" s="1" t="s">
        <v>22</v>
      </c>
      <c r="H149" s="1" t="s">
        <v>62</v>
      </c>
      <c r="I149" s="1">
        <v>0</v>
      </c>
      <c r="J149" s="1">
        <v>1</v>
      </c>
      <c r="K149" s="1" t="s">
        <v>27</v>
      </c>
      <c r="L149" s="1" t="s">
        <v>19</v>
      </c>
      <c r="O149" s="1" t="s">
        <v>7</v>
      </c>
      <c r="P149" s="1">
        <v>1994</v>
      </c>
      <c r="Q149" s="12" t="s">
        <v>42</v>
      </c>
      <c r="R149" s="1" t="s">
        <v>62</v>
      </c>
      <c r="S149" s="1" t="s">
        <v>62</v>
      </c>
      <c r="V149"/>
      <c r="Y149"/>
      <c r="Z149" s="16"/>
      <c r="AA149" s="16"/>
    </row>
    <row r="150" spans="1:27" x14ac:dyDescent="0.2">
      <c r="A150" s="1">
        <v>1994</v>
      </c>
      <c r="B150" s="2" t="d">
        <v>1994-07-16</v>
      </c>
      <c r="C150" s="1" t="s">
        <v>366</v>
      </c>
      <c r="D150" s="12" t="s">
        <v>76</v>
      </c>
      <c r="E150" s="1" t="s">
        <v>364</v>
      </c>
      <c r="F150" s="1" t="s">
        <v>365</v>
      </c>
      <c r="G150" s="1" t="s">
        <v>22</v>
      </c>
      <c r="H150" s="1" t="s">
        <v>62</v>
      </c>
      <c r="I150" s="1">
        <v>4</v>
      </c>
      <c r="J150" s="1">
        <v>0</v>
      </c>
      <c r="K150" s="1" t="s">
        <v>182</v>
      </c>
      <c r="L150" s="1" t="s">
        <v>19</v>
      </c>
      <c r="O150" s="1" t="s">
        <v>7</v>
      </c>
      <c r="P150" s="1">
        <v>1994</v>
      </c>
      <c r="Q150" s="12" t="s">
        <v>76</v>
      </c>
      <c r="R150" s="1" t="s">
        <v>62</v>
      </c>
      <c r="S150" s="1" t="s">
        <v>62</v>
      </c>
      <c r="V150"/>
      <c r="Y150"/>
      <c r="Z150" s="16"/>
      <c r="AA150" s="16"/>
    </row>
    <row r="151" spans="1:27" x14ac:dyDescent="0.2">
      <c r="A151" s="1">
        <v>1994</v>
      </c>
      <c r="B151" s="2" t="d">
        <v>1994-07-17</v>
      </c>
      <c r="C151" s="1" t="s">
        <v>366</v>
      </c>
      <c r="D151" s="12" t="s">
        <v>44</v>
      </c>
      <c r="E151" s="1" t="s">
        <v>364</v>
      </c>
      <c r="F151" s="1" t="s">
        <v>365</v>
      </c>
      <c r="G151" s="1" t="s">
        <v>22</v>
      </c>
      <c r="H151" s="1" t="s">
        <v>27</v>
      </c>
      <c r="I151" s="1">
        <v>0</v>
      </c>
      <c r="J151" s="1">
        <v>0</v>
      </c>
      <c r="K151" s="1" t="s">
        <v>49</v>
      </c>
      <c r="L151" s="1" t="s">
        <v>382</v>
      </c>
      <c r="O151" s="1" t="s">
        <v>7</v>
      </c>
      <c r="P151" s="1">
        <v>1994</v>
      </c>
      <c r="Q151" s="12" t="s">
        <v>44</v>
      </c>
      <c r="R151" s="1" t="s">
        <v>27</v>
      </c>
      <c r="S151" s="1" t="s">
        <v>27</v>
      </c>
      <c r="V151"/>
      <c r="Y151"/>
      <c r="Z151" s="16"/>
      <c r="AA151" s="16"/>
    </row>
    <row r="152" spans="1:27" x14ac:dyDescent="0.2">
      <c r="A152" s="1">
        <v>1998</v>
      </c>
      <c r="B152" s="2" t="d">
        <v>1998-06-27</v>
      </c>
      <c r="C152" s="1" t="s">
        <v>45</v>
      </c>
      <c r="D152" s="12" t="s">
        <v>323</v>
      </c>
      <c r="E152" s="1" t="s">
        <v>91</v>
      </c>
      <c r="F152" s="1" t="s">
        <v>92</v>
      </c>
      <c r="G152" s="1" t="s">
        <v>17</v>
      </c>
      <c r="H152" s="1" t="s">
        <v>49</v>
      </c>
      <c r="I152" s="1">
        <v>1</v>
      </c>
      <c r="J152" s="1">
        <v>0</v>
      </c>
      <c r="K152" s="1" t="s">
        <v>93</v>
      </c>
      <c r="L152" s="1" t="s">
        <v>19</v>
      </c>
      <c r="O152" s="1" t="s">
        <v>7</v>
      </c>
      <c r="P152" s="1">
        <v>1998</v>
      </c>
      <c r="Q152" s="12" t="s">
        <v>323</v>
      </c>
      <c r="R152" s="1" t="s">
        <v>49</v>
      </c>
      <c r="S152" s="1" t="s">
        <v>49</v>
      </c>
      <c r="V152"/>
      <c r="Y152"/>
      <c r="Z152" s="16"/>
      <c r="AA152" s="16"/>
    </row>
    <row r="153" spans="1:27" x14ac:dyDescent="0.2">
      <c r="A153" s="1">
        <v>1998</v>
      </c>
      <c r="B153" s="2" t="d">
        <v>1998-06-27</v>
      </c>
      <c r="C153" s="1" t="s">
        <v>268</v>
      </c>
      <c r="D153" s="12" t="s">
        <v>323</v>
      </c>
      <c r="E153" s="1" t="s">
        <v>81</v>
      </c>
      <c r="F153" s="1" t="s">
        <v>82</v>
      </c>
      <c r="G153" s="1" t="s">
        <v>17</v>
      </c>
      <c r="H153" s="1" t="s">
        <v>27</v>
      </c>
      <c r="I153" s="1">
        <v>4</v>
      </c>
      <c r="J153" s="1">
        <v>1</v>
      </c>
      <c r="K153" s="1" t="s">
        <v>35</v>
      </c>
      <c r="L153" s="1" t="s">
        <v>19</v>
      </c>
      <c r="O153" s="1" t="s">
        <v>7</v>
      </c>
      <c r="P153" s="1">
        <v>1998</v>
      </c>
      <c r="Q153" s="12" t="s">
        <v>323</v>
      </c>
      <c r="R153" s="1" t="s">
        <v>27</v>
      </c>
      <c r="S153" s="1" t="s">
        <v>27</v>
      </c>
      <c r="V153"/>
      <c r="Y153"/>
      <c r="Z153" s="16"/>
      <c r="AA153" s="16"/>
    </row>
    <row r="154" spans="1:27" x14ac:dyDescent="0.2">
      <c r="A154" s="1">
        <v>1998</v>
      </c>
      <c r="B154" s="2" t="d">
        <v>1998-06-28</v>
      </c>
      <c r="C154" s="1" t="s">
        <v>45</v>
      </c>
      <c r="D154" s="12" t="s">
        <v>323</v>
      </c>
      <c r="E154" s="1" t="s">
        <v>387</v>
      </c>
      <c r="F154" s="1" t="s">
        <v>388</v>
      </c>
      <c r="G154" s="1" t="s">
        <v>17</v>
      </c>
      <c r="H154" s="1" t="s">
        <v>17</v>
      </c>
      <c r="I154" s="1">
        <v>1</v>
      </c>
      <c r="J154" s="1">
        <v>0</v>
      </c>
      <c r="K154" s="1" t="s">
        <v>37</v>
      </c>
      <c r="L154" s="1" t="s">
        <v>328</v>
      </c>
      <c r="O154" s="1" t="s">
        <v>7</v>
      </c>
      <c r="P154" s="1">
        <v>1998</v>
      </c>
      <c r="Q154" s="12" t="s">
        <v>323</v>
      </c>
      <c r="R154" s="1" t="s">
        <v>17</v>
      </c>
      <c r="S154" s="1" t="s">
        <v>17</v>
      </c>
      <c r="V154"/>
      <c r="Y154"/>
      <c r="Z154" s="16"/>
      <c r="AA154" s="16"/>
    </row>
    <row r="155" spans="1:27" x14ac:dyDescent="0.2">
      <c r="A155" s="1">
        <v>1998</v>
      </c>
      <c r="B155" s="2" t="d">
        <v>1998-06-28</v>
      </c>
      <c r="C155" s="1" t="s">
        <v>268</v>
      </c>
      <c r="D155" s="12" t="s">
        <v>323</v>
      </c>
      <c r="E155" s="1" t="s">
        <v>383</v>
      </c>
      <c r="F155" s="1" t="s">
        <v>384</v>
      </c>
      <c r="G155" s="1" t="s">
        <v>17</v>
      </c>
      <c r="H155" s="1" t="s">
        <v>378</v>
      </c>
      <c r="I155" s="1">
        <v>1</v>
      </c>
      <c r="J155" s="1">
        <v>4</v>
      </c>
      <c r="K155" s="1" t="s">
        <v>320</v>
      </c>
      <c r="L155" s="1" t="s">
        <v>19</v>
      </c>
      <c r="O155" s="1" t="s">
        <v>7</v>
      </c>
      <c r="P155" s="1">
        <v>1998</v>
      </c>
      <c r="Q155" s="12" t="s">
        <v>323</v>
      </c>
      <c r="R155" s="1" t="s">
        <v>378</v>
      </c>
      <c r="S155" s="1" t="s">
        <v>378</v>
      </c>
      <c r="V155"/>
      <c r="Y155"/>
      <c r="Z155" s="21"/>
      <c r="AA155" s="21"/>
    </row>
    <row r="156" spans="1:27" x14ac:dyDescent="0.2">
      <c r="A156" s="1">
        <v>1998</v>
      </c>
      <c r="B156" s="2" t="d">
        <v>1998-06-29</v>
      </c>
      <c r="C156" s="1" t="s">
        <v>45</v>
      </c>
      <c r="D156" s="12" t="s">
        <v>323</v>
      </c>
      <c r="E156" s="1" t="s">
        <v>385</v>
      </c>
      <c r="F156" s="1" t="s">
        <v>386</v>
      </c>
      <c r="G156" s="1" t="s">
        <v>17</v>
      </c>
      <c r="H156" s="1" t="s">
        <v>65</v>
      </c>
      <c r="I156" s="1">
        <v>2</v>
      </c>
      <c r="J156" s="1">
        <v>1</v>
      </c>
      <c r="K156" s="1" t="s">
        <v>18</v>
      </c>
      <c r="L156" s="1" t="s">
        <v>19</v>
      </c>
      <c r="O156" s="1" t="s">
        <v>7</v>
      </c>
      <c r="P156" s="1">
        <v>1998</v>
      </c>
      <c r="Q156" s="12" t="s">
        <v>323</v>
      </c>
      <c r="R156" s="1" t="s">
        <v>65</v>
      </c>
      <c r="S156" s="1" t="s">
        <v>65</v>
      </c>
      <c r="V156"/>
      <c r="Y156"/>
      <c r="Z156" s="21"/>
      <c r="AA156" s="21"/>
    </row>
    <row r="157" spans="1:27" x14ac:dyDescent="0.2">
      <c r="A157" s="1">
        <v>1998</v>
      </c>
      <c r="B157" s="2" t="d">
        <v>1998-06-29</v>
      </c>
      <c r="C157" s="1" t="s">
        <v>268</v>
      </c>
      <c r="D157" s="12" t="s">
        <v>323</v>
      </c>
      <c r="E157" s="1" t="s">
        <v>88</v>
      </c>
      <c r="F157" s="1" t="s">
        <v>89</v>
      </c>
      <c r="G157" s="1" t="s">
        <v>17</v>
      </c>
      <c r="H157" s="1" t="s">
        <v>59</v>
      </c>
      <c r="I157" s="1">
        <v>2</v>
      </c>
      <c r="J157" s="1">
        <v>1</v>
      </c>
      <c r="K157" s="1" t="s">
        <v>26</v>
      </c>
      <c r="L157" s="1" t="s">
        <v>19</v>
      </c>
      <c r="O157" s="1" t="s">
        <v>7</v>
      </c>
      <c r="P157" s="1">
        <v>1998</v>
      </c>
      <c r="Q157" s="12" t="s">
        <v>323</v>
      </c>
      <c r="R157" s="1" t="s">
        <v>59</v>
      </c>
      <c r="S157" s="1" t="s">
        <v>59</v>
      </c>
      <c r="V157"/>
      <c r="Y157"/>
      <c r="Z157" s="20"/>
      <c r="AA157" s="20"/>
    </row>
    <row r="158" spans="1:27" x14ac:dyDescent="0.2">
      <c r="A158" s="1">
        <v>1998</v>
      </c>
      <c r="B158" s="2" t="d">
        <v>1998-06-30</v>
      </c>
      <c r="C158" s="1" t="s">
        <v>45</v>
      </c>
      <c r="D158" s="12" t="s">
        <v>323</v>
      </c>
      <c r="E158" s="1" t="s">
        <v>102</v>
      </c>
      <c r="F158" s="1" t="s">
        <v>103</v>
      </c>
      <c r="G158" s="1" t="s">
        <v>17</v>
      </c>
      <c r="H158" s="1" t="s">
        <v>30</v>
      </c>
      <c r="I158" s="1">
        <v>0</v>
      </c>
      <c r="J158" s="1">
        <v>1</v>
      </c>
      <c r="K158" s="1" t="s">
        <v>399</v>
      </c>
      <c r="L158" s="1" t="s">
        <v>19</v>
      </c>
      <c r="O158" s="1" t="s">
        <v>7</v>
      </c>
      <c r="P158" s="1">
        <v>1998</v>
      </c>
      <c r="Q158" s="12" t="s">
        <v>323</v>
      </c>
      <c r="R158" s="1" t="s">
        <v>30</v>
      </c>
      <c r="S158" s="1" t="s">
        <v>30</v>
      </c>
      <c r="V158"/>
      <c r="Y158"/>
      <c r="Z158" s="20"/>
      <c r="AA158" s="20"/>
    </row>
    <row r="159" spans="1:27" x14ac:dyDescent="0.2">
      <c r="A159" s="1">
        <v>1998</v>
      </c>
      <c r="B159" s="2" t="d">
        <v>1998-06-30</v>
      </c>
      <c r="C159" s="1" t="s">
        <v>268</v>
      </c>
      <c r="D159" s="12" t="s">
        <v>323</v>
      </c>
      <c r="E159" s="1" t="s">
        <v>396</v>
      </c>
      <c r="F159" s="1" t="s">
        <v>397</v>
      </c>
      <c r="G159" s="1" t="s">
        <v>17</v>
      </c>
      <c r="H159" s="1" t="s">
        <v>33</v>
      </c>
      <c r="I159" s="1">
        <v>2</v>
      </c>
      <c r="J159" s="1">
        <v>2</v>
      </c>
      <c r="K159" s="1" t="s">
        <v>110</v>
      </c>
      <c r="L159" s="1" t="s">
        <v>401</v>
      </c>
      <c r="O159" s="1" t="s">
        <v>7</v>
      </c>
      <c r="P159" s="1">
        <v>1998</v>
      </c>
      <c r="Q159" s="12" t="s">
        <v>323</v>
      </c>
      <c r="R159" s="1" t="s">
        <v>33</v>
      </c>
      <c r="S159" s="1" t="s">
        <v>33</v>
      </c>
      <c r="V159"/>
      <c r="Y159"/>
      <c r="Z159" s="20"/>
      <c r="AA159" s="20"/>
    </row>
    <row r="160" spans="1:27" x14ac:dyDescent="0.2">
      <c r="A160" s="1">
        <v>1998</v>
      </c>
      <c r="B160" s="2" t="d">
        <v>1998-07-03</v>
      </c>
      <c r="C160" s="1" t="s">
        <v>45</v>
      </c>
      <c r="D160" s="12" t="s">
        <v>74</v>
      </c>
      <c r="E160" s="1" t="s">
        <v>383</v>
      </c>
      <c r="F160" s="1" t="s">
        <v>384</v>
      </c>
      <c r="G160" s="1" t="s">
        <v>17</v>
      </c>
      <c r="H160" s="1" t="s">
        <v>49</v>
      </c>
      <c r="I160" s="1">
        <v>0</v>
      </c>
      <c r="J160" s="1">
        <v>0</v>
      </c>
      <c r="K160" s="1" t="s">
        <v>17</v>
      </c>
      <c r="L160" s="1" t="s">
        <v>325</v>
      </c>
      <c r="O160" s="1" t="s">
        <v>7</v>
      </c>
      <c r="P160" s="1">
        <v>1998</v>
      </c>
      <c r="Q160" s="12" t="s">
        <v>74</v>
      </c>
      <c r="R160" s="1" t="s">
        <v>49</v>
      </c>
      <c r="S160" s="1" t="s">
        <v>49</v>
      </c>
      <c r="V160"/>
      <c r="Y160"/>
      <c r="Z160" s="16"/>
      <c r="AA160" s="16"/>
    </row>
    <row r="161" spans="1:27" x14ac:dyDescent="0.2">
      <c r="A161" s="1">
        <v>1998</v>
      </c>
      <c r="B161" s="2" t="d">
        <v>1998-07-03</v>
      </c>
      <c r="C161" s="1" t="s">
        <v>268</v>
      </c>
      <c r="D161" s="12" t="s">
        <v>74</v>
      </c>
      <c r="E161" s="1" t="s">
        <v>390</v>
      </c>
      <c r="F161" s="1" t="s">
        <v>391</v>
      </c>
      <c r="G161" s="1" t="s">
        <v>17</v>
      </c>
      <c r="H161" s="1" t="s">
        <v>27</v>
      </c>
      <c r="I161" s="1">
        <v>3</v>
      </c>
      <c r="J161" s="1">
        <v>2</v>
      </c>
      <c r="K161" s="1" t="s">
        <v>320</v>
      </c>
      <c r="L161" s="1" t="s">
        <v>19</v>
      </c>
      <c r="O161" s="1" t="s">
        <v>7</v>
      </c>
      <c r="P161" s="1">
        <v>1998</v>
      </c>
      <c r="Q161" s="12" t="s">
        <v>74</v>
      </c>
      <c r="R161" s="1" t="s">
        <v>27</v>
      </c>
      <c r="S161" s="1" t="s">
        <v>27</v>
      </c>
      <c r="V161"/>
      <c r="Y161"/>
      <c r="Z161" s="20"/>
      <c r="AA161" s="20"/>
    </row>
    <row r="162" spans="1:27" x14ac:dyDescent="0.2">
      <c r="A162" s="1">
        <v>1998</v>
      </c>
      <c r="B162" s="2" t="d">
        <v>1998-07-04</v>
      </c>
      <c r="C162" s="1" t="s">
        <v>45</v>
      </c>
      <c r="D162" s="12" t="s">
        <v>74</v>
      </c>
      <c r="E162" s="1" t="s">
        <v>91</v>
      </c>
      <c r="F162" s="1" t="s">
        <v>92</v>
      </c>
      <c r="G162" s="1" t="s">
        <v>17</v>
      </c>
      <c r="H162" s="1" t="s">
        <v>59</v>
      </c>
      <c r="I162" s="1">
        <v>2</v>
      </c>
      <c r="J162" s="1">
        <v>1</v>
      </c>
      <c r="K162" s="1" t="s">
        <v>33</v>
      </c>
      <c r="L162" s="1" t="s">
        <v>19</v>
      </c>
      <c r="O162" s="1" t="s">
        <v>7</v>
      </c>
      <c r="P162" s="1">
        <v>1998</v>
      </c>
      <c r="Q162" s="12" t="s">
        <v>74</v>
      </c>
      <c r="R162" s="1" t="s">
        <v>59</v>
      </c>
      <c r="S162" s="1" t="s">
        <v>59</v>
      </c>
      <c r="V162"/>
      <c r="Y162"/>
      <c r="Z162" s="20"/>
      <c r="AA162" s="20"/>
    </row>
    <row r="163" spans="1:27" x14ac:dyDescent="0.2">
      <c r="A163" s="1">
        <v>1998</v>
      </c>
      <c r="B163" s="2" t="d">
        <v>1998-07-04</v>
      </c>
      <c r="C163" s="1" t="s">
        <v>268</v>
      </c>
      <c r="D163" s="12" t="s">
        <v>74</v>
      </c>
      <c r="E163" s="1" t="s">
        <v>392</v>
      </c>
      <c r="F163" s="1" t="s">
        <v>393</v>
      </c>
      <c r="G163" s="1" t="s">
        <v>17</v>
      </c>
      <c r="H163" s="1" t="s">
        <v>65</v>
      </c>
      <c r="I163" s="1">
        <v>0</v>
      </c>
      <c r="J163" s="1">
        <v>3</v>
      </c>
      <c r="K163" s="1" t="s">
        <v>399</v>
      </c>
      <c r="L163" s="1" t="s">
        <v>19</v>
      </c>
      <c r="O163" s="1" t="s">
        <v>7</v>
      </c>
      <c r="P163" s="1">
        <v>1998</v>
      </c>
      <c r="Q163" s="12" t="s">
        <v>74</v>
      </c>
      <c r="R163" s="1" t="s">
        <v>65</v>
      </c>
      <c r="S163" s="1" t="s">
        <v>65</v>
      </c>
      <c r="V163"/>
      <c r="Y163"/>
      <c r="Z163" s="20"/>
      <c r="AA163" s="20"/>
    </row>
    <row r="164" spans="1:27" x14ac:dyDescent="0.2">
      <c r="A164" s="1">
        <v>1998</v>
      </c>
      <c r="B164" s="2" t="d">
        <v>1998-07-07</v>
      </c>
      <c r="C164" s="1" t="s">
        <v>268</v>
      </c>
      <c r="D164" s="12" t="s">
        <v>42</v>
      </c>
      <c r="E164" s="1" t="s">
        <v>91</v>
      </c>
      <c r="F164" s="1" t="s">
        <v>92</v>
      </c>
      <c r="G164" s="1" t="s">
        <v>17</v>
      </c>
      <c r="H164" s="1" t="s">
        <v>27</v>
      </c>
      <c r="I164" s="1">
        <v>1</v>
      </c>
      <c r="J164" s="1">
        <v>1</v>
      </c>
      <c r="K164" s="1" t="s">
        <v>59</v>
      </c>
      <c r="L164" s="1" t="s">
        <v>402</v>
      </c>
      <c r="O164" s="1" t="s">
        <v>7</v>
      </c>
      <c r="P164" s="1">
        <v>1998</v>
      </c>
      <c r="Q164" s="12" t="s">
        <v>42</v>
      </c>
      <c r="R164" s="1" t="s">
        <v>27</v>
      </c>
      <c r="S164" s="1" t="s">
        <v>27</v>
      </c>
      <c r="V164"/>
      <c r="Y164"/>
      <c r="Z164" s="16"/>
      <c r="AA164" s="16"/>
    </row>
    <row r="165" spans="1:27" x14ac:dyDescent="0.2">
      <c r="A165" s="1">
        <v>1998</v>
      </c>
      <c r="B165" s="2" t="d">
        <v>1998-07-08</v>
      </c>
      <c r="C165" s="1" t="s">
        <v>268</v>
      </c>
      <c r="D165" s="12" t="s">
        <v>42</v>
      </c>
      <c r="E165" s="1" t="s">
        <v>383</v>
      </c>
      <c r="F165" s="1" t="s">
        <v>384</v>
      </c>
      <c r="G165" s="1" t="s">
        <v>17</v>
      </c>
      <c r="H165" s="1" t="s">
        <v>17</v>
      </c>
      <c r="I165" s="1">
        <v>2</v>
      </c>
      <c r="J165" s="1">
        <v>1</v>
      </c>
      <c r="K165" s="1" t="s">
        <v>399</v>
      </c>
      <c r="L165" s="1" t="s">
        <v>19</v>
      </c>
      <c r="O165" s="1" t="s">
        <v>7</v>
      </c>
      <c r="P165" s="1">
        <v>1998</v>
      </c>
      <c r="Q165" s="12" t="s">
        <v>42</v>
      </c>
      <c r="R165" s="1" t="s">
        <v>17</v>
      </c>
      <c r="S165" s="1" t="s">
        <v>17</v>
      </c>
      <c r="V165"/>
      <c r="Y165"/>
      <c r="Z165" s="16"/>
      <c r="AA165" s="16"/>
    </row>
    <row r="166" spans="1:27" x14ac:dyDescent="0.2">
      <c r="A166" s="1">
        <v>1998</v>
      </c>
      <c r="B166" s="2" t="d">
        <v>1998-07-11</v>
      </c>
      <c r="C166" s="1" t="s">
        <v>268</v>
      </c>
      <c r="D166" s="12" t="s">
        <v>76</v>
      </c>
      <c r="E166" s="1" t="s">
        <v>81</v>
      </c>
      <c r="F166" s="1" t="s">
        <v>82</v>
      </c>
      <c r="G166" s="1" t="s">
        <v>17</v>
      </c>
      <c r="H166" s="1" t="s">
        <v>59</v>
      </c>
      <c r="I166" s="1">
        <v>1</v>
      </c>
      <c r="J166" s="1">
        <v>2</v>
      </c>
      <c r="K166" s="1" t="s">
        <v>399</v>
      </c>
      <c r="L166" s="1" t="s">
        <v>19</v>
      </c>
      <c r="O166" s="1" t="s">
        <v>7</v>
      </c>
      <c r="P166" s="1">
        <v>1998</v>
      </c>
      <c r="Q166" s="12" t="s">
        <v>76</v>
      </c>
      <c r="R166" s="1" t="s">
        <v>59</v>
      </c>
      <c r="S166" s="1" t="s">
        <v>59</v>
      </c>
      <c r="V166"/>
      <c r="Y166"/>
      <c r="Z166" s="21"/>
      <c r="AA166" s="21"/>
    </row>
    <row r="167" spans="1:27" x14ac:dyDescent="0.2">
      <c r="A167" s="1">
        <v>1998</v>
      </c>
      <c r="B167" s="2" t="d">
        <v>1998-07-12</v>
      </c>
      <c r="C167" s="1" t="s">
        <v>268</v>
      </c>
      <c r="D167" s="12" t="s">
        <v>44</v>
      </c>
      <c r="E167" s="1" t="s">
        <v>383</v>
      </c>
      <c r="F167" s="1" t="s">
        <v>384</v>
      </c>
      <c r="G167" s="1" t="s">
        <v>17</v>
      </c>
      <c r="H167" s="1" t="s">
        <v>27</v>
      </c>
      <c r="I167" s="1">
        <v>0</v>
      </c>
      <c r="J167" s="1">
        <v>3</v>
      </c>
      <c r="K167" s="1" t="s">
        <v>17</v>
      </c>
      <c r="L167" s="1" t="s">
        <v>19</v>
      </c>
      <c r="O167" s="1" t="s">
        <v>7</v>
      </c>
      <c r="P167" s="1">
        <v>1998</v>
      </c>
      <c r="Q167" s="12" t="s">
        <v>44</v>
      </c>
      <c r="R167" s="1" t="s">
        <v>27</v>
      </c>
      <c r="S167" s="1" t="s">
        <v>27</v>
      </c>
      <c r="V167"/>
      <c r="Y167"/>
      <c r="Z167" s="16"/>
      <c r="AA167" s="16"/>
    </row>
    <row r="168" spans="1:27" x14ac:dyDescent="0.2">
      <c r="A168" s="1">
        <v>2002</v>
      </c>
      <c r="B168" s="2" t="d">
        <v>2002-06-15</v>
      </c>
      <c r="C168" s="1" t="s">
        <v>403</v>
      </c>
      <c r="D168" s="12" t="s">
        <v>323</v>
      </c>
      <c r="E168" s="1" t="s">
        <v>410</v>
      </c>
      <c r="F168" s="1" t="s">
        <v>411</v>
      </c>
      <c r="G168" s="1" t="s">
        <v>406</v>
      </c>
      <c r="H168" s="1" t="s">
        <v>320</v>
      </c>
      <c r="I168" s="1">
        <v>0</v>
      </c>
      <c r="J168" s="1">
        <v>3</v>
      </c>
      <c r="K168" s="1" t="s">
        <v>110</v>
      </c>
      <c r="L168" s="1" t="s">
        <v>19</v>
      </c>
      <c r="O168" s="1" t="s">
        <v>7</v>
      </c>
      <c r="P168" s="1">
        <v>2002</v>
      </c>
      <c r="Q168" s="12" t="s">
        <v>323</v>
      </c>
      <c r="R168" s="1" t="s">
        <v>320</v>
      </c>
      <c r="S168" s="1" t="s">
        <v>320</v>
      </c>
      <c r="V168"/>
      <c r="Y168"/>
      <c r="Z168" s="16"/>
      <c r="AA168" s="16"/>
    </row>
    <row r="169" spans="1:27" x14ac:dyDescent="0.2">
      <c r="A169" s="1">
        <v>2002</v>
      </c>
      <c r="B169" s="2" t="d">
        <v>2002-06-15</v>
      </c>
      <c r="C169" s="1" t="s">
        <v>119</v>
      </c>
      <c r="D169" s="12" t="s">
        <v>323</v>
      </c>
      <c r="E169" s="1" t="s">
        <v>433</v>
      </c>
      <c r="F169" s="1" t="s">
        <v>434</v>
      </c>
      <c r="G169" s="1" t="s">
        <v>406</v>
      </c>
      <c r="H169" s="1" t="s">
        <v>65</v>
      </c>
      <c r="I169" s="1">
        <v>1</v>
      </c>
      <c r="J169" s="1">
        <v>0</v>
      </c>
      <c r="K169" s="1" t="s">
        <v>37</v>
      </c>
      <c r="L169" s="1" t="s">
        <v>19</v>
      </c>
      <c r="O169" s="1" t="s">
        <v>7</v>
      </c>
      <c r="P169" s="1">
        <v>2002</v>
      </c>
      <c r="Q169" s="12" t="s">
        <v>323</v>
      </c>
      <c r="R169" s="1" t="s">
        <v>65</v>
      </c>
      <c r="S169" s="1" t="s">
        <v>65</v>
      </c>
      <c r="V169"/>
      <c r="Y169"/>
      <c r="Z169" s="20"/>
      <c r="AA169" s="20"/>
    </row>
    <row r="170" spans="1:27" x14ac:dyDescent="0.2">
      <c r="A170" s="1">
        <v>2002</v>
      </c>
      <c r="B170" s="2" t="d">
        <v>2002-06-16</v>
      </c>
      <c r="C170" s="1" t="s">
        <v>403</v>
      </c>
      <c r="D170" s="12" t="s">
        <v>323</v>
      </c>
      <c r="E170" s="1" t="s">
        <v>427</v>
      </c>
      <c r="F170" s="1" t="s">
        <v>428</v>
      </c>
      <c r="G170" s="1" t="s">
        <v>406</v>
      </c>
      <c r="H170" s="1" t="s">
        <v>68</v>
      </c>
      <c r="I170" s="1">
        <v>1</v>
      </c>
      <c r="J170" s="1">
        <v>1</v>
      </c>
      <c r="K170" s="1" t="s">
        <v>340</v>
      </c>
      <c r="L170" s="1" t="s">
        <v>449</v>
      </c>
      <c r="O170" s="1" t="s">
        <v>7</v>
      </c>
      <c r="P170" s="1">
        <v>2002</v>
      </c>
      <c r="Q170" s="12" t="s">
        <v>323</v>
      </c>
      <c r="R170" s="1" t="s">
        <v>68</v>
      </c>
      <c r="S170" s="1" t="s">
        <v>68</v>
      </c>
      <c r="V170"/>
      <c r="Y170"/>
      <c r="Z170" s="20"/>
      <c r="AA170" s="20"/>
    </row>
    <row r="171" spans="1:27" x14ac:dyDescent="0.2">
      <c r="A171" s="1">
        <v>2002</v>
      </c>
      <c r="B171" s="2" t="d">
        <v>2002-06-16</v>
      </c>
      <c r="C171" s="1" t="s">
        <v>119</v>
      </c>
      <c r="D171" s="12" t="s">
        <v>323</v>
      </c>
      <c r="E171" s="1" t="s">
        <v>441</v>
      </c>
      <c r="F171" s="1" t="s">
        <v>442</v>
      </c>
      <c r="G171" s="1" t="s">
        <v>406</v>
      </c>
      <c r="H171" s="1" t="s">
        <v>62</v>
      </c>
      <c r="I171" s="1">
        <v>1</v>
      </c>
      <c r="J171" s="1">
        <v>2</v>
      </c>
      <c r="K171" s="1" t="s">
        <v>407</v>
      </c>
      <c r="L171" s="1" t="s">
        <v>450</v>
      </c>
      <c r="O171" s="1" t="s">
        <v>7</v>
      </c>
      <c r="P171" s="1">
        <v>2002</v>
      </c>
      <c r="Q171" s="12" t="s">
        <v>323</v>
      </c>
      <c r="R171" s="1" t="s">
        <v>62</v>
      </c>
      <c r="S171" s="1" t="s">
        <v>62</v>
      </c>
      <c r="V171"/>
      <c r="Y171"/>
      <c r="Z171" s="6"/>
      <c r="AA171" s="6"/>
    </row>
    <row r="172" spans="1:27" x14ac:dyDescent="0.2">
      <c r="A172" s="1">
        <v>2002</v>
      </c>
      <c r="B172" s="2" t="d">
        <v>2002-06-17</v>
      </c>
      <c r="C172" s="1" t="s">
        <v>403</v>
      </c>
      <c r="D172" s="12" t="s">
        <v>323</v>
      </c>
      <c r="E172" s="1" t="s">
        <v>425</v>
      </c>
      <c r="F172" s="1" t="s">
        <v>426</v>
      </c>
      <c r="G172" s="1" t="s">
        <v>406</v>
      </c>
      <c r="H172" s="1" t="s">
        <v>27</v>
      </c>
      <c r="I172" s="1">
        <v>2</v>
      </c>
      <c r="J172" s="1">
        <v>0</v>
      </c>
      <c r="K172" s="1" t="s">
        <v>23</v>
      </c>
      <c r="L172" s="1" t="s">
        <v>19</v>
      </c>
      <c r="O172" s="1" t="s">
        <v>7</v>
      </c>
      <c r="P172" s="1">
        <v>2002</v>
      </c>
      <c r="Q172" s="12" t="s">
        <v>323</v>
      </c>
      <c r="R172" s="1" t="s">
        <v>27</v>
      </c>
      <c r="S172" s="1" t="s">
        <v>27</v>
      </c>
      <c r="V172"/>
      <c r="Y172"/>
      <c r="Z172" s="21"/>
      <c r="AA172" s="21"/>
    </row>
    <row r="173" spans="1:27" x14ac:dyDescent="0.2">
      <c r="A173" s="1">
        <v>2002</v>
      </c>
      <c r="B173" s="2" t="d">
        <v>2002-06-17</v>
      </c>
      <c r="C173" s="1" t="s">
        <v>119</v>
      </c>
      <c r="D173" s="12" t="s">
        <v>323</v>
      </c>
      <c r="E173" s="1" t="s">
        <v>431</v>
      </c>
      <c r="F173" s="1" t="s">
        <v>432</v>
      </c>
      <c r="G173" s="1" t="s">
        <v>406</v>
      </c>
      <c r="H173" s="1" t="s">
        <v>18</v>
      </c>
      <c r="I173" s="1">
        <v>0</v>
      </c>
      <c r="J173" s="1">
        <v>2</v>
      </c>
      <c r="K173" s="1" t="s">
        <v>22</v>
      </c>
      <c r="L173" s="1" t="s">
        <v>19</v>
      </c>
      <c r="O173" s="1" t="s">
        <v>7</v>
      </c>
      <c r="P173" s="1">
        <v>2002</v>
      </c>
      <c r="Q173" s="12" t="s">
        <v>323</v>
      </c>
      <c r="R173" s="1" t="s">
        <v>18</v>
      </c>
      <c r="S173" s="1" t="s">
        <v>18</v>
      </c>
      <c r="V173"/>
      <c r="Y173"/>
      <c r="Z173" s="16"/>
      <c r="AA173" s="16"/>
    </row>
    <row r="174" spans="1:27" x14ac:dyDescent="0.2">
      <c r="A174" s="1">
        <v>2002</v>
      </c>
      <c r="B174" s="2" t="d">
        <v>2002-06-18</v>
      </c>
      <c r="C174" s="1" t="s">
        <v>119</v>
      </c>
      <c r="D174" s="12" t="s">
        <v>323</v>
      </c>
      <c r="E174" s="1" t="s">
        <v>439</v>
      </c>
      <c r="F174" s="1" t="s">
        <v>440</v>
      </c>
      <c r="G174" s="1" t="s">
        <v>406</v>
      </c>
      <c r="H174" s="1" t="s">
        <v>395</v>
      </c>
      <c r="I174" s="1">
        <v>0</v>
      </c>
      <c r="J174" s="1">
        <v>1</v>
      </c>
      <c r="K174" s="1" t="s">
        <v>134</v>
      </c>
      <c r="L174" s="1" t="s">
        <v>19</v>
      </c>
      <c r="O174" s="1" t="s">
        <v>7</v>
      </c>
      <c r="P174" s="1">
        <v>2002</v>
      </c>
      <c r="Q174" s="12" t="s">
        <v>323</v>
      </c>
      <c r="R174" s="1" t="s">
        <v>395</v>
      </c>
      <c r="S174" s="1" t="s">
        <v>395</v>
      </c>
      <c r="V174"/>
      <c r="Y174"/>
      <c r="Z174" s="16"/>
      <c r="AA174" s="16"/>
    </row>
    <row r="175" spans="1:27" x14ac:dyDescent="0.2">
      <c r="A175" s="1">
        <v>2002</v>
      </c>
      <c r="B175" s="2" t="d">
        <v>2002-06-18</v>
      </c>
      <c r="C175" s="1" t="s">
        <v>403</v>
      </c>
      <c r="D175" s="12" t="s">
        <v>323</v>
      </c>
      <c r="E175" s="1" t="s">
        <v>447</v>
      </c>
      <c r="F175" s="1" t="s">
        <v>448</v>
      </c>
      <c r="G175" s="1" t="s">
        <v>406</v>
      </c>
      <c r="H175" s="1" t="s">
        <v>135</v>
      </c>
      <c r="I175" s="1">
        <v>2</v>
      </c>
      <c r="J175" s="1">
        <v>1</v>
      </c>
      <c r="K175" s="1" t="s">
        <v>49</v>
      </c>
      <c r="L175" s="1" t="s">
        <v>450</v>
      </c>
      <c r="O175" s="1" t="s">
        <v>7</v>
      </c>
      <c r="P175" s="1">
        <v>2002</v>
      </c>
      <c r="Q175" s="12" t="s">
        <v>323</v>
      </c>
      <c r="R175" s="1" t="s">
        <v>135</v>
      </c>
      <c r="S175" s="1" t="s">
        <v>135</v>
      </c>
      <c r="V175"/>
      <c r="Y175"/>
      <c r="Z175" s="21"/>
      <c r="AA175" s="21"/>
    </row>
    <row r="176" spans="1:27" x14ac:dyDescent="0.2">
      <c r="A176" s="1">
        <v>2002</v>
      </c>
      <c r="B176" s="2" t="d">
        <v>2002-06-21</v>
      </c>
      <c r="C176" s="1" t="s">
        <v>119</v>
      </c>
      <c r="D176" s="12" t="s">
        <v>74</v>
      </c>
      <c r="E176" s="1" t="s">
        <v>443</v>
      </c>
      <c r="F176" s="1" t="s">
        <v>444</v>
      </c>
      <c r="G176" s="1" t="s">
        <v>406</v>
      </c>
      <c r="H176" s="1" t="s">
        <v>110</v>
      </c>
      <c r="I176" s="1">
        <v>1</v>
      </c>
      <c r="J176" s="1">
        <v>2</v>
      </c>
      <c r="K176" s="1" t="s">
        <v>27</v>
      </c>
      <c r="L176" s="1" t="s">
        <v>19</v>
      </c>
      <c r="O176" s="1" t="s">
        <v>7</v>
      </c>
      <c r="P176" s="1">
        <v>2002</v>
      </c>
      <c r="Q176" s="12" t="s">
        <v>74</v>
      </c>
      <c r="R176" s="1" t="s">
        <v>110</v>
      </c>
      <c r="S176" s="1" t="s">
        <v>110</v>
      </c>
      <c r="V176"/>
      <c r="Y176"/>
      <c r="Z176" s="16"/>
      <c r="AA176" s="16"/>
    </row>
    <row r="177" spans="1:27" x14ac:dyDescent="0.2">
      <c r="A177" s="1">
        <v>2002</v>
      </c>
      <c r="B177" s="2" t="d">
        <v>2002-06-21</v>
      </c>
      <c r="C177" s="1" t="s">
        <v>403</v>
      </c>
      <c r="D177" s="12" t="s">
        <v>74</v>
      </c>
      <c r="E177" s="1" t="s">
        <v>408</v>
      </c>
      <c r="F177" s="1" t="s">
        <v>409</v>
      </c>
      <c r="G177" s="1" t="s">
        <v>406</v>
      </c>
      <c r="H177" s="1" t="s">
        <v>65</v>
      </c>
      <c r="I177" s="1">
        <v>1</v>
      </c>
      <c r="J177" s="1">
        <v>0</v>
      </c>
      <c r="K177" s="1" t="s">
        <v>22</v>
      </c>
      <c r="L177" s="1" t="s">
        <v>19</v>
      </c>
      <c r="O177" s="1" t="s">
        <v>7</v>
      </c>
      <c r="P177" s="1">
        <v>2002</v>
      </c>
      <c r="Q177" s="12" t="s">
        <v>74</v>
      </c>
      <c r="R177" s="1" t="s">
        <v>65</v>
      </c>
      <c r="S177" s="1" t="s">
        <v>65</v>
      </c>
      <c r="V177"/>
      <c r="Y177"/>
      <c r="Z177" s="16"/>
      <c r="AA177" s="16"/>
    </row>
    <row r="178" spans="1:27" x14ac:dyDescent="0.2">
      <c r="A178" s="1">
        <v>2002</v>
      </c>
      <c r="B178" s="2" t="d">
        <v>2002-06-22</v>
      </c>
      <c r="C178" s="1" t="s">
        <v>403</v>
      </c>
      <c r="D178" s="12" t="s">
        <v>74</v>
      </c>
      <c r="E178" s="1" t="s">
        <v>445</v>
      </c>
      <c r="F178" s="1" t="s">
        <v>446</v>
      </c>
      <c r="G178" s="1" t="s">
        <v>406</v>
      </c>
      <c r="H178" s="1" t="s">
        <v>407</v>
      </c>
      <c r="I178" s="1">
        <v>0</v>
      </c>
      <c r="J178" s="1">
        <v>1</v>
      </c>
      <c r="K178" s="1" t="s">
        <v>134</v>
      </c>
      <c r="L178" s="1" t="s">
        <v>450</v>
      </c>
      <c r="O178" s="1" t="s">
        <v>7</v>
      </c>
      <c r="P178" s="1">
        <v>2002</v>
      </c>
      <c r="Q178" s="12" t="s">
        <v>74</v>
      </c>
      <c r="R178" s="1" t="s">
        <v>407</v>
      </c>
      <c r="S178" s="1" t="s">
        <v>407</v>
      </c>
      <c r="V178"/>
      <c r="Y178"/>
      <c r="Z178" s="16"/>
      <c r="AA178" s="16"/>
    </row>
    <row r="179" spans="1:27" x14ac:dyDescent="0.2">
      <c r="A179" s="1">
        <v>2002</v>
      </c>
      <c r="B179" s="2" t="d">
        <v>2002-06-22</v>
      </c>
      <c r="C179" s="1" t="s">
        <v>119</v>
      </c>
      <c r="D179" s="12" t="s">
        <v>74</v>
      </c>
      <c r="E179" s="1" t="s">
        <v>420</v>
      </c>
      <c r="F179" s="1" t="s">
        <v>421</v>
      </c>
      <c r="G179" s="1" t="s">
        <v>406</v>
      </c>
      <c r="H179" s="1" t="s">
        <v>68</v>
      </c>
      <c r="I179" s="1">
        <v>0</v>
      </c>
      <c r="J179" s="1">
        <v>0</v>
      </c>
      <c r="K179" s="1" t="s">
        <v>135</v>
      </c>
      <c r="L179" s="1" t="s">
        <v>451</v>
      </c>
      <c r="O179" s="1" t="s">
        <v>7</v>
      </c>
      <c r="P179" s="1">
        <v>2002</v>
      </c>
      <c r="Q179" s="12" t="s">
        <v>74</v>
      </c>
      <c r="R179" s="1" t="s">
        <v>68</v>
      </c>
      <c r="S179" s="1" t="s">
        <v>68</v>
      </c>
      <c r="V179"/>
      <c r="Y179"/>
      <c r="Z179" s="16"/>
      <c r="AA179" s="16"/>
    </row>
    <row r="180" spans="1:27" x14ac:dyDescent="0.2">
      <c r="A180" s="1">
        <v>2002</v>
      </c>
      <c r="B180" s="2" t="d">
        <v>2002-06-25</v>
      </c>
      <c r="C180" s="1" t="s">
        <v>403</v>
      </c>
      <c r="D180" s="12" t="s">
        <v>42</v>
      </c>
      <c r="E180" s="1" t="s">
        <v>404</v>
      </c>
      <c r="F180" s="1" t="s">
        <v>405</v>
      </c>
      <c r="G180" s="1" t="s">
        <v>406</v>
      </c>
      <c r="H180" s="1" t="s">
        <v>65</v>
      </c>
      <c r="I180" s="1">
        <v>1</v>
      </c>
      <c r="J180" s="1">
        <v>0</v>
      </c>
      <c r="K180" s="1" t="s">
        <v>135</v>
      </c>
      <c r="L180" s="1" t="s">
        <v>19</v>
      </c>
      <c r="O180" s="1" t="s">
        <v>7</v>
      </c>
      <c r="P180" s="1">
        <v>2002</v>
      </c>
      <c r="Q180" s="12" t="s">
        <v>42</v>
      </c>
      <c r="R180" s="1" t="s">
        <v>65</v>
      </c>
      <c r="S180" s="1" t="s">
        <v>65</v>
      </c>
      <c r="V180"/>
      <c r="Y180"/>
      <c r="Z180" s="21"/>
      <c r="AA180" s="21"/>
    </row>
    <row r="181" spans="1:27" x14ac:dyDescent="0.2">
      <c r="A181" s="1">
        <v>2002</v>
      </c>
      <c r="B181" s="2" t="d">
        <v>2002-06-26</v>
      </c>
      <c r="C181" s="1" t="s">
        <v>403</v>
      </c>
      <c r="D181" s="12" t="s">
        <v>42</v>
      </c>
      <c r="E181" s="1" t="s">
        <v>418</v>
      </c>
      <c r="F181" s="1" t="s">
        <v>419</v>
      </c>
      <c r="G181" s="1" t="s">
        <v>406</v>
      </c>
      <c r="H181" s="1" t="s">
        <v>27</v>
      </c>
      <c r="I181" s="1">
        <v>1</v>
      </c>
      <c r="J181" s="1">
        <v>0</v>
      </c>
      <c r="K181" s="1" t="s">
        <v>134</v>
      </c>
      <c r="L181" s="1" t="s">
        <v>19</v>
      </c>
      <c r="O181" s="1" t="s">
        <v>7</v>
      </c>
      <c r="P181" s="1">
        <v>2002</v>
      </c>
      <c r="Q181" s="12" t="s">
        <v>42</v>
      </c>
      <c r="R181" s="1" t="s">
        <v>27</v>
      </c>
      <c r="S181" s="1" t="s">
        <v>27</v>
      </c>
      <c r="V181"/>
      <c r="Y181"/>
      <c r="Z181" s="21"/>
      <c r="AA181" s="21"/>
    </row>
    <row r="182" spans="1:27" x14ac:dyDescent="0.2">
      <c r="A182" s="1">
        <v>2002</v>
      </c>
      <c r="B182" s="2" t="d">
        <v>2002-06-29</v>
      </c>
      <c r="C182" s="1" t="s">
        <v>262</v>
      </c>
      <c r="D182" s="12" t="s">
        <v>452</v>
      </c>
      <c r="E182" s="1" t="s">
        <v>429</v>
      </c>
      <c r="F182" s="1" t="s">
        <v>430</v>
      </c>
      <c r="G182" s="1" t="s">
        <v>406</v>
      </c>
      <c r="H182" s="1" t="s">
        <v>135</v>
      </c>
      <c r="I182" s="1">
        <v>2</v>
      </c>
      <c r="J182" s="1">
        <v>3</v>
      </c>
      <c r="K182" s="1" t="s">
        <v>134</v>
      </c>
      <c r="L182" s="1" t="s">
        <v>19</v>
      </c>
      <c r="O182" s="1" t="s">
        <v>7</v>
      </c>
      <c r="P182" s="1">
        <v>2002</v>
      </c>
      <c r="Q182" s="12" t="s">
        <v>452</v>
      </c>
      <c r="R182" s="1" t="s">
        <v>135</v>
      </c>
      <c r="S182" s="1" t="s">
        <v>135</v>
      </c>
      <c r="V182"/>
      <c r="Y182"/>
      <c r="Z182" s="21"/>
      <c r="AA182" s="21"/>
    </row>
    <row r="183" spans="1:27" x14ac:dyDescent="0.2">
      <c r="A183" s="1">
        <v>2002</v>
      </c>
      <c r="B183" s="2" t="d">
        <v>2002-06-30</v>
      </c>
      <c r="C183" s="1" t="s">
        <v>262</v>
      </c>
      <c r="D183" s="12" t="s">
        <v>44</v>
      </c>
      <c r="E183" s="1" t="s">
        <v>437</v>
      </c>
      <c r="F183" s="1" t="s">
        <v>438</v>
      </c>
      <c r="G183" s="1" t="s">
        <v>406</v>
      </c>
      <c r="H183" s="1" t="s">
        <v>65</v>
      </c>
      <c r="I183" s="1">
        <v>0</v>
      </c>
      <c r="J183" s="1">
        <v>2</v>
      </c>
      <c r="K183" s="1" t="s">
        <v>27</v>
      </c>
      <c r="L183" s="1" t="s">
        <v>19</v>
      </c>
      <c r="O183" s="1" t="s">
        <v>7</v>
      </c>
      <c r="P183" s="1">
        <v>2002</v>
      </c>
      <c r="Q183" s="12" t="s">
        <v>44</v>
      </c>
      <c r="R183" s="1" t="s">
        <v>65</v>
      </c>
      <c r="S183" s="1" t="s">
        <v>65</v>
      </c>
      <c r="V183"/>
      <c r="Y183"/>
      <c r="Z183" s="16"/>
      <c r="AA183" s="16"/>
    </row>
    <row r="184" spans="1:27" x14ac:dyDescent="0.2">
      <c r="A184" s="1">
        <v>2006</v>
      </c>
      <c r="B184" s="2" t="d">
        <v>2006-06-24</v>
      </c>
      <c r="C184" s="1" t="s">
        <v>79</v>
      </c>
      <c r="D184" s="12" t="s">
        <v>323</v>
      </c>
      <c r="E184" s="1" t="s">
        <v>453</v>
      </c>
      <c r="F184" s="1" t="s">
        <v>235</v>
      </c>
      <c r="G184" s="1" t="s">
        <v>65</v>
      </c>
      <c r="H184" s="1" t="s">
        <v>65</v>
      </c>
      <c r="I184" s="1">
        <v>2</v>
      </c>
      <c r="J184" s="1">
        <v>0</v>
      </c>
      <c r="K184" s="1" t="s">
        <v>62</v>
      </c>
      <c r="L184" s="1" t="s">
        <v>19</v>
      </c>
      <c r="O184" s="1" t="s">
        <v>7</v>
      </c>
      <c r="P184" s="1">
        <v>2006</v>
      </c>
      <c r="Q184" s="12" t="s">
        <v>323</v>
      </c>
      <c r="R184" s="1" t="s">
        <v>65</v>
      </c>
      <c r="S184" s="1" t="s">
        <v>65</v>
      </c>
      <c r="V184"/>
      <c r="Y184"/>
      <c r="Z184" s="21"/>
      <c r="AA184" s="21"/>
    </row>
    <row r="185" spans="1:27" x14ac:dyDescent="0.2">
      <c r="A185" s="1">
        <v>2006</v>
      </c>
      <c r="B185" s="2" t="d">
        <v>2006-06-24</v>
      </c>
      <c r="C185" s="1" t="s">
        <v>268</v>
      </c>
      <c r="D185" s="12" t="s">
        <v>323</v>
      </c>
      <c r="E185" s="1" t="s">
        <v>460</v>
      </c>
      <c r="F185" s="1" t="s">
        <v>461</v>
      </c>
      <c r="G185" s="1" t="s">
        <v>65</v>
      </c>
      <c r="H185" s="1" t="s">
        <v>33</v>
      </c>
      <c r="I185" s="1">
        <v>2</v>
      </c>
      <c r="J185" s="1">
        <v>1</v>
      </c>
      <c r="K185" s="1" t="s">
        <v>18</v>
      </c>
      <c r="L185" s="1" t="s">
        <v>261</v>
      </c>
      <c r="O185" s="1" t="s">
        <v>7</v>
      </c>
      <c r="P185" s="1">
        <v>2006</v>
      </c>
      <c r="Q185" s="12" t="s">
        <v>323</v>
      </c>
      <c r="R185" s="1" t="s">
        <v>33</v>
      </c>
      <c r="S185" s="1" t="s">
        <v>33</v>
      </c>
      <c r="V185"/>
      <c r="Y185"/>
      <c r="Z185" s="16"/>
      <c r="AA185" s="16"/>
    </row>
    <row r="186" spans="1:27" x14ac:dyDescent="0.2">
      <c r="A186" s="1">
        <v>2006</v>
      </c>
      <c r="B186" s="2" t="d">
        <v>2006-06-25</v>
      </c>
      <c r="C186" s="1" t="s">
        <v>79</v>
      </c>
      <c r="D186" s="12" t="s">
        <v>323</v>
      </c>
      <c r="E186" s="1" t="s">
        <v>474</v>
      </c>
      <c r="F186" s="1" t="s">
        <v>238</v>
      </c>
      <c r="G186" s="1" t="s">
        <v>65</v>
      </c>
      <c r="H186" s="1" t="s">
        <v>110</v>
      </c>
      <c r="I186" s="1">
        <v>1</v>
      </c>
      <c r="J186" s="1">
        <v>0</v>
      </c>
      <c r="K186" s="1" t="s">
        <v>423</v>
      </c>
      <c r="L186" s="1" t="s">
        <v>19</v>
      </c>
      <c r="O186" s="1" t="s">
        <v>7</v>
      </c>
      <c r="P186" s="1">
        <v>2006</v>
      </c>
      <c r="Q186" s="12" t="s">
        <v>323</v>
      </c>
      <c r="R186" s="1" t="s">
        <v>110</v>
      </c>
      <c r="S186" s="1" t="s">
        <v>110</v>
      </c>
      <c r="V186"/>
      <c r="Y186"/>
      <c r="Z186" s="21"/>
      <c r="AA186" s="21"/>
    </row>
    <row r="187" spans="1:27" x14ac:dyDescent="0.2">
      <c r="A187" s="1">
        <v>2006</v>
      </c>
      <c r="B187" s="2" t="d">
        <v>2006-06-25</v>
      </c>
      <c r="C187" s="1" t="s">
        <v>268</v>
      </c>
      <c r="D187" s="12" t="s">
        <v>323</v>
      </c>
      <c r="E187" s="1" t="s">
        <v>463</v>
      </c>
      <c r="F187" s="1" t="s">
        <v>464</v>
      </c>
      <c r="G187" s="1" t="s">
        <v>65</v>
      </c>
      <c r="H187" s="1" t="s">
        <v>197</v>
      </c>
      <c r="I187" s="1">
        <v>1</v>
      </c>
      <c r="J187" s="1">
        <v>0</v>
      </c>
      <c r="K187" s="1" t="s">
        <v>59</v>
      </c>
      <c r="L187" s="1" t="s">
        <v>19</v>
      </c>
      <c r="O187" s="1" t="s">
        <v>7</v>
      </c>
      <c r="P187" s="1">
        <v>2006</v>
      </c>
      <c r="Q187" s="12" t="s">
        <v>323</v>
      </c>
      <c r="R187" s="1" t="s">
        <v>197</v>
      </c>
      <c r="S187" s="1" t="s">
        <v>197</v>
      </c>
      <c r="V187"/>
      <c r="Y187"/>
      <c r="Z187" s="16"/>
      <c r="AA187" s="16"/>
    </row>
    <row r="188" spans="1:27" x14ac:dyDescent="0.2">
      <c r="A188" s="1">
        <v>2006</v>
      </c>
      <c r="B188" s="2" t="d">
        <v>2006-06-26</v>
      </c>
      <c r="C188" s="1" t="s">
        <v>79</v>
      </c>
      <c r="D188" s="12" t="s">
        <v>323</v>
      </c>
      <c r="E188" s="1" t="s">
        <v>468</v>
      </c>
      <c r="F188" s="1" t="s">
        <v>469</v>
      </c>
      <c r="G188" s="1" t="s">
        <v>65</v>
      </c>
      <c r="H188" s="1" t="s">
        <v>49</v>
      </c>
      <c r="I188" s="1">
        <v>1</v>
      </c>
      <c r="J188" s="1">
        <v>0</v>
      </c>
      <c r="K188" s="1" t="s">
        <v>227</v>
      </c>
      <c r="L188" s="1" t="s">
        <v>19</v>
      </c>
      <c r="O188" s="1" t="s">
        <v>7</v>
      </c>
      <c r="P188" s="1">
        <v>2006</v>
      </c>
      <c r="Q188" s="12" t="s">
        <v>323</v>
      </c>
      <c r="R188" s="1" t="s">
        <v>49</v>
      </c>
      <c r="S188" s="1" t="s">
        <v>49</v>
      </c>
      <c r="V188"/>
      <c r="Y188"/>
      <c r="Z188" s="16"/>
      <c r="AA188" s="16"/>
    </row>
    <row r="189" spans="1:27" x14ac:dyDescent="0.2">
      <c r="A189" s="1">
        <v>2006</v>
      </c>
      <c r="B189" s="2" t="d">
        <v>2006-06-26</v>
      </c>
      <c r="C189" s="1" t="s">
        <v>268</v>
      </c>
      <c r="D189" s="12" t="s">
        <v>323</v>
      </c>
      <c r="E189" s="1" t="s">
        <v>465</v>
      </c>
      <c r="F189" s="1" t="s">
        <v>466</v>
      </c>
      <c r="G189" s="1" t="s">
        <v>65</v>
      </c>
      <c r="H189" s="1" t="s">
        <v>58</v>
      </c>
      <c r="I189" s="1">
        <v>0</v>
      </c>
      <c r="J189" s="1">
        <v>0</v>
      </c>
      <c r="K189" s="1" t="s">
        <v>476</v>
      </c>
      <c r="L189" s="1" t="s">
        <v>477</v>
      </c>
      <c r="O189" s="1" t="s">
        <v>7</v>
      </c>
      <c r="P189" s="1">
        <v>2006</v>
      </c>
      <c r="Q189" s="12" t="s">
        <v>323</v>
      </c>
      <c r="R189" s="1" t="s">
        <v>58</v>
      </c>
      <c r="S189" s="1" t="s">
        <v>58</v>
      </c>
      <c r="V189"/>
      <c r="Y189"/>
      <c r="Z189" s="16"/>
      <c r="AA189" s="16"/>
    </row>
    <row r="190" spans="1:27" x14ac:dyDescent="0.2">
      <c r="A190" s="1">
        <v>2006</v>
      </c>
      <c r="B190" s="2" t="d">
        <v>2006-06-27</v>
      </c>
      <c r="C190" s="1" t="s">
        <v>79</v>
      </c>
      <c r="D190" s="12" t="s">
        <v>323</v>
      </c>
      <c r="E190" s="1" t="s">
        <v>456</v>
      </c>
      <c r="F190" s="1" t="s">
        <v>229</v>
      </c>
      <c r="G190" s="1" t="s">
        <v>65</v>
      </c>
      <c r="H190" s="1" t="s">
        <v>27</v>
      </c>
      <c r="I190" s="1">
        <v>3</v>
      </c>
      <c r="J190" s="1">
        <v>0</v>
      </c>
      <c r="K190" s="1" t="s">
        <v>472</v>
      </c>
      <c r="L190" s="1" t="s">
        <v>19</v>
      </c>
      <c r="O190" s="1" t="s">
        <v>7</v>
      </c>
      <c r="P190" s="1">
        <v>2006</v>
      </c>
      <c r="Q190" s="12" t="s">
        <v>323</v>
      </c>
      <c r="R190" s="1" t="s">
        <v>27</v>
      </c>
      <c r="S190" s="1" t="s">
        <v>27</v>
      </c>
      <c r="V190"/>
      <c r="Y190"/>
      <c r="Z190" s="21"/>
      <c r="AA190" s="21"/>
    </row>
    <row r="191" spans="1:27" x14ac:dyDescent="0.2">
      <c r="A191" s="1">
        <v>2006</v>
      </c>
      <c r="B191" s="2" t="d">
        <v>2006-06-27</v>
      </c>
      <c r="C191" s="1" t="s">
        <v>268</v>
      </c>
      <c r="D191" s="12" t="s">
        <v>323</v>
      </c>
      <c r="E191" s="1" t="s">
        <v>471</v>
      </c>
      <c r="F191" s="1" t="s">
        <v>232</v>
      </c>
      <c r="G191" s="1" t="s">
        <v>65</v>
      </c>
      <c r="H191" s="1" t="s">
        <v>68</v>
      </c>
      <c r="I191" s="1">
        <v>1</v>
      </c>
      <c r="J191" s="1">
        <v>3</v>
      </c>
      <c r="K191" s="1" t="s">
        <v>17</v>
      </c>
      <c r="L191" s="1" t="s">
        <v>19</v>
      </c>
      <c r="O191" s="1" t="s">
        <v>7</v>
      </c>
      <c r="P191" s="1">
        <v>2006</v>
      </c>
      <c r="Q191" s="12" t="s">
        <v>323</v>
      </c>
      <c r="R191" s="1" t="s">
        <v>68</v>
      </c>
      <c r="S191" s="1" t="s">
        <v>68</v>
      </c>
      <c r="V191"/>
      <c r="Y191"/>
      <c r="Z191" s="21"/>
      <c r="AA191" s="21"/>
    </row>
    <row r="192" spans="1:27" x14ac:dyDescent="0.2">
      <c r="A192" s="1">
        <v>2006</v>
      </c>
      <c r="B192" s="2" t="d">
        <v>2006-06-30</v>
      </c>
      <c r="C192" s="1" t="s">
        <v>79</v>
      </c>
      <c r="D192" s="12" t="s">
        <v>74</v>
      </c>
      <c r="E192" s="1" t="s">
        <v>222</v>
      </c>
      <c r="F192" s="1" t="s">
        <v>475</v>
      </c>
      <c r="G192" s="1" t="s">
        <v>65</v>
      </c>
      <c r="H192" s="1" t="s">
        <v>65</v>
      </c>
      <c r="I192" s="1">
        <v>1</v>
      </c>
      <c r="J192" s="1">
        <v>1</v>
      </c>
      <c r="K192" s="1" t="s">
        <v>33</v>
      </c>
      <c r="L192" s="1" t="s">
        <v>478</v>
      </c>
      <c r="O192" s="1" t="s">
        <v>7</v>
      </c>
      <c r="P192" s="1">
        <v>2006</v>
      </c>
      <c r="Q192" s="12" t="s">
        <v>74</v>
      </c>
      <c r="R192" s="1" t="s">
        <v>65</v>
      </c>
      <c r="S192" s="1" t="s">
        <v>65</v>
      </c>
      <c r="V192"/>
      <c r="Y192"/>
      <c r="Z192" s="20"/>
      <c r="AA192" s="20"/>
    </row>
    <row r="193" spans="1:27" x14ac:dyDescent="0.2">
      <c r="A193" s="1">
        <v>2006</v>
      </c>
      <c r="B193" s="2" t="d">
        <v>2006-06-30</v>
      </c>
      <c r="C193" s="1" t="s">
        <v>268</v>
      </c>
      <c r="D193" s="12" t="s">
        <v>74</v>
      </c>
      <c r="E193" s="1" t="s">
        <v>458</v>
      </c>
      <c r="F193" s="1" t="s">
        <v>225</v>
      </c>
      <c r="G193" s="1" t="s">
        <v>65</v>
      </c>
      <c r="H193" s="1" t="s">
        <v>49</v>
      </c>
      <c r="I193" s="1">
        <v>3</v>
      </c>
      <c r="J193" s="1">
        <v>0</v>
      </c>
      <c r="K193" s="1" t="s">
        <v>476</v>
      </c>
      <c r="L193" s="1" t="s">
        <v>19</v>
      </c>
      <c r="O193" s="1" t="s">
        <v>7</v>
      </c>
      <c r="P193" s="1">
        <v>2006</v>
      </c>
      <c r="Q193" s="12" t="s">
        <v>74</v>
      </c>
      <c r="R193" s="1" t="s">
        <v>49</v>
      </c>
      <c r="S193" s="1" t="s">
        <v>49</v>
      </c>
      <c r="V193"/>
      <c r="Y193"/>
      <c r="Z193" s="20"/>
      <c r="AA193" s="20"/>
    </row>
    <row r="194" spans="1:27" x14ac:dyDescent="0.2">
      <c r="A194" s="1">
        <v>2006</v>
      </c>
      <c r="B194" s="2" t="d">
        <v>2006-07-01</v>
      </c>
      <c r="C194" s="1" t="s">
        <v>79</v>
      </c>
      <c r="D194" s="12" t="s">
        <v>74</v>
      </c>
      <c r="E194" s="1" t="s">
        <v>454</v>
      </c>
      <c r="F194" s="1" t="s">
        <v>240</v>
      </c>
      <c r="G194" s="1" t="s">
        <v>65</v>
      </c>
      <c r="H194" s="1" t="s">
        <v>110</v>
      </c>
      <c r="I194" s="1">
        <v>0</v>
      </c>
      <c r="J194" s="1">
        <v>0</v>
      </c>
      <c r="K194" s="1" t="s">
        <v>197</v>
      </c>
      <c r="L194" s="1" t="s">
        <v>479</v>
      </c>
      <c r="O194" s="1" t="s">
        <v>7</v>
      </c>
      <c r="P194" s="1">
        <v>2006</v>
      </c>
      <c r="Q194" s="12" t="s">
        <v>74</v>
      </c>
      <c r="R194" s="1" t="s">
        <v>110</v>
      </c>
      <c r="S194" s="1" t="s">
        <v>110</v>
      </c>
      <c r="V194"/>
      <c r="Y194"/>
      <c r="Z194" s="20"/>
      <c r="AA194" s="20"/>
    </row>
    <row r="195" spans="1:27" x14ac:dyDescent="0.2">
      <c r="A195" s="1">
        <v>2006</v>
      </c>
      <c r="B195" s="2" t="d">
        <v>2006-07-01</v>
      </c>
      <c r="C195" s="1" t="s">
        <v>268</v>
      </c>
      <c r="D195" s="12" t="s">
        <v>74</v>
      </c>
      <c r="E195" s="1" t="s">
        <v>455</v>
      </c>
      <c r="F195" s="1" t="s">
        <v>221</v>
      </c>
      <c r="G195" s="1" t="s">
        <v>65</v>
      </c>
      <c r="H195" s="1" t="s">
        <v>27</v>
      </c>
      <c r="I195" s="1">
        <v>0</v>
      </c>
      <c r="J195" s="1">
        <v>1</v>
      </c>
      <c r="K195" s="1" t="s">
        <v>17</v>
      </c>
      <c r="L195" s="1" t="s">
        <v>19</v>
      </c>
      <c r="O195" s="1" t="s">
        <v>7</v>
      </c>
      <c r="P195" s="1">
        <v>2006</v>
      </c>
      <c r="Q195" s="12" t="s">
        <v>74</v>
      </c>
      <c r="R195" s="1" t="s">
        <v>27</v>
      </c>
      <c r="S195" s="1" t="s">
        <v>27</v>
      </c>
      <c r="V195"/>
      <c r="Y195"/>
      <c r="Z195" s="16"/>
      <c r="AA195" s="16"/>
    </row>
    <row r="196" spans="1:27" x14ac:dyDescent="0.2">
      <c r="A196" s="1">
        <v>2006</v>
      </c>
      <c r="B196" s="2" t="d">
        <v>2006-07-04</v>
      </c>
      <c r="C196" s="1" t="s">
        <v>268</v>
      </c>
      <c r="D196" s="12" t="s">
        <v>42</v>
      </c>
      <c r="E196" s="1" t="s">
        <v>456</v>
      </c>
      <c r="F196" s="1" t="s">
        <v>229</v>
      </c>
      <c r="G196" s="1" t="s">
        <v>65</v>
      </c>
      <c r="H196" s="1" t="s">
        <v>65</v>
      </c>
      <c r="I196" s="1">
        <v>0</v>
      </c>
      <c r="J196" s="1">
        <v>2</v>
      </c>
      <c r="K196" s="1" t="s">
        <v>49</v>
      </c>
      <c r="L196" s="1" t="s">
        <v>78</v>
      </c>
      <c r="O196" s="1" t="s">
        <v>7</v>
      </c>
      <c r="P196" s="1">
        <v>2006</v>
      </c>
      <c r="Q196" s="12" t="s">
        <v>42</v>
      </c>
      <c r="R196" s="1" t="s">
        <v>65</v>
      </c>
      <c r="S196" s="1" t="s">
        <v>65</v>
      </c>
      <c r="V196"/>
      <c r="Y196"/>
      <c r="Z196" s="21"/>
      <c r="AA196" s="21"/>
    </row>
    <row r="197" spans="1:27" x14ac:dyDescent="0.2">
      <c r="A197" s="1">
        <v>2006</v>
      </c>
      <c r="B197" s="2" t="d">
        <v>2006-07-05</v>
      </c>
      <c r="C197" s="1" t="s">
        <v>268</v>
      </c>
      <c r="D197" s="12" t="s">
        <v>42</v>
      </c>
      <c r="E197" s="1" t="s">
        <v>453</v>
      </c>
      <c r="F197" s="1" t="s">
        <v>235</v>
      </c>
      <c r="G197" s="1" t="s">
        <v>65</v>
      </c>
      <c r="H197" s="1" t="s">
        <v>197</v>
      </c>
      <c r="I197" s="1">
        <v>0</v>
      </c>
      <c r="J197" s="1">
        <v>1</v>
      </c>
      <c r="K197" s="1" t="s">
        <v>17</v>
      </c>
      <c r="L197" s="1" t="s">
        <v>19</v>
      </c>
      <c r="O197" s="1" t="s">
        <v>7</v>
      </c>
      <c r="P197" s="1">
        <v>2006</v>
      </c>
      <c r="Q197" s="12" t="s">
        <v>42</v>
      </c>
      <c r="R197" s="1" t="s">
        <v>197</v>
      </c>
      <c r="S197" s="1" t="s">
        <v>197</v>
      </c>
      <c r="V197"/>
      <c r="Y197"/>
      <c r="Z197" s="16"/>
      <c r="AA197" s="16"/>
    </row>
    <row r="198" spans="1:27" x14ac:dyDescent="0.2">
      <c r="A198" s="1">
        <v>2006</v>
      </c>
      <c r="B198" s="2" t="d">
        <v>2006-07-08</v>
      </c>
      <c r="C198" s="1" t="s">
        <v>268</v>
      </c>
      <c r="D198" s="12" t="s">
        <v>452</v>
      </c>
      <c r="E198" s="1" t="s">
        <v>474</v>
      </c>
      <c r="F198" s="1" t="s">
        <v>238</v>
      </c>
      <c r="G198" s="1" t="s">
        <v>65</v>
      </c>
      <c r="H198" s="1" t="s">
        <v>65</v>
      </c>
      <c r="I198" s="1">
        <v>3</v>
      </c>
      <c r="J198" s="1">
        <v>1</v>
      </c>
      <c r="K198" s="1" t="s">
        <v>197</v>
      </c>
      <c r="L198" s="1" t="s">
        <v>19</v>
      </c>
      <c r="O198" s="1" t="s">
        <v>7</v>
      </c>
      <c r="P198" s="1">
        <v>2006</v>
      </c>
      <c r="Q198" s="12" t="s">
        <v>452</v>
      </c>
      <c r="R198" s="1" t="s">
        <v>65</v>
      </c>
      <c r="S198" s="1" t="s">
        <v>65</v>
      </c>
      <c r="V198"/>
      <c r="Y198"/>
      <c r="Z198" s="16"/>
      <c r="AA198" s="16"/>
    </row>
    <row r="199" spans="1:27" x14ac:dyDescent="0.2">
      <c r="A199" s="1">
        <v>2006</v>
      </c>
      <c r="B199" s="2" t="d">
        <v>2006-07-09</v>
      </c>
      <c r="C199" s="1" t="s">
        <v>262</v>
      </c>
      <c r="D199" s="12" t="s">
        <v>44</v>
      </c>
      <c r="E199" s="1" t="s">
        <v>222</v>
      </c>
      <c r="F199" s="1" t="s">
        <v>475</v>
      </c>
      <c r="G199" s="1" t="s">
        <v>65</v>
      </c>
      <c r="H199" s="1" t="s">
        <v>49</v>
      </c>
      <c r="I199" s="1">
        <v>1</v>
      </c>
      <c r="J199" s="1">
        <v>1</v>
      </c>
      <c r="K199" s="1" t="s">
        <v>17</v>
      </c>
      <c r="L199" s="1" t="s">
        <v>480</v>
      </c>
      <c r="O199" s="1" t="s">
        <v>7</v>
      </c>
      <c r="P199" s="1">
        <v>2006</v>
      </c>
      <c r="Q199" s="12" t="s">
        <v>44</v>
      </c>
      <c r="R199" s="1" t="s">
        <v>49</v>
      </c>
      <c r="S199" s="1" t="s">
        <v>49</v>
      </c>
      <c r="V199"/>
      <c r="Y199"/>
      <c r="Z199" s="20"/>
      <c r="AA199" s="20"/>
    </row>
    <row r="200" spans="1:27" x14ac:dyDescent="0.2">
      <c r="A200" s="1">
        <v>2010</v>
      </c>
      <c r="B200" s="2" t="d">
        <v>2010-06-26</v>
      </c>
      <c r="C200" s="1" t="s">
        <v>32</v>
      </c>
      <c r="D200" s="12" t="s">
        <v>323</v>
      </c>
      <c r="E200" s="1" t="s">
        <v>485</v>
      </c>
      <c r="F200" s="1" t="s">
        <v>486</v>
      </c>
      <c r="G200" s="1" t="s">
        <v>389</v>
      </c>
      <c r="H200" s="1" t="s">
        <v>16</v>
      </c>
      <c r="I200" s="1">
        <v>2</v>
      </c>
      <c r="J200" s="1">
        <v>1</v>
      </c>
      <c r="K200" s="1" t="s">
        <v>135</v>
      </c>
      <c r="L200" s="1" t="s">
        <v>19</v>
      </c>
      <c r="O200" s="1" t="s">
        <v>7</v>
      </c>
      <c r="P200" s="1">
        <v>2010</v>
      </c>
      <c r="Q200" s="12" t="s">
        <v>323</v>
      </c>
      <c r="R200" s="1" t="s">
        <v>16</v>
      </c>
      <c r="S200" s="1" t="s">
        <v>16</v>
      </c>
      <c r="V200"/>
      <c r="Y200"/>
      <c r="Z200" s="20"/>
      <c r="AA200" s="20"/>
    </row>
    <row r="201" spans="1:27" x14ac:dyDescent="0.2">
      <c r="A201" s="1">
        <v>2010</v>
      </c>
      <c r="B201" s="2" t="d">
        <v>2010-06-26</v>
      </c>
      <c r="C201" s="1" t="s">
        <v>403</v>
      </c>
      <c r="D201" s="12" t="s">
        <v>323</v>
      </c>
      <c r="E201" s="1" t="s">
        <v>488</v>
      </c>
      <c r="F201" s="1" t="s">
        <v>489</v>
      </c>
      <c r="G201" s="1" t="s">
        <v>389</v>
      </c>
      <c r="H201" s="1" t="s">
        <v>22</v>
      </c>
      <c r="I201" s="1">
        <v>1</v>
      </c>
      <c r="J201" s="1">
        <v>2</v>
      </c>
      <c r="K201" s="1" t="s">
        <v>472</v>
      </c>
      <c r="L201" s="1" t="s">
        <v>502</v>
      </c>
      <c r="O201" s="1" t="s">
        <v>7</v>
      </c>
      <c r="P201" s="1">
        <v>2010</v>
      </c>
      <c r="Q201" s="12" t="s">
        <v>323</v>
      </c>
      <c r="R201" s="1" t="s">
        <v>22</v>
      </c>
      <c r="S201" s="1" t="s">
        <v>22</v>
      </c>
      <c r="V201"/>
      <c r="Y201"/>
      <c r="Z201" s="6"/>
      <c r="AA201" s="6"/>
    </row>
    <row r="202" spans="1:27" x14ac:dyDescent="0.2">
      <c r="A202" s="1">
        <v>2010</v>
      </c>
      <c r="B202" s="2" t="d">
        <v>2010-06-27</v>
      </c>
      <c r="C202" s="1" t="s">
        <v>32</v>
      </c>
      <c r="D202" s="12" t="s">
        <v>323</v>
      </c>
      <c r="E202" s="1" t="s">
        <v>497</v>
      </c>
      <c r="F202" s="1" t="s">
        <v>498</v>
      </c>
      <c r="G202" s="1" t="s">
        <v>389</v>
      </c>
      <c r="H202" s="1" t="s">
        <v>65</v>
      </c>
      <c r="I202" s="1">
        <v>4</v>
      </c>
      <c r="J202" s="1">
        <v>1</v>
      </c>
      <c r="K202" s="1" t="s">
        <v>110</v>
      </c>
      <c r="L202" s="1" t="s">
        <v>19</v>
      </c>
      <c r="O202" s="1" t="s">
        <v>7</v>
      </c>
      <c r="P202" s="1">
        <v>2010</v>
      </c>
      <c r="Q202" s="12" t="s">
        <v>323</v>
      </c>
      <c r="R202" s="1" t="s">
        <v>65</v>
      </c>
      <c r="S202" s="1" t="s">
        <v>65</v>
      </c>
      <c r="V202"/>
      <c r="Y202"/>
      <c r="Z202" s="21"/>
      <c r="AA202" s="21"/>
    </row>
    <row r="203" spans="1:27" x14ac:dyDescent="0.2">
      <c r="A203" s="1">
        <v>2010</v>
      </c>
      <c r="B203" s="2" t="d">
        <v>2010-06-27</v>
      </c>
      <c r="C203" s="1" t="s">
        <v>403</v>
      </c>
      <c r="D203" s="12" t="s">
        <v>323</v>
      </c>
      <c r="E203" s="1" t="s">
        <v>481</v>
      </c>
      <c r="F203" s="1" t="s">
        <v>482</v>
      </c>
      <c r="G203" s="1" t="s">
        <v>389</v>
      </c>
      <c r="H203" s="1" t="s">
        <v>33</v>
      </c>
      <c r="I203" s="1">
        <v>3</v>
      </c>
      <c r="J203" s="1">
        <v>1</v>
      </c>
      <c r="K203" s="1" t="s">
        <v>18</v>
      </c>
      <c r="L203" s="1" t="s">
        <v>19</v>
      </c>
      <c r="O203" s="1" t="s">
        <v>7</v>
      </c>
      <c r="P203" s="1">
        <v>2010</v>
      </c>
      <c r="Q203" s="12" t="s">
        <v>323</v>
      </c>
      <c r="R203" s="1" t="s">
        <v>33</v>
      </c>
      <c r="S203" s="1" t="s">
        <v>33</v>
      </c>
      <c r="V203"/>
      <c r="Y203"/>
      <c r="Z203" s="16"/>
      <c r="AA203" s="16"/>
    </row>
    <row r="204" spans="1:27" x14ac:dyDescent="0.2">
      <c r="A204" s="1">
        <v>2010</v>
      </c>
      <c r="B204" s="2" t="d">
        <v>2010-06-28</v>
      </c>
      <c r="C204" s="1" t="s">
        <v>32</v>
      </c>
      <c r="D204" s="12" t="s">
        <v>323</v>
      </c>
      <c r="E204" s="1" t="s">
        <v>495</v>
      </c>
      <c r="F204" s="1" t="s">
        <v>496</v>
      </c>
      <c r="G204" s="1" t="s">
        <v>389</v>
      </c>
      <c r="H204" s="1" t="s">
        <v>59</v>
      </c>
      <c r="I204" s="1">
        <v>2</v>
      </c>
      <c r="J204" s="1">
        <v>1</v>
      </c>
      <c r="K204" s="1" t="s">
        <v>499</v>
      </c>
      <c r="L204" s="1" t="s">
        <v>19</v>
      </c>
      <c r="O204" s="1" t="s">
        <v>7</v>
      </c>
      <c r="P204" s="1">
        <v>2010</v>
      </c>
      <c r="Q204" s="12" t="s">
        <v>323</v>
      </c>
      <c r="R204" s="1" t="s">
        <v>59</v>
      </c>
      <c r="S204" s="1" t="s">
        <v>59</v>
      </c>
      <c r="V204"/>
      <c r="Y204"/>
      <c r="Z204" s="16"/>
      <c r="AA204" s="16"/>
    </row>
    <row r="205" spans="1:27" x14ac:dyDescent="0.2">
      <c r="A205" s="1">
        <v>2010</v>
      </c>
      <c r="B205" s="2" t="d">
        <v>2010-06-28</v>
      </c>
      <c r="C205" s="1" t="s">
        <v>403</v>
      </c>
      <c r="D205" s="12" t="s">
        <v>323</v>
      </c>
      <c r="E205" s="1" t="s">
        <v>487</v>
      </c>
      <c r="F205" s="1" t="s">
        <v>482</v>
      </c>
      <c r="G205" s="1" t="s">
        <v>389</v>
      </c>
      <c r="H205" s="1" t="s">
        <v>27</v>
      </c>
      <c r="I205" s="1">
        <v>3</v>
      </c>
      <c r="J205" s="1">
        <v>0</v>
      </c>
      <c r="K205" s="1" t="s">
        <v>35</v>
      </c>
      <c r="L205" s="1" t="s">
        <v>19</v>
      </c>
      <c r="O205" s="1" t="s">
        <v>7</v>
      </c>
      <c r="P205" s="1">
        <v>2010</v>
      </c>
      <c r="Q205" s="12" t="s">
        <v>323</v>
      </c>
      <c r="R205" s="1" t="s">
        <v>27</v>
      </c>
      <c r="S205" s="1" t="s">
        <v>27</v>
      </c>
      <c r="V205"/>
      <c r="Y205"/>
      <c r="Z205" s="16"/>
      <c r="AA205" s="16"/>
    </row>
    <row r="206" spans="1:27" x14ac:dyDescent="0.2">
      <c r="A206" s="1">
        <v>2010</v>
      </c>
      <c r="B206" s="2" t="d">
        <v>2010-06-29</v>
      </c>
      <c r="C206" s="1" t="s">
        <v>32</v>
      </c>
      <c r="D206" s="12" t="s">
        <v>323</v>
      </c>
      <c r="E206" s="1" t="s">
        <v>492</v>
      </c>
      <c r="F206" s="1" t="s">
        <v>493</v>
      </c>
      <c r="G206" s="1" t="s">
        <v>389</v>
      </c>
      <c r="H206" s="1" t="s">
        <v>37</v>
      </c>
      <c r="I206" s="1">
        <v>0</v>
      </c>
      <c r="J206" s="1">
        <v>0</v>
      </c>
      <c r="K206" s="1" t="s">
        <v>395</v>
      </c>
      <c r="L206" s="1" t="s">
        <v>503</v>
      </c>
      <c r="O206" s="1" t="s">
        <v>7</v>
      </c>
      <c r="P206" s="1">
        <v>2010</v>
      </c>
      <c r="Q206" s="12" t="s">
        <v>323</v>
      </c>
      <c r="R206" s="1" t="s">
        <v>37</v>
      </c>
      <c r="S206" s="1" t="s">
        <v>37</v>
      </c>
      <c r="V206"/>
      <c r="Y206"/>
      <c r="Z206" s="6"/>
      <c r="AA206" s="6"/>
    </row>
    <row r="207" spans="1:27" x14ac:dyDescent="0.2">
      <c r="A207" s="1">
        <v>2010</v>
      </c>
      <c r="B207" s="2" t="d">
        <v>2010-06-29</v>
      </c>
      <c r="C207" s="1" t="s">
        <v>403</v>
      </c>
      <c r="D207" s="12" t="s">
        <v>323</v>
      </c>
      <c r="E207" s="1" t="s">
        <v>483</v>
      </c>
      <c r="F207" s="1" t="s">
        <v>484</v>
      </c>
      <c r="G207" s="1" t="s">
        <v>389</v>
      </c>
      <c r="H207" s="1" t="s">
        <v>68</v>
      </c>
      <c r="I207" s="1">
        <v>1</v>
      </c>
      <c r="J207" s="1">
        <v>0</v>
      </c>
      <c r="K207" s="1" t="s">
        <v>197</v>
      </c>
      <c r="L207" s="1" t="s">
        <v>19</v>
      </c>
      <c r="O207" s="1" t="s">
        <v>7</v>
      </c>
      <c r="P207" s="1">
        <v>2010</v>
      </c>
      <c r="Q207" s="12" t="s">
        <v>323</v>
      </c>
      <c r="R207" s="1" t="s">
        <v>68</v>
      </c>
      <c r="S207" s="1" t="s">
        <v>68</v>
      </c>
      <c r="V207"/>
    </row>
    <row r="208" spans="1:27" x14ac:dyDescent="0.2">
      <c r="A208" s="1">
        <v>2010</v>
      </c>
      <c r="B208" s="2" t="d">
        <v>2010-07-02</v>
      </c>
      <c r="C208" s="1" t="s">
        <v>32</v>
      </c>
      <c r="D208" s="12" t="s">
        <v>74</v>
      </c>
      <c r="E208" s="1" t="s">
        <v>485</v>
      </c>
      <c r="F208" s="1" t="s">
        <v>486</v>
      </c>
      <c r="G208" s="1" t="s">
        <v>389</v>
      </c>
      <c r="H208" s="1" t="s">
        <v>59</v>
      </c>
      <c r="I208" s="1">
        <v>2</v>
      </c>
      <c r="J208" s="1">
        <v>1</v>
      </c>
      <c r="K208" s="1" t="s">
        <v>27</v>
      </c>
      <c r="L208" s="1" t="s">
        <v>19</v>
      </c>
      <c r="O208" s="1" t="s">
        <v>7</v>
      </c>
      <c r="P208" s="1">
        <v>2010</v>
      </c>
      <c r="Q208" s="12" t="s">
        <v>74</v>
      </c>
      <c r="R208" s="1" t="s">
        <v>59</v>
      </c>
      <c r="S208" s="1" t="s">
        <v>59</v>
      </c>
      <c r="V208"/>
    </row>
    <row r="209" spans="1:19" x14ac:dyDescent="0.2">
      <c r="A209" s="1">
        <v>2010</v>
      </c>
      <c r="B209" s="2" t="d">
        <v>2010-07-02</v>
      </c>
      <c r="C209" s="1" t="s">
        <v>403</v>
      </c>
      <c r="D209" s="12" t="s">
        <v>74</v>
      </c>
      <c r="E209" s="1" t="s">
        <v>481</v>
      </c>
      <c r="F209" s="1" t="s">
        <v>482</v>
      </c>
      <c r="G209" s="1" t="s">
        <v>389</v>
      </c>
      <c r="H209" s="1" t="s">
        <v>16</v>
      </c>
      <c r="I209" s="1">
        <v>1</v>
      </c>
      <c r="J209" s="1">
        <v>1</v>
      </c>
      <c r="K209" s="1" t="s">
        <v>472</v>
      </c>
      <c r="L209" s="1" t="s">
        <v>504</v>
      </c>
      <c r="O209" s="1" t="s">
        <v>7</v>
      </c>
      <c r="P209" s="1">
        <v>2010</v>
      </c>
      <c r="Q209" s="12" t="s">
        <v>74</v>
      </c>
      <c r="R209" s="1" t="s">
        <v>16</v>
      </c>
      <c r="S209" s="1" t="s">
        <v>16</v>
      </c>
    </row>
    <row r="210" spans="1:19" x14ac:dyDescent="0.2">
      <c r="A210" s="1">
        <v>2010</v>
      </c>
      <c r="B210" s="2" t="d">
        <v>2010-07-03</v>
      </c>
      <c r="C210" s="1" t="s">
        <v>32</v>
      </c>
      <c r="D210" s="12" t="s">
        <v>74</v>
      </c>
      <c r="E210" s="1" t="s">
        <v>483</v>
      </c>
      <c r="F210" s="1" t="s">
        <v>484</v>
      </c>
      <c r="G210" s="1" t="s">
        <v>389</v>
      </c>
      <c r="H210" s="1" t="s">
        <v>33</v>
      </c>
      <c r="I210" s="1">
        <v>0</v>
      </c>
      <c r="J210" s="1">
        <v>4</v>
      </c>
      <c r="K210" s="1" t="s">
        <v>65</v>
      </c>
      <c r="L210" s="1" t="s">
        <v>19</v>
      </c>
      <c r="O210" s="1" t="s">
        <v>7</v>
      </c>
      <c r="P210" s="1">
        <v>2010</v>
      </c>
      <c r="Q210" s="12" t="s">
        <v>74</v>
      </c>
      <c r="R210" s="1" t="s">
        <v>33</v>
      </c>
      <c r="S210" s="1" t="s">
        <v>33</v>
      </c>
    </row>
    <row r="211" spans="1:19" x14ac:dyDescent="0.2">
      <c r="A211" s="1">
        <v>2010</v>
      </c>
      <c r="B211" s="2" t="d">
        <v>2010-07-03</v>
      </c>
      <c r="C211" s="1" t="s">
        <v>403</v>
      </c>
      <c r="D211" s="12" t="s">
        <v>74</v>
      </c>
      <c r="E211" s="1" t="s">
        <v>487</v>
      </c>
      <c r="F211" s="1" t="s">
        <v>482</v>
      </c>
      <c r="G211" s="1" t="s">
        <v>389</v>
      </c>
      <c r="H211" s="1" t="s">
        <v>37</v>
      </c>
      <c r="I211" s="1">
        <v>0</v>
      </c>
      <c r="J211" s="1">
        <v>1</v>
      </c>
      <c r="K211" s="1" t="s">
        <v>68</v>
      </c>
      <c r="L211" s="1" t="s">
        <v>19</v>
      </c>
      <c r="O211" s="1" t="s">
        <v>7</v>
      </c>
      <c r="P211" s="1">
        <v>2010</v>
      </c>
      <c r="Q211" s="12" t="s">
        <v>74</v>
      </c>
      <c r="R211" s="1" t="s">
        <v>37</v>
      </c>
      <c r="S211" s="1" t="s">
        <v>37</v>
      </c>
    </row>
    <row r="212" spans="1:19" x14ac:dyDescent="0.2">
      <c r="A212" s="1">
        <v>2010</v>
      </c>
      <c r="B212" s="2" t="d">
        <v>2010-07-06</v>
      </c>
      <c r="C212" s="1" t="s">
        <v>403</v>
      </c>
      <c r="D212" s="12" t="s">
        <v>42</v>
      </c>
      <c r="E212" s="1" t="s">
        <v>483</v>
      </c>
      <c r="F212" s="1" t="s">
        <v>484</v>
      </c>
      <c r="G212" s="1" t="s">
        <v>389</v>
      </c>
      <c r="H212" s="1" t="s">
        <v>16</v>
      </c>
      <c r="I212" s="1">
        <v>2</v>
      </c>
      <c r="J212" s="1">
        <v>3</v>
      </c>
      <c r="K212" s="1" t="s">
        <v>59</v>
      </c>
      <c r="L212" s="1" t="s">
        <v>19</v>
      </c>
      <c r="O212" s="1" t="s">
        <v>7</v>
      </c>
      <c r="P212" s="1">
        <v>2010</v>
      </c>
      <c r="Q212" s="12" t="s">
        <v>42</v>
      </c>
      <c r="R212" s="1" t="s">
        <v>16</v>
      </c>
      <c r="S212" s="1" t="s">
        <v>16</v>
      </c>
    </row>
    <row r="213" spans="1:19" x14ac:dyDescent="0.2">
      <c r="A213" s="1">
        <v>2010</v>
      </c>
      <c r="B213" s="2" t="d">
        <v>2010-07-07</v>
      </c>
      <c r="C213" s="1" t="s">
        <v>403</v>
      </c>
      <c r="D213" s="12" t="s">
        <v>42</v>
      </c>
      <c r="E213" s="1" t="s">
        <v>495</v>
      </c>
      <c r="F213" s="1" t="s">
        <v>496</v>
      </c>
      <c r="G213" s="1" t="s">
        <v>389</v>
      </c>
      <c r="H213" s="1" t="s">
        <v>65</v>
      </c>
      <c r="I213" s="1">
        <v>0</v>
      </c>
      <c r="J213" s="1">
        <v>1</v>
      </c>
      <c r="K213" s="1" t="s">
        <v>68</v>
      </c>
      <c r="L213" s="1" t="s">
        <v>19</v>
      </c>
      <c r="O213" s="1" t="s">
        <v>7</v>
      </c>
      <c r="P213" s="1">
        <v>2010</v>
      </c>
      <c r="Q213" s="12" t="s">
        <v>42</v>
      </c>
      <c r="R213" s="1" t="s">
        <v>65</v>
      </c>
      <c r="S213" s="1" t="s">
        <v>65</v>
      </c>
    </row>
    <row r="214" spans="1:19" x14ac:dyDescent="0.2">
      <c r="A214" s="1">
        <v>2010</v>
      </c>
      <c r="B214" s="2" t="d">
        <v>2010-07-10</v>
      </c>
      <c r="C214" s="1" t="s">
        <v>403</v>
      </c>
      <c r="D214" s="12" t="s">
        <v>76</v>
      </c>
      <c r="E214" s="1" t="s">
        <v>485</v>
      </c>
      <c r="F214" s="1" t="s">
        <v>486</v>
      </c>
      <c r="G214" s="1" t="s">
        <v>389</v>
      </c>
      <c r="H214" s="1" t="s">
        <v>16</v>
      </c>
      <c r="I214" s="1">
        <v>2</v>
      </c>
      <c r="J214" s="1">
        <v>3</v>
      </c>
      <c r="K214" s="1" t="s">
        <v>65</v>
      </c>
      <c r="L214" s="1" t="s">
        <v>19</v>
      </c>
      <c r="O214" s="1" t="s">
        <v>7</v>
      </c>
      <c r="P214" s="1">
        <v>2010</v>
      </c>
      <c r="Q214" s="12" t="s">
        <v>76</v>
      </c>
      <c r="R214" s="1" t="s">
        <v>16</v>
      </c>
      <c r="S214" s="1" t="s">
        <v>16</v>
      </c>
    </row>
    <row r="215" spans="1:19" x14ac:dyDescent="0.2">
      <c r="A215" s="1">
        <v>2010</v>
      </c>
      <c r="B215" s="2" t="d">
        <v>2010-07-11</v>
      </c>
      <c r="C215" s="1" t="s">
        <v>403</v>
      </c>
      <c r="D215" s="12" t="s">
        <v>44</v>
      </c>
      <c r="E215" s="1" t="s">
        <v>481</v>
      </c>
      <c r="F215" s="1" t="s">
        <v>482</v>
      </c>
      <c r="G215" s="1" t="s">
        <v>389</v>
      </c>
      <c r="H215" s="1" t="s">
        <v>59</v>
      </c>
      <c r="I215" s="1">
        <v>0</v>
      </c>
      <c r="J215" s="1">
        <v>1</v>
      </c>
      <c r="K215" s="1" t="s">
        <v>68</v>
      </c>
      <c r="L215" s="1" t="s">
        <v>505</v>
      </c>
      <c r="O215" s="1" t="s">
        <v>7</v>
      </c>
      <c r="P215" s="1">
        <v>2010</v>
      </c>
      <c r="Q215" s="12" t="s">
        <v>44</v>
      </c>
      <c r="R215" s="1" t="s">
        <v>59</v>
      </c>
      <c r="S215" s="1" t="s">
        <v>59</v>
      </c>
    </row>
    <row r="216" spans="1:19" x14ac:dyDescent="0.2">
      <c r="A216" s="1">
        <v>2014</v>
      </c>
      <c r="B216" s="2" t="d">
        <v>2014-06-28</v>
      </c>
      <c r="C216" s="1" t="s">
        <v>41</v>
      </c>
      <c r="D216" s="12" t="s">
        <v>323</v>
      </c>
      <c r="E216" s="1" t="s">
        <v>513</v>
      </c>
      <c r="F216" s="1" t="s">
        <v>116</v>
      </c>
      <c r="G216" s="1" t="s">
        <v>27</v>
      </c>
      <c r="H216" s="1" t="s">
        <v>27</v>
      </c>
      <c r="I216" s="1">
        <v>1</v>
      </c>
      <c r="J216" s="1">
        <v>1</v>
      </c>
      <c r="K216" s="1" t="s">
        <v>35</v>
      </c>
      <c r="L216" s="1" t="s">
        <v>382</v>
      </c>
      <c r="O216" s="1" t="s">
        <v>7</v>
      </c>
      <c r="P216" s="1">
        <v>2014</v>
      </c>
      <c r="Q216" s="12" t="s">
        <v>323</v>
      </c>
      <c r="R216" s="1" t="s">
        <v>27</v>
      </c>
      <c r="S216" s="1" t="s">
        <v>27</v>
      </c>
    </row>
    <row r="217" spans="1:19" x14ac:dyDescent="0.2">
      <c r="A217" s="1">
        <v>2014</v>
      </c>
      <c r="B217" s="2" t="d">
        <v>2014-06-28</v>
      </c>
      <c r="C217" s="1" t="s">
        <v>79</v>
      </c>
      <c r="D217" s="12" t="s">
        <v>323</v>
      </c>
      <c r="E217" s="1" t="s">
        <v>523</v>
      </c>
      <c r="F217" s="1" t="s">
        <v>109</v>
      </c>
      <c r="G217" s="1" t="s">
        <v>27</v>
      </c>
      <c r="H217" s="1" t="s">
        <v>177</v>
      </c>
      <c r="I217" s="1">
        <v>2</v>
      </c>
      <c r="J217" s="1">
        <v>0</v>
      </c>
      <c r="K217" s="1" t="s">
        <v>16</v>
      </c>
      <c r="L217" s="1" t="s">
        <v>19</v>
      </c>
      <c r="O217" s="1" t="s">
        <v>7</v>
      </c>
      <c r="P217" s="1">
        <v>2014</v>
      </c>
      <c r="Q217" s="12" t="s">
        <v>323</v>
      </c>
      <c r="R217" s="1" t="s">
        <v>177</v>
      </c>
      <c r="S217" s="1" t="s">
        <v>177</v>
      </c>
    </row>
    <row r="218" spans="1:19" x14ac:dyDescent="0.2">
      <c r="A218" s="1">
        <v>2014</v>
      </c>
      <c r="B218" s="2" t="d">
        <v>2014-06-30</v>
      </c>
      <c r="C218" s="1" t="s">
        <v>41</v>
      </c>
      <c r="D218" s="12" t="s">
        <v>323</v>
      </c>
      <c r="E218" s="1" t="s">
        <v>520</v>
      </c>
      <c r="F218" s="1" t="s">
        <v>521</v>
      </c>
      <c r="G218" s="1" t="s">
        <v>27</v>
      </c>
      <c r="H218" s="1" t="s">
        <v>17</v>
      </c>
      <c r="I218" s="1">
        <v>2</v>
      </c>
      <c r="J218" s="1">
        <v>0</v>
      </c>
      <c r="K218" s="1" t="s">
        <v>378</v>
      </c>
      <c r="L218" s="1" t="s">
        <v>19</v>
      </c>
      <c r="O218" s="1" t="s">
        <v>7</v>
      </c>
      <c r="P218" s="1">
        <v>2014</v>
      </c>
      <c r="Q218" s="12" t="s">
        <v>323</v>
      </c>
      <c r="R218" s="1" t="s">
        <v>17</v>
      </c>
      <c r="S218" s="1" t="s">
        <v>17</v>
      </c>
    </row>
    <row r="219" spans="1:19" x14ac:dyDescent="0.2">
      <c r="A219" s="1">
        <v>2014</v>
      </c>
      <c r="B219" s="2" t="d">
        <v>2014-06-30</v>
      </c>
      <c r="C219" s="1" t="s">
        <v>79</v>
      </c>
      <c r="D219" s="12" t="s">
        <v>323</v>
      </c>
      <c r="E219" s="1" t="s">
        <v>522</v>
      </c>
      <c r="F219" s="1" t="s">
        <v>118</v>
      </c>
      <c r="G219" s="1" t="s">
        <v>27</v>
      </c>
      <c r="H219" s="1" t="s">
        <v>65</v>
      </c>
      <c r="I219" s="1">
        <v>2</v>
      </c>
      <c r="J219" s="1">
        <v>1</v>
      </c>
      <c r="K219" s="1" t="s">
        <v>281</v>
      </c>
      <c r="L219" s="1" t="s">
        <v>526</v>
      </c>
      <c r="O219" s="1" t="s">
        <v>7</v>
      </c>
      <c r="P219" s="1">
        <v>2014</v>
      </c>
      <c r="Q219" s="12" t="s">
        <v>323</v>
      </c>
      <c r="R219" s="1" t="s">
        <v>65</v>
      </c>
      <c r="S219" s="1" t="s">
        <v>65</v>
      </c>
    </row>
    <row r="220" spans="1:19" x14ac:dyDescent="0.2">
      <c r="A220" s="1">
        <v>2014</v>
      </c>
      <c r="B220" s="2" t="d">
        <v>2014-07-04</v>
      </c>
      <c r="C220" s="1" t="s">
        <v>79</v>
      </c>
      <c r="D220" s="12" t="s">
        <v>74</v>
      </c>
      <c r="E220" s="1" t="s">
        <v>514</v>
      </c>
      <c r="F220" s="1" t="s">
        <v>515</v>
      </c>
      <c r="G220" s="1" t="s">
        <v>27</v>
      </c>
      <c r="H220" s="1" t="s">
        <v>27</v>
      </c>
      <c r="I220" s="1">
        <v>2</v>
      </c>
      <c r="J220" s="1">
        <v>1</v>
      </c>
      <c r="K220" s="1" t="s">
        <v>177</v>
      </c>
      <c r="L220" s="1" t="s">
        <v>19</v>
      </c>
      <c r="O220" s="1" t="s">
        <v>7</v>
      </c>
      <c r="P220" s="1">
        <v>2014</v>
      </c>
      <c r="Q220" s="12" t="s">
        <v>74</v>
      </c>
      <c r="R220" s="1" t="s">
        <v>27</v>
      </c>
      <c r="S220" s="1" t="s">
        <v>27</v>
      </c>
    </row>
    <row r="221" spans="1:19" x14ac:dyDescent="0.2">
      <c r="A221" s="1">
        <v>2014</v>
      </c>
      <c r="B221" s="2" t="d">
        <v>2014-07-04</v>
      </c>
      <c r="C221" s="1" t="s">
        <v>41</v>
      </c>
      <c r="D221" s="12" t="s">
        <v>74</v>
      </c>
      <c r="E221" s="1" t="s">
        <v>523</v>
      </c>
      <c r="F221" s="1" t="s">
        <v>109</v>
      </c>
      <c r="G221" s="1" t="s">
        <v>27</v>
      </c>
      <c r="H221" s="1" t="s">
        <v>17</v>
      </c>
      <c r="I221" s="1">
        <v>0</v>
      </c>
      <c r="J221" s="1">
        <v>1</v>
      </c>
      <c r="K221" s="1" t="s">
        <v>65</v>
      </c>
      <c r="L221" s="1" t="s">
        <v>19</v>
      </c>
      <c r="O221" s="1" t="s">
        <v>7</v>
      </c>
      <c r="P221" s="1">
        <v>2014</v>
      </c>
      <c r="Q221" s="12" t="s">
        <v>74</v>
      </c>
      <c r="R221" s="1" t="s">
        <v>17</v>
      </c>
      <c r="S221" s="1" t="s">
        <v>17</v>
      </c>
    </row>
    <row r="222" spans="1:19" x14ac:dyDescent="0.2">
      <c r="A222" s="1">
        <v>2014</v>
      </c>
      <c r="B222" s="2" t="d">
        <v>2014-07-08</v>
      </c>
      <c r="C222" s="1" t="s">
        <v>79</v>
      </c>
      <c r="D222" s="12" t="s">
        <v>42</v>
      </c>
      <c r="E222" s="1" t="s">
        <v>513</v>
      </c>
      <c r="F222" s="1" t="s">
        <v>116</v>
      </c>
      <c r="G222" s="1" t="s">
        <v>27</v>
      </c>
      <c r="H222" s="1" t="s">
        <v>27</v>
      </c>
      <c r="I222" s="1">
        <v>1</v>
      </c>
      <c r="J222" s="1">
        <v>7</v>
      </c>
      <c r="K222" s="1" t="s">
        <v>65</v>
      </c>
      <c r="L222" s="1" t="s">
        <v>19</v>
      </c>
      <c r="O222" s="1" t="s">
        <v>7</v>
      </c>
      <c r="P222" s="1">
        <v>2014</v>
      </c>
      <c r="Q222" s="12" t="s">
        <v>42</v>
      </c>
      <c r="R222" s="1" t="s">
        <v>27</v>
      </c>
      <c r="S222" s="1" t="s">
        <v>27</v>
      </c>
    </row>
    <row r="223" spans="1:19" x14ac:dyDescent="0.2">
      <c r="A223" s="1">
        <v>2014</v>
      </c>
      <c r="B223" s="2" t="d">
        <v>2014-07-12</v>
      </c>
      <c r="C223" s="1" t="s">
        <v>79</v>
      </c>
      <c r="D223" s="12" t="s">
        <v>527</v>
      </c>
      <c r="E223" s="1" t="s">
        <v>520</v>
      </c>
      <c r="F223" s="1" t="s">
        <v>521</v>
      </c>
      <c r="G223" s="1" t="s">
        <v>27</v>
      </c>
      <c r="H223" s="1" t="s">
        <v>27</v>
      </c>
      <c r="I223" s="1">
        <v>0</v>
      </c>
      <c r="J223" s="1">
        <v>3</v>
      </c>
      <c r="K223" s="1" t="s">
        <v>59</v>
      </c>
      <c r="L223" s="1" t="s">
        <v>19</v>
      </c>
      <c r="O223" s="1" t="s">
        <v>7</v>
      </c>
      <c r="P223" s="1">
        <v>2014</v>
      </c>
      <c r="Q223" s="12" t="s">
        <v>527</v>
      </c>
      <c r="R223" s="1" t="s">
        <v>27</v>
      </c>
      <c r="S223" s="1" t="s">
        <v>27</v>
      </c>
    </row>
    <row r="224" spans="1:19" x14ac:dyDescent="0.2">
      <c r="A224" s="1">
        <v>2014</v>
      </c>
      <c r="B224" s="2" t="d">
        <v>2014-07-13</v>
      </c>
      <c r="C224" s="1" t="s">
        <v>32</v>
      </c>
      <c r="D224" s="12" t="s">
        <v>44</v>
      </c>
      <c r="E224" s="1" t="s">
        <v>523</v>
      </c>
      <c r="F224" s="1" t="s">
        <v>109</v>
      </c>
      <c r="G224" s="1" t="s">
        <v>27</v>
      </c>
      <c r="H224" s="1" t="s">
        <v>65</v>
      </c>
      <c r="I224" s="1">
        <v>1</v>
      </c>
      <c r="J224" s="1">
        <v>0</v>
      </c>
      <c r="K224" s="1" t="s">
        <v>33</v>
      </c>
      <c r="L224" s="1" t="s">
        <v>526</v>
      </c>
      <c r="O224" s="1" t="s">
        <v>7</v>
      </c>
      <c r="P224" s="1">
        <v>2014</v>
      </c>
      <c r="Q224" s="12" t="s">
        <v>44</v>
      </c>
      <c r="R224" s="1" t="s">
        <v>65</v>
      </c>
      <c r="S224" s="1" t="s">
        <v>65</v>
      </c>
    </row>
    <row r="225" spans="1:19" x14ac:dyDescent="0.2">
      <c r="A225" s="1">
        <v>2014</v>
      </c>
      <c r="B225" s="2" t="d">
        <v>2014-07-09</v>
      </c>
      <c r="C225" s="1" t="s">
        <v>79</v>
      </c>
      <c r="D225" s="12" t="s">
        <v>42</v>
      </c>
      <c r="E225" s="1" t="s">
        <v>506</v>
      </c>
      <c r="F225" s="1" t="s">
        <v>114</v>
      </c>
      <c r="G225" s="1" t="s">
        <v>27</v>
      </c>
      <c r="H225" s="1" t="s">
        <v>59</v>
      </c>
      <c r="I225" s="1">
        <v>0</v>
      </c>
      <c r="J225" s="1">
        <v>0</v>
      </c>
      <c r="K225" s="1" t="s">
        <v>33</v>
      </c>
      <c r="L225" s="1" t="s">
        <v>528</v>
      </c>
      <c r="O225" s="1" t="s">
        <v>7</v>
      </c>
      <c r="P225" s="1">
        <v>2014</v>
      </c>
      <c r="Q225" s="12" t="s">
        <v>42</v>
      </c>
      <c r="R225" s="1" t="s">
        <v>59</v>
      </c>
      <c r="S225" s="1" t="s">
        <v>59</v>
      </c>
    </row>
    <row r="226" spans="1:19" x14ac:dyDescent="0.2">
      <c r="A226" s="1">
        <v>2014</v>
      </c>
      <c r="B226" s="2" t="d">
        <v>2014-07-05</v>
      </c>
      <c r="C226" s="1" t="s">
        <v>79</v>
      </c>
      <c r="D226" s="12" t="s">
        <v>74</v>
      </c>
      <c r="E226" s="1" t="s">
        <v>509</v>
      </c>
      <c r="F226" s="1" t="s">
        <v>510</v>
      </c>
      <c r="G226" s="1" t="s">
        <v>27</v>
      </c>
      <c r="H226" s="1" t="s">
        <v>59</v>
      </c>
      <c r="I226" s="1">
        <v>0</v>
      </c>
      <c r="J226" s="1">
        <v>0</v>
      </c>
      <c r="K226" s="1" t="s">
        <v>337</v>
      </c>
      <c r="L226" s="1" t="s">
        <v>529</v>
      </c>
      <c r="O226" s="1" t="s">
        <v>7</v>
      </c>
      <c r="P226" s="1">
        <v>2014</v>
      </c>
      <c r="Q226" s="12" t="s">
        <v>74</v>
      </c>
      <c r="R226" s="1" t="s">
        <v>59</v>
      </c>
      <c r="S226" s="1" t="s">
        <v>59</v>
      </c>
    </row>
    <row r="227" spans="1:19" x14ac:dyDescent="0.2">
      <c r="A227" s="1">
        <v>2014</v>
      </c>
      <c r="B227" s="2" t="d">
        <v>2014-07-05</v>
      </c>
      <c r="C227" s="1" t="s">
        <v>41</v>
      </c>
      <c r="D227" s="12" t="s">
        <v>74</v>
      </c>
      <c r="E227" s="1" t="s">
        <v>520</v>
      </c>
      <c r="F227" s="1" t="s">
        <v>521</v>
      </c>
      <c r="G227" s="1" t="s">
        <v>27</v>
      </c>
      <c r="H227" s="1" t="s">
        <v>33</v>
      </c>
      <c r="I227" s="1">
        <v>1</v>
      </c>
      <c r="J227" s="1">
        <v>0</v>
      </c>
      <c r="K227" s="1" t="s">
        <v>23</v>
      </c>
      <c r="L227" s="1" t="s">
        <v>19</v>
      </c>
      <c r="O227" s="1" t="s">
        <v>7</v>
      </c>
      <c r="P227" s="1">
        <v>2014</v>
      </c>
      <c r="Q227" s="12" t="s">
        <v>74</v>
      </c>
      <c r="R227" s="1" t="s">
        <v>33</v>
      </c>
      <c r="S227" s="1" t="s">
        <v>33</v>
      </c>
    </row>
    <row r="228" spans="1:19" x14ac:dyDescent="0.2">
      <c r="A228" s="1">
        <v>2014</v>
      </c>
      <c r="B228" s="2" t="d">
        <v>2014-06-29</v>
      </c>
      <c r="C228" s="1" t="s">
        <v>41</v>
      </c>
      <c r="D228" s="12" t="s">
        <v>323</v>
      </c>
      <c r="E228" s="1" t="s">
        <v>514</v>
      </c>
      <c r="F228" s="1" t="s">
        <v>515</v>
      </c>
      <c r="G228" s="1" t="s">
        <v>27</v>
      </c>
      <c r="H228" s="1" t="s">
        <v>59</v>
      </c>
      <c r="I228" s="1">
        <v>2</v>
      </c>
      <c r="J228" s="1">
        <v>1</v>
      </c>
      <c r="K228" s="1" t="s">
        <v>18</v>
      </c>
      <c r="L228" s="1" t="s">
        <v>19</v>
      </c>
      <c r="O228" s="1" t="s">
        <v>7</v>
      </c>
      <c r="P228" s="1">
        <v>2014</v>
      </c>
      <c r="Q228" s="12" t="s">
        <v>323</v>
      </c>
      <c r="R228" s="1" t="s">
        <v>59</v>
      </c>
      <c r="S228" s="1" t="s">
        <v>59</v>
      </c>
    </row>
    <row r="229" spans="1:19" x14ac:dyDescent="0.2">
      <c r="A229" s="1">
        <v>2014</v>
      </c>
      <c r="B229" s="2" t="d">
        <v>2014-06-29</v>
      </c>
      <c r="C229" s="1" t="s">
        <v>79</v>
      </c>
      <c r="D229" s="12" t="s">
        <v>323</v>
      </c>
      <c r="E229" s="1" t="s">
        <v>519</v>
      </c>
      <c r="F229" s="1" t="s">
        <v>122</v>
      </c>
      <c r="G229" s="1" t="s">
        <v>27</v>
      </c>
      <c r="H229" s="1" t="s">
        <v>337</v>
      </c>
      <c r="I229" s="1">
        <v>1</v>
      </c>
      <c r="J229" s="1">
        <v>1</v>
      </c>
      <c r="K229" s="1" t="s">
        <v>377</v>
      </c>
      <c r="L229" s="1" t="s">
        <v>530</v>
      </c>
      <c r="O229" s="1" t="s">
        <v>7</v>
      </c>
      <c r="P229" s="1">
        <v>2014</v>
      </c>
      <c r="Q229" s="12" t="s">
        <v>323</v>
      </c>
      <c r="R229" s="1" t="s">
        <v>337</v>
      </c>
      <c r="S229" s="1" t="s">
        <v>337</v>
      </c>
    </row>
    <row r="230" spans="1:19" x14ac:dyDescent="0.2">
      <c r="A230" s="1">
        <v>2014</v>
      </c>
      <c r="B230" s="2" t="d">
        <v>2014-07-01</v>
      </c>
      <c r="C230" s="1" t="s">
        <v>41</v>
      </c>
      <c r="D230" s="12" t="s">
        <v>323</v>
      </c>
      <c r="E230" s="1" t="s">
        <v>506</v>
      </c>
      <c r="F230" s="1" t="s">
        <v>114</v>
      </c>
      <c r="G230" s="1" t="s">
        <v>27</v>
      </c>
      <c r="H230" s="1" t="s">
        <v>33</v>
      </c>
      <c r="I230" s="1">
        <v>1</v>
      </c>
      <c r="J230" s="1">
        <v>0</v>
      </c>
      <c r="K230" s="1" t="s">
        <v>58</v>
      </c>
      <c r="L230" s="1" t="s">
        <v>261</v>
      </c>
      <c r="O230" s="1" t="s">
        <v>7</v>
      </c>
      <c r="P230" s="1">
        <v>2014</v>
      </c>
      <c r="Q230" s="12" t="s">
        <v>323</v>
      </c>
      <c r="R230" s="1" t="s">
        <v>33</v>
      </c>
      <c r="S230" s="1" t="s">
        <v>33</v>
      </c>
    </row>
    <row r="231" spans="1:19" x14ac:dyDescent="0.2">
      <c r="A231" s="1">
        <v>2014</v>
      </c>
      <c r="B231" s="2" t="d">
        <v>2014-07-01</v>
      </c>
      <c r="C231" s="1" t="s">
        <v>79</v>
      </c>
      <c r="D231" s="12" t="s">
        <v>323</v>
      </c>
      <c r="E231" s="1" t="s">
        <v>509</v>
      </c>
      <c r="F231" s="1" t="s">
        <v>510</v>
      </c>
      <c r="G231" s="1" t="s">
        <v>27</v>
      </c>
      <c r="H231" s="1" t="s">
        <v>23</v>
      </c>
      <c r="I231" s="1">
        <v>2</v>
      </c>
      <c r="J231" s="1">
        <v>1</v>
      </c>
      <c r="K231" s="1" t="s">
        <v>22</v>
      </c>
      <c r="L231" s="1" t="s">
        <v>324</v>
      </c>
      <c r="O231" s="1" t="s">
        <v>7</v>
      </c>
      <c r="P231" s="1">
        <v>2014</v>
      </c>
      <c r="Q231" s="12" t="s">
        <v>323</v>
      </c>
      <c r="R231" s="1" t="s">
        <v>23</v>
      </c>
      <c r="S231" s="1" t="s">
        <v>23</v>
      </c>
    </row>
    <row r="232" spans="1:19" x14ac:dyDescent="0.2">
      <c r="O232" s="1" t="s">
        <v>10</v>
      </c>
      <c r="P232" s="1">
        <v>1930</v>
      </c>
      <c r="Q232" s="12" t="s">
        <v>42</v>
      </c>
      <c r="R232" s="1" t="s">
        <v>22</v>
      </c>
      <c r="S232" s="1" t="s">
        <v>22</v>
      </c>
    </row>
    <row r="233" spans="1:19" x14ac:dyDescent="0.2">
      <c r="O233" s="1" t="s">
        <v>10</v>
      </c>
      <c r="P233" s="1">
        <v>1930</v>
      </c>
      <c r="Q233" s="12" t="s">
        <v>42</v>
      </c>
      <c r="R233" s="1" t="s">
        <v>26</v>
      </c>
      <c r="S233" s="1" t="s">
        <v>26</v>
      </c>
    </row>
    <row r="234" spans="1:19" x14ac:dyDescent="0.2">
      <c r="O234" s="1" t="s">
        <v>10</v>
      </c>
      <c r="P234" s="1">
        <v>1930</v>
      </c>
      <c r="Q234" s="12" t="s">
        <v>44</v>
      </c>
      <c r="R234" s="1" t="s">
        <v>33</v>
      </c>
      <c r="S234" s="1" t="s">
        <v>33</v>
      </c>
    </row>
    <row r="235" spans="1:19" x14ac:dyDescent="0.2">
      <c r="O235" s="1" t="s">
        <v>10</v>
      </c>
      <c r="P235" s="1">
        <v>1934</v>
      </c>
      <c r="Q235" s="12" t="s">
        <v>74</v>
      </c>
      <c r="R235" s="1" t="s">
        <v>58</v>
      </c>
      <c r="S235" s="1" t="s">
        <v>58</v>
      </c>
    </row>
    <row r="236" spans="1:19" x14ac:dyDescent="0.2">
      <c r="O236" s="1" t="s">
        <v>10</v>
      </c>
      <c r="P236" s="1">
        <v>1934</v>
      </c>
      <c r="Q236" s="12" t="s">
        <v>74</v>
      </c>
      <c r="R236" s="1" t="s">
        <v>62</v>
      </c>
      <c r="S236" s="1" t="s">
        <v>62</v>
      </c>
    </row>
    <row r="237" spans="1:19" x14ac:dyDescent="0.2">
      <c r="O237" s="1" t="s">
        <v>10</v>
      </c>
      <c r="P237" s="1">
        <v>1934</v>
      </c>
      <c r="Q237" s="12" t="s">
        <v>74</v>
      </c>
      <c r="R237" s="1" t="s">
        <v>68</v>
      </c>
      <c r="S237" s="1" t="s">
        <v>68</v>
      </c>
    </row>
    <row r="238" spans="1:19" x14ac:dyDescent="0.2">
      <c r="O238" s="1" t="s">
        <v>10</v>
      </c>
      <c r="P238" s="1">
        <v>1934</v>
      </c>
      <c r="Q238" s="12" t="s">
        <v>74</v>
      </c>
      <c r="R238" s="1" t="s">
        <v>54</v>
      </c>
      <c r="S238" s="1" t="s">
        <v>54</v>
      </c>
    </row>
    <row r="239" spans="1:19" x14ac:dyDescent="0.2">
      <c r="O239" s="1" t="s">
        <v>10</v>
      </c>
      <c r="P239" s="1">
        <v>1934</v>
      </c>
      <c r="Q239" s="12" t="s">
        <v>74</v>
      </c>
      <c r="R239" s="1" t="s">
        <v>68</v>
      </c>
      <c r="S239" s="1" t="s">
        <v>68</v>
      </c>
    </row>
    <row r="240" spans="1:19" x14ac:dyDescent="0.2">
      <c r="O240" s="1" t="s">
        <v>10</v>
      </c>
      <c r="P240" s="1">
        <v>1934</v>
      </c>
      <c r="Q240" s="12" t="s">
        <v>42</v>
      </c>
      <c r="R240" s="1" t="s">
        <v>50</v>
      </c>
      <c r="S240" s="1" t="s">
        <v>50</v>
      </c>
    </row>
    <row r="241" spans="15:19" x14ac:dyDescent="0.2">
      <c r="O241" s="1" t="s">
        <v>10</v>
      </c>
      <c r="P241" s="1">
        <v>1934</v>
      </c>
      <c r="Q241" s="12" t="s">
        <v>42</v>
      </c>
      <c r="R241" s="1" t="s">
        <v>65</v>
      </c>
      <c r="S241" s="1" t="s">
        <v>65</v>
      </c>
    </row>
    <row r="242" spans="15:19" x14ac:dyDescent="0.2">
      <c r="O242" s="1" t="s">
        <v>10</v>
      </c>
      <c r="P242" s="1">
        <v>1934</v>
      </c>
      <c r="Q242" s="12" t="s">
        <v>76</v>
      </c>
      <c r="R242" s="1" t="s">
        <v>50</v>
      </c>
      <c r="S242" s="1" t="s">
        <v>50</v>
      </c>
    </row>
    <row r="243" spans="15:19" x14ac:dyDescent="0.2">
      <c r="O243" s="1" t="s">
        <v>10</v>
      </c>
      <c r="P243" s="1">
        <v>1934</v>
      </c>
      <c r="Q243" s="12" t="s">
        <v>44</v>
      </c>
      <c r="R243" s="1" t="s">
        <v>73</v>
      </c>
      <c r="S243" s="1" t="s">
        <v>73</v>
      </c>
    </row>
    <row r="244" spans="15:19" x14ac:dyDescent="0.2">
      <c r="O244" s="1" t="s">
        <v>10</v>
      </c>
      <c r="P244" s="1">
        <v>1938</v>
      </c>
      <c r="Q244" s="12" t="s">
        <v>74</v>
      </c>
      <c r="R244" s="1" t="s">
        <v>73</v>
      </c>
      <c r="S244" s="1" t="s">
        <v>73</v>
      </c>
    </row>
    <row r="245" spans="15:19" x14ac:dyDescent="0.2">
      <c r="O245" s="1" t="s">
        <v>10</v>
      </c>
      <c r="P245" s="1">
        <v>1938</v>
      </c>
      <c r="Q245" s="12" t="s">
        <v>74</v>
      </c>
      <c r="R245" s="1" t="s">
        <v>58</v>
      </c>
      <c r="S245" s="1" t="s">
        <v>58</v>
      </c>
    </row>
    <row r="246" spans="15:19" x14ac:dyDescent="0.2">
      <c r="O246" s="1" t="s">
        <v>10</v>
      </c>
      <c r="P246" s="1">
        <v>1938</v>
      </c>
      <c r="Q246" s="12" t="s">
        <v>74</v>
      </c>
      <c r="R246" s="1" t="s">
        <v>90</v>
      </c>
      <c r="S246" s="1" t="s">
        <v>90</v>
      </c>
    </row>
    <row r="247" spans="15:19" x14ac:dyDescent="0.2">
      <c r="O247" s="1" t="s">
        <v>10</v>
      </c>
      <c r="P247" s="1">
        <v>1938</v>
      </c>
      <c r="Q247" s="12" t="s">
        <v>74</v>
      </c>
      <c r="R247" s="1" t="s">
        <v>17</v>
      </c>
      <c r="S247" s="1" t="s">
        <v>17</v>
      </c>
    </row>
    <row r="248" spans="15:19" x14ac:dyDescent="0.2">
      <c r="O248" s="1" t="s">
        <v>10</v>
      </c>
      <c r="P248" s="1">
        <v>1938</v>
      </c>
      <c r="Q248" s="12" t="s">
        <v>74</v>
      </c>
      <c r="R248" s="1" t="s">
        <v>73</v>
      </c>
      <c r="S248" s="1" t="s">
        <v>73</v>
      </c>
    </row>
    <row r="249" spans="15:19" x14ac:dyDescent="0.2">
      <c r="O249" s="1" t="s">
        <v>10</v>
      </c>
      <c r="P249" s="1">
        <v>1938</v>
      </c>
      <c r="Q249" s="12" t="s">
        <v>42</v>
      </c>
      <c r="R249" s="1" t="s">
        <v>62</v>
      </c>
      <c r="S249" s="1" t="s">
        <v>62</v>
      </c>
    </row>
    <row r="250" spans="15:19" x14ac:dyDescent="0.2">
      <c r="O250" s="1" t="s">
        <v>10</v>
      </c>
      <c r="P250" s="1">
        <v>1938</v>
      </c>
      <c r="Q250" s="12" t="s">
        <v>42</v>
      </c>
      <c r="R250" s="1" t="s">
        <v>27</v>
      </c>
      <c r="S250" s="1" t="s">
        <v>27</v>
      </c>
    </row>
    <row r="251" spans="15:19" x14ac:dyDescent="0.2">
      <c r="O251" s="1" t="s">
        <v>10</v>
      </c>
      <c r="P251" s="1">
        <v>1938</v>
      </c>
      <c r="Q251" s="12" t="s">
        <v>76</v>
      </c>
      <c r="R251" s="1" t="s">
        <v>62</v>
      </c>
      <c r="S251" s="1" t="s">
        <v>62</v>
      </c>
    </row>
    <row r="252" spans="15:19" x14ac:dyDescent="0.2">
      <c r="O252" s="1" t="s">
        <v>10</v>
      </c>
      <c r="P252" s="1">
        <v>1938</v>
      </c>
      <c r="Q252" s="12" t="s">
        <v>44</v>
      </c>
      <c r="R252" s="1" t="s">
        <v>54</v>
      </c>
      <c r="S252" s="1" t="s">
        <v>54</v>
      </c>
    </row>
    <row r="253" spans="15:19" x14ac:dyDescent="0.2">
      <c r="O253" s="1" t="s">
        <v>10</v>
      </c>
      <c r="P253" s="1">
        <v>1950</v>
      </c>
      <c r="Q253" s="12" t="s">
        <v>123</v>
      </c>
      <c r="R253" s="1" t="s">
        <v>68</v>
      </c>
      <c r="S253" s="1" t="s">
        <v>68</v>
      </c>
    </row>
    <row r="254" spans="15:19" x14ac:dyDescent="0.2">
      <c r="O254" s="1" t="s">
        <v>10</v>
      </c>
      <c r="P254" s="1">
        <v>1950</v>
      </c>
      <c r="Q254" s="12" t="s">
        <v>123</v>
      </c>
      <c r="R254" s="1" t="s">
        <v>62</v>
      </c>
      <c r="S254" s="1" t="s">
        <v>62</v>
      </c>
    </row>
    <row r="255" spans="15:19" x14ac:dyDescent="0.2">
      <c r="O255" s="1" t="s">
        <v>10</v>
      </c>
      <c r="P255" s="1">
        <v>1950</v>
      </c>
      <c r="Q255" s="12" t="s">
        <v>123</v>
      </c>
      <c r="R255" s="1" t="s">
        <v>68</v>
      </c>
      <c r="S255" s="1" t="s">
        <v>68</v>
      </c>
    </row>
    <row r="256" spans="15:19" x14ac:dyDescent="0.2">
      <c r="O256" s="1" t="s">
        <v>10</v>
      </c>
      <c r="P256" s="1">
        <v>1950</v>
      </c>
      <c r="Q256" s="12" t="s">
        <v>123</v>
      </c>
      <c r="R256" s="1" t="s">
        <v>62</v>
      </c>
      <c r="S256" s="1" t="s">
        <v>62</v>
      </c>
    </row>
    <row r="257" spans="15:19" x14ac:dyDescent="0.2">
      <c r="O257" s="1" t="s">
        <v>10</v>
      </c>
      <c r="P257" s="1">
        <v>1950</v>
      </c>
      <c r="Q257" s="12" t="s">
        <v>123</v>
      </c>
      <c r="R257" s="1" t="s">
        <v>68</v>
      </c>
      <c r="S257" s="1" t="s">
        <v>68</v>
      </c>
    </row>
    <row r="258" spans="15:19" x14ac:dyDescent="0.2">
      <c r="O258" s="1" t="s">
        <v>10</v>
      </c>
      <c r="P258" s="1">
        <v>1950</v>
      </c>
      <c r="Q258" s="12" t="s">
        <v>123</v>
      </c>
      <c r="R258" s="1" t="s">
        <v>27</v>
      </c>
      <c r="S258" s="1" t="s">
        <v>27</v>
      </c>
    </row>
    <row r="259" spans="15:19" x14ac:dyDescent="0.2">
      <c r="O259" s="1" t="s">
        <v>10</v>
      </c>
      <c r="P259" s="1">
        <v>1954</v>
      </c>
      <c r="Q259" s="12" t="s">
        <v>74</v>
      </c>
      <c r="R259" s="1" t="s">
        <v>110</v>
      </c>
      <c r="S259" s="1" t="s">
        <v>110</v>
      </c>
    </row>
    <row r="260" spans="15:19" x14ac:dyDescent="0.2">
      <c r="O260" s="1" t="s">
        <v>10</v>
      </c>
      <c r="P260" s="1">
        <v>1954</v>
      </c>
      <c r="Q260" s="12" t="s">
        <v>74</v>
      </c>
      <c r="R260" s="1" t="s">
        <v>58</v>
      </c>
      <c r="S260" s="1" t="s">
        <v>58</v>
      </c>
    </row>
    <row r="261" spans="15:19" x14ac:dyDescent="0.2">
      <c r="O261" s="1" t="s">
        <v>10</v>
      </c>
      <c r="P261" s="1">
        <v>1954</v>
      </c>
      <c r="Q261" s="12" t="s">
        <v>74</v>
      </c>
      <c r="R261" s="1" t="s">
        <v>26</v>
      </c>
      <c r="S261" s="1" t="s">
        <v>26</v>
      </c>
    </row>
    <row r="262" spans="15:19" x14ac:dyDescent="0.2">
      <c r="O262" s="1" t="s">
        <v>10</v>
      </c>
      <c r="P262" s="1">
        <v>1954</v>
      </c>
      <c r="Q262" s="12" t="s">
        <v>74</v>
      </c>
      <c r="R262" s="1" t="s">
        <v>27</v>
      </c>
      <c r="S262" s="1" t="s">
        <v>27</v>
      </c>
    </row>
    <row r="263" spans="15:19" x14ac:dyDescent="0.2">
      <c r="O263" s="1" t="s">
        <v>10</v>
      </c>
      <c r="P263" s="1">
        <v>1954</v>
      </c>
      <c r="Q263" s="12" t="s">
        <v>42</v>
      </c>
      <c r="R263" s="1" t="s">
        <v>50</v>
      </c>
      <c r="S263" s="1" t="s">
        <v>50</v>
      </c>
    </row>
    <row r="264" spans="15:19" x14ac:dyDescent="0.2">
      <c r="O264" s="1" t="s">
        <v>10</v>
      </c>
      <c r="P264" s="1">
        <v>1954</v>
      </c>
      <c r="Q264" s="12" t="s">
        <v>42</v>
      </c>
      <c r="R264" s="1" t="s">
        <v>16</v>
      </c>
      <c r="S264" s="1" t="s">
        <v>16</v>
      </c>
    </row>
    <row r="265" spans="15:19" x14ac:dyDescent="0.2">
      <c r="O265" s="1" t="s">
        <v>10</v>
      </c>
      <c r="P265" s="1">
        <v>1954</v>
      </c>
      <c r="Q265" s="12" t="s">
        <v>76</v>
      </c>
      <c r="R265" s="1" t="s">
        <v>16</v>
      </c>
      <c r="S265" s="1" t="s">
        <v>16</v>
      </c>
    </row>
    <row r="266" spans="15:19" x14ac:dyDescent="0.2">
      <c r="O266" s="1" t="s">
        <v>10</v>
      </c>
      <c r="P266" s="1">
        <v>1954</v>
      </c>
      <c r="Q266" s="12" t="s">
        <v>44</v>
      </c>
      <c r="R266" s="1" t="s">
        <v>54</v>
      </c>
      <c r="S266" s="1" t="s">
        <v>54</v>
      </c>
    </row>
    <row r="267" spans="15:19" x14ac:dyDescent="0.2">
      <c r="O267" s="1" t="s">
        <v>10</v>
      </c>
      <c r="P267" s="1">
        <v>1958</v>
      </c>
      <c r="Q267" s="12" t="s">
        <v>74</v>
      </c>
      <c r="R267" s="1" t="s">
        <v>156</v>
      </c>
      <c r="S267" s="1" t="s">
        <v>156</v>
      </c>
    </row>
    <row r="268" spans="15:19" x14ac:dyDescent="0.2">
      <c r="O268" s="1" t="s">
        <v>10</v>
      </c>
      <c r="P268" s="1">
        <v>1958</v>
      </c>
      <c r="Q268" s="12" t="s">
        <v>74</v>
      </c>
      <c r="R268" s="1" t="s">
        <v>26</v>
      </c>
      <c r="S268" s="1" t="s">
        <v>26</v>
      </c>
    </row>
    <row r="269" spans="15:19" x14ac:dyDescent="0.2">
      <c r="O269" s="1" t="s">
        <v>10</v>
      </c>
      <c r="P269" s="1">
        <v>1958</v>
      </c>
      <c r="Q269" s="12" t="s">
        <v>74</v>
      </c>
      <c r="R269" s="1" t="s">
        <v>151</v>
      </c>
      <c r="S269" s="1" t="s">
        <v>151</v>
      </c>
    </row>
    <row r="270" spans="15:19" x14ac:dyDescent="0.2">
      <c r="O270" s="1" t="s">
        <v>10</v>
      </c>
      <c r="P270" s="1">
        <v>1958</v>
      </c>
      <c r="Q270" s="12" t="s">
        <v>74</v>
      </c>
      <c r="R270" s="1" t="s">
        <v>165</v>
      </c>
      <c r="S270" s="1" t="s">
        <v>165</v>
      </c>
    </row>
    <row r="271" spans="15:19" x14ac:dyDescent="0.2">
      <c r="O271" s="1" t="s">
        <v>10</v>
      </c>
      <c r="P271" s="1">
        <v>1958</v>
      </c>
      <c r="Q271" s="12" t="s">
        <v>42</v>
      </c>
      <c r="R271" s="1" t="s">
        <v>133</v>
      </c>
      <c r="S271" s="14" t="s">
        <v>65</v>
      </c>
    </row>
    <row r="272" spans="15:19" x14ac:dyDescent="0.2">
      <c r="O272" s="1" t="s">
        <v>10</v>
      </c>
      <c r="P272" s="1">
        <v>1958</v>
      </c>
      <c r="Q272" s="12" t="s">
        <v>42</v>
      </c>
      <c r="R272" s="1" t="s">
        <v>17</v>
      </c>
      <c r="S272" s="1" t="s">
        <v>17</v>
      </c>
    </row>
    <row r="273" spans="15:19" x14ac:dyDescent="0.2">
      <c r="O273" s="1" t="s">
        <v>10</v>
      </c>
      <c r="P273" s="1">
        <v>1958</v>
      </c>
      <c r="Q273" s="12" t="s">
        <v>76</v>
      </c>
      <c r="R273" s="1" t="s">
        <v>133</v>
      </c>
      <c r="S273" s="14" t="s">
        <v>65</v>
      </c>
    </row>
    <row r="274" spans="15:19" x14ac:dyDescent="0.2">
      <c r="O274" s="1" t="s">
        <v>10</v>
      </c>
      <c r="P274" s="1">
        <v>1958</v>
      </c>
      <c r="Q274" s="12" t="s">
        <v>44</v>
      </c>
      <c r="R274" s="1" t="s">
        <v>62</v>
      </c>
      <c r="S274" s="1" t="s">
        <v>62</v>
      </c>
    </row>
    <row r="275" spans="15:19" x14ac:dyDescent="0.2">
      <c r="O275" s="1" t="s">
        <v>10</v>
      </c>
      <c r="P275" s="1">
        <v>1962</v>
      </c>
      <c r="Q275" s="12" t="s">
        <v>74</v>
      </c>
      <c r="R275" s="1" t="s">
        <v>151</v>
      </c>
      <c r="S275" s="1" t="s">
        <v>151</v>
      </c>
    </row>
    <row r="276" spans="15:19" x14ac:dyDescent="0.2">
      <c r="O276" s="1" t="s">
        <v>10</v>
      </c>
      <c r="P276" s="1">
        <v>1962</v>
      </c>
      <c r="Q276" s="12" t="s">
        <v>74</v>
      </c>
      <c r="R276" s="1" t="s">
        <v>110</v>
      </c>
      <c r="S276" s="1" t="s">
        <v>110</v>
      </c>
    </row>
    <row r="277" spans="15:19" x14ac:dyDescent="0.2">
      <c r="O277" s="1" t="s">
        <v>10</v>
      </c>
      <c r="P277" s="1">
        <v>1962</v>
      </c>
      <c r="Q277" s="12" t="s">
        <v>74</v>
      </c>
      <c r="R277" s="1" t="s">
        <v>54</v>
      </c>
      <c r="S277" s="1" t="s">
        <v>54</v>
      </c>
    </row>
    <row r="278" spans="15:19" x14ac:dyDescent="0.2">
      <c r="O278" s="1" t="s">
        <v>10</v>
      </c>
      <c r="P278" s="1">
        <v>1962</v>
      </c>
      <c r="Q278" s="12" t="s">
        <v>74</v>
      </c>
      <c r="R278" s="1" t="s">
        <v>133</v>
      </c>
      <c r="S278" s="14" t="s">
        <v>65</v>
      </c>
    </row>
    <row r="279" spans="15:19" x14ac:dyDescent="0.2">
      <c r="O279" s="1" t="s">
        <v>10</v>
      </c>
      <c r="P279" s="1">
        <v>1962</v>
      </c>
      <c r="Q279" s="12" t="s">
        <v>42</v>
      </c>
      <c r="R279" s="1" t="s">
        <v>26</v>
      </c>
      <c r="S279" s="1" t="s">
        <v>26</v>
      </c>
    </row>
    <row r="280" spans="15:19" x14ac:dyDescent="0.2">
      <c r="O280" s="1" t="s">
        <v>10</v>
      </c>
      <c r="P280" s="1">
        <v>1962</v>
      </c>
      <c r="Q280" s="12" t="s">
        <v>42</v>
      </c>
      <c r="R280" s="1" t="s">
        <v>35</v>
      </c>
      <c r="S280" s="1" t="s">
        <v>35</v>
      </c>
    </row>
    <row r="281" spans="15:19" x14ac:dyDescent="0.2">
      <c r="O281" s="1" t="s">
        <v>10</v>
      </c>
      <c r="P281" s="1">
        <v>1962</v>
      </c>
      <c r="Q281" s="12" t="s">
        <v>76</v>
      </c>
      <c r="R281" s="1" t="s">
        <v>26</v>
      </c>
      <c r="S281" s="1" t="s">
        <v>26</v>
      </c>
    </row>
    <row r="282" spans="15:19" x14ac:dyDescent="0.2">
      <c r="O282" s="1" t="s">
        <v>10</v>
      </c>
      <c r="P282" s="1">
        <v>1962</v>
      </c>
      <c r="Q282" s="12" t="s">
        <v>44</v>
      </c>
      <c r="R282" s="1" t="s">
        <v>73</v>
      </c>
      <c r="S282" s="1" t="s">
        <v>73</v>
      </c>
    </row>
    <row r="283" spans="15:19" x14ac:dyDescent="0.2">
      <c r="O283" s="1" t="s">
        <v>10</v>
      </c>
      <c r="P283" s="1">
        <v>1966</v>
      </c>
      <c r="Q283" s="12" t="s">
        <v>74</v>
      </c>
      <c r="R283" s="1" t="s">
        <v>33</v>
      </c>
      <c r="S283" s="1" t="s">
        <v>33</v>
      </c>
    </row>
    <row r="284" spans="15:19" x14ac:dyDescent="0.2">
      <c r="O284" s="1" t="s">
        <v>10</v>
      </c>
      <c r="P284" s="1">
        <v>1966</v>
      </c>
      <c r="Q284" s="12" t="s">
        <v>74</v>
      </c>
      <c r="R284" s="1" t="s">
        <v>16</v>
      </c>
      <c r="S284" s="1" t="s">
        <v>16</v>
      </c>
    </row>
    <row r="285" spans="15:19" x14ac:dyDescent="0.2">
      <c r="O285" s="1" t="s">
        <v>10</v>
      </c>
      <c r="P285" s="1">
        <v>1966</v>
      </c>
      <c r="Q285" s="12" t="s">
        <v>74</v>
      </c>
      <c r="R285" s="1" t="s">
        <v>54</v>
      </c>
      <c r="S285" s="1" t="s">
        <v>54</v>
      </c>
    </row>
    <row r="286" spans="15:19" x14ac:dyDescent="0.2">
      <c r="O286" s="1" t="s">
        <v>10</v>
      </c>
      <c r="P286" s="1">
        <v>1966</v>
      </c>
      <c r="Q286" s="12" t="s">
        <v>74</v>
      </c>
      <c r="R286" s="1" t="s">
        <v>194</v>
      </c>
      <c r="S286" s="1" t="s">
        <v>194</v>
      </c>
    </row>
    <row r="287" spans="15:19" x14ac:dyDescent="0.2">
      <c r="O287" s="1" t="s">
        <v>10</v>
      </c>
      <c r="P287" s="1">
        <v>1966</v>
      </c>
      <c r="Q287" s="12" t="s">
        <v>42</v>
      </c>
      <c r="R287" s="1" t="s">
        <v>151</v>
      </c>
      <c r="S287" s="1" t="s">
        <v>151</v>
      </c>
    </row>
    <row r="288" spans="15:19" x14ac:dyDescent="0.2">
      <c r="O288" s="1" t="s">
        <v>10</v>
      </c>
      <c r="P288" s="1">
        <v>1966</v>
      </c>
      <c r="Q288" s="12" t="s">
        <v>42</v>
      </c>
      <c r="R288" s="1" t="s">
        <v>197</v>
      </c>
      <c r="S288" s="1" t="s">
        <v>197</v>
      </c>
    </row>
    <row r="289" spans="15:19" x14ac:dyDescent="0.2">
      <c r="O289" s="1" t="s">
        <v>10</v>
      </c>
      <c r="P289" s="1">
        <v>1966</v>
      </c>
      <c r="Q289" s="12" t="s">
        <v>76</v>
      </c>
      <c r="R289" s="1" t="s">
        <v>151</v>
      </c>
      <c r="S289" s="1" t="s">
        <v>151</v>
      </c>
    </row>
    <row r="290" spans="15:19" x14ac:dyDescent="0.2">
      <c r="O290" s="1" t="s">
        <v>10</v>
      </c>
      <c r="P290" s="1">
        <v>1966</v>
      </c>
      <c r="Q290" s="12" t="s">
        <v>44</v>
      </c>
      <c r="R290" s="1" t="s">
        <v>133</v>
      </c>
      <c r="S290" s="14" t="s">
        <v>65</v>
      </c>
    </row>
    <row r="291" spans="15:19" x14ac:dyDescent="0.2">
      <c r="O291" s="1" t="s">
        <v>10</v>
      </c>
      <c r="P291" s="1">
        <v>1970</v>
      </c>
      <c r="Q291" s="12" t="s">
        <v>74</v>
      </c>
      <c r="R291" s="1" t="s">
        <v>18</v>
      </c>
      <c r="S291" s="1" t="s">
        <v>18</v>
      </c>
    </row>
    <row r="292" spans="15:19" x14ac:dyDescent="0.2">
      <c r="O292" s="1" t="s">
        <v>10</v>
      </c>
      <c r="P292" s="1">
        <v>1970</v>
      </c>
      <c r="Q292" s="12" t="s">
        <v>74</v>
      </c>
      <c r="R292" s="1" t="s">
        <v>110</v>
      </c>
      <c r="S292" s="1" t="s">
        <v>110</v>
      </c>
    </row>
    <row r="293" spans="15:19" x14ac:dyDescent="0.2">
      <c r="O293" s="1" t="s">
        <v>10</v>
      </c>
      <c r="P293" s="1">
        <v>1970</v>
      </c>
      <c r="Q293" s="12" t="s">
        <v>74</v>
      </c>
      <c r="R293" s="1" t="s">
        <v>31</v>
      </c>
      <c r="S293" s="1" t="s">
        <v>31</v>
      </c>
    </row>
    <row r="294" spans="15:19" x14ac:dyDescent="0.2">
      <c r="O294" s="1" t="s">
        <v>10</v>
      </c>
      <c r="P294" s="1">
        <v>1970</v>
      </c>
      <c r="Q294" s="12" t="s">
        <v>74</v>
      </c>
      <c r="R294" s="1" t="s">
        <v>151</v>
      </c>
      <c r="S294" s="1" t="s">
        <v>151</v>
      </c>
    </row>
    <row r="295" spans="15:19" x14ac:dyDescent="0.2">
      <c r="O295" s="1" t="s">
        <v>10</v>
      </c>
      <c r="P295" s="1">
        <v>1970</v>
      </c>
      <c r="Q295" s="12" t="s">
        <v>42</v>
      </c>
      <c r="R295" s="1" t="s">
        <v>16</v>
      </c>
      <c r="S295" s="1" t="s">
        <v>16</v>
      </c>
    </row>
    <row r="296" spans="15:19" x14ac:dyDescent="0.2">
      <c r="O296" s="1" t="s">
        <v>10</v>
      </c>
      <c r="P296" s="1">
        <v>1970</v>
      </c>
      <c r="Q296" s="12" t="s">
        <v>42</v>
      </c>
      <c r="R296" s="1" t="s">
        <v>133</v>
      </c>
      <c r="S296" s="14" t="s">
        <v>65</v>
      </c>
    </row>
    <row r="297" spans="15:19" x14ac:dyDescent="0.2">
      <c r="O297" s="1" t="s">
        <v>10</v>
      </c>
      <c r="P297" s="1">
        <v>1970</v>
      </c>
      <c r="Q297" s="12" t="s">
        <v>76</v>
      </c>
      <c r="R297" s="1" t="s">
        <v>16</v>
      </c>
      <c r="S297" s="1" t="s">
        <v>16</v>
      </c>
    </row>
    <row r="298" spans="15:19" x14ac:dyDescent="0.2">
      <c r="O298" s="1" t="s">
        <v>10</v>
      </c>
      <c r="P298" s="1">
        <v>1970</v>
      </c>
      <c r="Q298" s="12" t="s">
        <v>44</v>
      </c>
      <c r="R298" s="1" t="s">
        <v>49</v>
      </c>
      <c r="S298" s="1" t="s">
        <v>49</v>
      </c>
    </row>
    <row r="299" spans="15:19" x14ac:dyDescent="0.2">
      <c r="O299" s="1" t="s">
        <v>10</v>
      </c>
      <c r="P299" s="1">
        <v>1974</v>
      </c>
      <c r="Q299" s="12" t="s">
        <v>241</v>
      </c>
      <c r="R299" s="1" t="s">
        <v>133</v>
      </c>
      <c r="S299" s="14" t="s">
        <v>65</v>
      </c>
    </row>
    <row r="300" spans="15:19" x14ac:dyDescent="0.2">
      <c r="O300" s="1" t="s">
        <v>10</v>
      </c>
      <c r="P300" s="1">
        <v>1974</v>
      </c>
      <c r="Q300" s="12" t="s">
        <v>242</v>
      </c>
      <c r="R300" s="1" t="s">
        <v>226</v>
      </c>
      <c r="S300" s="14" t="s">
        <v>65</v>
      </c>
    </row>
    <row r="301" spans="15:19" x14ac:dyDescent="0.2">
      <c r="O301" s="1" t="s">
        <v>10</v>
      </c>
      <c r="P301" s="1">
        <v>1974</v>
      </c>
      <c r="Q301" s="12" t="s">
        <v>242</v>
      </c>
      <c r="R301" s="1" t="s">
        <v>33</v>
      </c>
      <c r="S301" s="1" t="s">
        <v>33</v>
      </c>
    </row>
    <row r="302" spans="15:19" x14ac:dyDescent="0.2">
      <c r="O302" s="1" t="s">
        <v>10</v>
      </c>
      <c r="P302" s="1">
        <v>1974</v>
      </c>
      <c r="Q302" s="12" t="s">
        <v>241</v>
      </c>
      <c r="R302" s="1" t="s">
        <v>96</v>
      </c>
      <c r="S302" s="1" t="s">
        <v>96</v>
      </c>
    </row>
    <row r="303" spans="15:19" x14ac:dyDescent="0.2">
      <c r="O303" s="1" t="s">
        <v>10</v>
      </c>
      <c r="P303" s="1">
        <v>1974</v>
      </c>
      <c r="Q303" s="12" t="s">
        <v>242</v>
      </c>
      <c r="R303" s="1" t="s">
        <v>27</v>
      </c>
      <c r="S303" s="1" t="s">
        <v>27</v>
      </c>
    </row>
    <row r="304" spans="15:19" x14ac:dyDescent="0.2">
      <c r="O304" s="1" t="s">
        <v>10</v>
      </c>
      <c r="P304" s="1">
        <v>1974</v>
      </c>
      <c r="Q304" s="12" t="s">
        <v>241</v>
      </c>
      <c r="R304" s="1" t="s">
        <v>26</v>
      </c>
      <c r="S304" s="1" t="s">
        <v>26</v>
      </c>
    </row>
    <row r="305" spans="15:19" x14ac:dyDescent="0.2">
      <c r="O305" s="1" t="s">
        <v>10</v>
      </c>
      <c r="P305" s="1">
        <v>1974</v>
      </c>
      <c r="Q305" s="12" t="s">
        <v>242</v>
      </c>
      <c r="R305" s="1" t="s">
        <v>59</v>
      </c>
      <c r="S305" s="1" t="s">
        <v>59</v>
      </c>
    </row>
    <row r="306" spans="15:19" x14ac:dyDescent="0.2">
      <c r="O306" s="1" t="s">
        <v>10</v>
      </c>
      <c r="P306" s="1">
        <v>1974</v>
      </c>
      <c r="Q306" s="12" t="s">
        <v>241</v>
      </c>
      <c r="R306" s="1" t="s">
        <v>62</v>
      </c>
      <c r="S306" s="1" t="s">
        <v>62</v>
      </c>
    </row>
    <row r="307" spans="15:19" x14ac:dyDescent="0.2">
      <c r="O307" s="1" t="s">
        <v>10</v>
      </c>
      <c r="P307" s="1">
        <v>1974</v>
      </c>
      <c r="Q307" s="12" t="s">
        <v>241</v>
      </c>
      <c r="R307" s="1" t="s">
        <v>133</v>
      </c>
      <c r="S307" s="14" t="s">
        <v>65</v>
      </c>
    </row>
    <row r="308" spans="15:19" x14ac:dyDescent="0.2">
      <c r="O308" s="1" t="s">
        <v>10</v>
      </c>
      <c r="P308" s="1">
        <v>1974</v>
      </c>
      <c r="Q308" s="12" t="s">
        <v>242</v>
      </c>
      <c r="R308" s="1" t="s">
        <v>27</v>
      </c>
      <c r="S308" s="1" t="s">
        <v>27</v>
      </c>
    </row>
    <row r="309" spans="15:19" x14ac:dyDescent="0.2">
      <c r="O309" s="1" t="s">
        <v>10</v>
      </c>
      <c r="P309" s="1">
        <v>1974</v>
      </c>
      <c r="Q309" s="12" t="s">
        <v>242</v>
      </c>
      <c r="R309" s="1" t="s">
        <v>226</v>
      </c>
      <c r="S309" s="14" t="s">
        <v>65</v>
      </c>
    </row>
    <row r="310" spans="15:19" x14ac:dyDescent="0.2">
      <c r="O310" s="1" t="s">
        <v>10</v>
      </c>
      <c r="P310" s="1">
        <v>1974</v>
      </c>
      <c r="Q310" s="12" t="s">
        <v>241</v>
      </c>
      <c r="R310" s="1" t="s">
        <v>26</v>
      </c>
      <c r="S310" s="1" t="s">
        <v>26</v>
      </c>
    </row>
    <row r="311" spans="15:19" x14ac:dyDescent="0.2">
      <c r="O311" s="1" t="s">
        <v>10</v>
      </c>
      <c r="P311" s="1">
        <v>1974</v>
      </c>
      <c r="Q311" s="12" t="s">
        <v>76</v>
      </c>
      <c r="R311" s="1" t="s">
        <v>96</v>
      </c>
      <c r="S311" s="1" t="s">
        <v>96</v>
      </c>
    </row>
    <row r="312" spans="15:19" x14ac:dyDescent="0.2">
      <c r="O312" s="1" t="s">
        <v>10</v>
      </c>
      <c r="P312" s="1">
        <v>1974</v>
      </c>
      <c r="Q312" s="12" t="s">
        <v>44</v>
      </c>
      <c r="R312" s="1" t="s">
        <v>133</v>
      </c>
      <c r="S312" s="14" t="s">
        <v>65</v>
      </c>
    </row>
    <row r="313" spans="15:19" x14ac:dyDescent="0.2">
      <c r="O313" s="1" t="s">
        <v>10</v>
      </c>
      <c r="P313" s="1">
        <v>1978</v>
      </c>
      <c r="Q313" s="12" t="s">
        <v>242</v>
      </c>
      <c r="R313" s="1" t="s">
        <v>49</v>
      </c>
      <c r="S313" s="1" t="s">
        <v>49</v>
      </c>
    </row>
    <row r="314" spans="15:19" x14ac:dyDescent="0.2">
      <c r="O314" s="1" t="s">
        <v>10</v>
      </c>
      <c r="P314" s="1">
        <v>1978</v>
      </c>
      <c r="Q314" s="12" t="s">
        <v>242</v>
      </c>
      <c r="R314" s="1" t="s">
        <v>50</v>
      </c>
      <c r="S314" s="1" t="s">
        <v>50</v>
      </c>
    </row>
    <row r="315" spans="15:19" x14ac:dyDescent="0.2">
      <c r="O315" s="1" t="s">
        <v>10</v>
      </c>
      <c r="P315" s="1">
        <v>1978</v>
      </c>
      <c r="Q315" s="12" t="s">
        <v>241</v>
      </c>
      <c r="R315" s="1" t="s">
        <v>31</v>
      </c>
      <c r="S315" s="1" t="s">
        <v>31</v>
      </c>
    </row>
    <row r="316" spans="15:19" x14ac:dyDescent="0.2">
      <c r="O316" s="1" t="s">
        <v>10</v>
      </c>
      <c r="P316" s="1">
        <v>1978</v>
      </c>
      <c r="Q316" s="12" t="s">
        <v>241</v>
      </c>
      <c r="R316" s="1" t="s">
        <v>96</v>
      </c>
      <c r="S316" s="1" t="s">
        <v>96</v>
      </c>
    </row>
    <row r="317" spans="15:19" x14ac:dyDescent="0.2">
      <c r="O317" s="1" t="s">
        <v>10</v>
      </c>
      <c r="P317" s="1">
        <v>1978</v>
      </c>
      <c r="Q317" s="12" t="s">
        <v>241</v>
      </c>
      <c r="R317" s="1" t="s">
        <v>31</v>
      </c>
      <c r="S317" s="1" t="s">
        <v>31</v>
      </c>
    </row>
    <row r="318" spans="15:19" x14ac:dyDescent="0.2">
      <c r="O318" s="1" t="s">
        <v>10</v>
      </c>
      <c r="P318" s="1">
        <v>1978</v>
      </c>
      <c r="Q318" s="12" t="s">
        <v>242</v>
      </c>
      <c r="R318" s="1" t="s">
        <v>50</v>
      </c>
      <c r="S318" s="1" t="s">
        <v>50</v>
      </c>
    </row>
    <row r="319" spans="15:19" x14ac:dyDescent="0.2">
      <c r="O319" s="1" t="s">
        <v>10</v>
      </c>
      <c r="P319" s="1">
        <v>1978</v>
      </c>
      <c r="Q319" s="12" t="s">
        <v>242</v>
      </c>
      <c r="R319" s="1" t="s">
        <v>59</v>
      </c>
      <c r="S319" s="1" t="s">
        <v>59</v>
      </c>
    </row>
    <row r="320" spans="15:19" x14ac:dyDescent="0.2">
      <c r="O320" s="1" t="s">
        <v>10</v>
      </c>
      <c r="P320" s="1">
        <v>1978</v>
      </c>
      <c r="Q320" s="12" t="s">
        <v>241</v>
      </c>
      <c r="R320" s="1" t="s">
        <v>27</v>
      </c>
      <c r="S320" s="1" t="s">
        <v>27</v>
      </c>
    </row>
    <row r="321" spans="15:19" x14ac:dyDescent="0.2">
      <c r="O321" s="1" t="s">
        <v>10</v>
      </c>
      <c r="P321" s="1">
        <v>1978</v>
      </c>
      <c r="Q321" s="12" t="s">
        <v>242</v>
      </c>
      <c r="R321" s="1" t="s">
        <v>49</v>
      </c>
      <c r="S321" s="1" t="s">
        <v>49</v>
      </c>
    </row>
    <row r="322" spans="15:19" x14ac:dyDescent="0.2">
      <c r="O322" s="1" t="s">
        <v>10</v>
      </c>
      <c r="P322" s="1">
        <v>1978</v>
      </c>
      <c r="Q322" s="12" t="s">
        <v>242</v>
      </c>
      <c r="R322" s="1" t="s">
        <v>133</v>
      </c>
      <c r="S322" s="14" t="s">
        <v>65</v>
      </c>
    </row>
    <row r="323" spans="15:19" x14ac:dyDescent="0.2">
      <c r="O323" s="1" t="s">
        <v>10</v>
      </c>
      <c r="P323" s="1">
        <v>1978</v>
      </c>
      <c r="Q323" s="12" t="s">
        <v>241</v>
      </c>
      <c r="R323" s="1" t="s">
        <v>96</v>
      </c>
      <c r="S323" s="1" t="s">
        <v>96</v>
      </c>
    </row>
    <row r="324" spans="15:19" x14ac:dyDescent="0.2">
      <c r="O324" s="1" t="s">
        <v>10</v>
      </c>
      <c r="P324" s="1">
        <v>1978</v>
      </c>
      <c r="Q324" s="12" t="s">
        <v>241</v>
      </c>
      <c r="R324" s="1" t="s">
        <v>31</v>
      </c>
      <c r="S324" s="1" t="s">
        <v>31</v>
      </c>
    </row>
    <row r="325" spans="15:19" x14ac:dyDescent="0.2">
      <c r="O325" s="1" t="s">
        <v>10</v>
      </c>
      <c r="P325" s="1">
        <v>1978</v>
      </c>
      <c r="Q325" s="12" t="s">
        <v>76</v>
      </c>
      <c r="R325" s="1" t="s">
        <v>49</v>
      </c>
      <c r="S325" s="1" t="s">
        <v>49</v>
      </c>
    </row>
    <row r="326" spans="15:19" x14ac:dyDescent="0.2">
      <c r="O326" s="1" t="s">
        <v>10</v>
      </c>
      <c r="P326" s="1">
        <v>1978</v>
      </c>
      <c r="Q326" s="12" t="s">
        <v>44</v>
      </c>
      <c r="R326" s="1" t="s">
        <v>59</v>
      </c>
      <c r="S326" s="1" t="s">
        <v>59</v>
      </c>
    </row>
    <row r="327" spans="15:19" x14ac:dyDescent="0.2">
      <c r="O327" s="1" t="s">
        <v>10</v>
      </c>
      <c r="P327" s="1">
        <v>1982</v>
      </c>
      <c r="Q327" s="12" t="s">
        <v>42</v>
      </c>
      <c r="R327" s="1" t="s">
        <v>49</v>
      </c>
      <c r="S327" s="1" t="s">
        <v>49</v>
      </c>
    </row>
    <row r="328" spans="15:19" x14ac:dyDescent="0.2">
      <c r="O328" s="1" t="s">
        <v>10</v>
      </c>
      <c r="P328" s="1">
        <v>1982</v>
      </c>
      <c r="Q328" s="12" t="s">
        <v>42</v>
      </c>
      <c r="R328" s="1" t="s">
        <v>17</v>
      </c>
      <c r="S328" s="1" t="s">
        <v>17</v>
      </c>
    </row>
    <row r="329" spans="15:19" x14ac:dyDescent="0.2">
      <c r="O329" s="1" t="s">
        <v>10</v>
      </c>
      <c r="P329" s="1">
        <v>1982</v>
      </c>
      <c r="Q329" s="12" t="s">
        <v>76</v>
      </c>
      <c r="R329" s="1" t="s">
        <v>17</v>
      </c>
      <c r="S329" s="1" t="s">
        <v>17</v>
      </c>
    </row>
    <row r="330" spans="15:19" x14ac:dyDescent="0.2">
      <c r="O330" s="1" t="s">
        <v>10</v>
      </c>
      <c r="P330" s="1">
        <v>1982</v>
      </c>
      <c r="Q330" s="12" t="s">
        <v>44</v>
      </c>
      <c r="R330" s="1" t="s">
        <v>133</v>
      </c>
      <c r="S330" s="14" t="s">
        <v>65</v>
      </c>
    </row>
    <row r="331" spans="15:19" x14ac:dyDescent="0.2">
      <c r="O331" s="1" t="s">
        <v>10</v>
      </c>
      <c r="P331" s="1">
        <v>1986</v>
      </c>
      <c r="Q331" s="12" t="s">
        <v>323</v>
      </c>
      <c r="R331" s="1" t="s">
        <v>23</v>
      </c>
      <c r="S331" s="1" t="s">
        <v>23</v>
      </c>
    </row>
    <row r="332" spans="15:19" x14ac:dyDescent="0.2">
      <c r="O332" s="1" t="s">
        <v>10</v>
      </c>
      <c r="P332" s="1">
        <v>1986</v>
      </c>
      <c r="Q332" s="12" t="s">
        <v>323</v>
      </c>
      <c r="R332" s="1" t="s">
        <v>182</v>
      </c>
      <c r="S332" s="1" t="s">
        <v>182</v>
      </c>
    </row>
    <row r="333" spans="15:19" x14ac:dyDescent="0.2">
      <c r="O333" s="1" t="s">
        <v>10</v>
      </c>
      <c r="P333" s="1">
        <v>1986</v>
      </c>
      <c r="Q333" s="12" t="s">
        <v>323</v>
      </c>
      <c r="R333" s="1" t="s">
        <v>16</v>
      </c>
      <c r="S333" s="1" t="s">
        <v>16</v>
      </c>
    </row>
    <row r="334" spans="15:19" x14ac:dyDescent="0.2">
      <c r="O334" s="1" t="s">
        <v>10</v>
      </c>
      <c r="P334" s="1">
        <v>1986</v>
      </c>
      <c r="Q334" s="12" t="s">
        <v>323</v>
      </c>
      <c r="R334" s="1" t="s">
        <v>96</v>
      </c>
      <c r="S334" s="1" t="s">
        <v>96</v>
      </c>
    </row>
    <row r="335" spans="15:19" x14ac:dyDescent="0.2">
      <c r="O335" s="1" t="s">
        <v>10</v>
      </c>
      <c r="P335" s="1">
        <v>1986</v>
      </c>
      <c r="Q335" s="12" t="s">
        <v>323</v>
      </c>
      <c r="R335" s="1" t="s">
        <v>17</v>
      </c>
      <c r="S335" s="1" t="s">
        <v>17</v>
      </c>
    </row>
    <row r="336" spans="15:19" x14ac:dyDescent="0.2">
      <c r="O336" s="1" t="s">
        <v>10</v>
      </c>
      <c r="P336" s="1">
        <v>1986</v>
      </c>
      <c r="Q336" s="12" t="s">
        <v>323</v>
      </c>
      <c r="R336" s="1" t="s">
        <v>133</v>
      </c>
      <c r="S336" s="14" t="s">
        <v>65</v>
      </c>
    </row>
    <row r="337" spans="15:19" x14ac:dyDescent="0.2">
      <c r="O337" s="1" t="s">
        <v>10</v>
      </c>
      <c r="P337" s="1">
        <v>1986</v>
      </c>
      <c r="Q337" s="12" t="s">
        <v>323</v>
      </c>
      <c r="R337" s="1" t="s">
        <v>37</v>
      </c>
      <c r="S337" s="1" t="s">
        <v>37</v>
      </c>
    </row>
    <row r="338" spans="15:19" x14ac:dyDescent="0.2">
      <c r="O338" s="1" t="s">
        <v>10</v>
      </c>
      <c r="P338" s="1">
        <v>1986</v>
      </c>
      <c r="Q338" s="12" t="s">
        <v>323</v>
      </c>
      <c r="R338" s="1" t="s">
        <v>68</v>
      </c>
      <c r="S338" s="1" t="s">
        <v>68</v>
      </c>
    </row>
    <row r="339" spans="15:19" x14ac:dyDescent="0.2">
      <c r="O339" s="1" t="s">
        <v>10</v>
      </c>
      <c r="P339" s="1">
        <v>1986</v>
      </c>
      <c r="Q339" s="12" t="s">
        <v>74</v>
      </c>
      <c r="R339" s="1" t="s">
        <v>17</v>
      </c>
      <c r="S339" s="1" t="s">
        <v>17</v>
      </c>
    </row>
    <row r="340" spans="15:19" x14ac:dyDescent="0.2">
      <c r="O340" s="1" t="s">
        <v>10</v>
      </c>
      <c r="P340" s="1">
        <v>1986</v>
      </c>
      <c r="Q340" s="12" t="s">
        <v>74</v>
      </c>
      <c r="R340" s="1" t="s">
        <v>18</v>
      </c>
      <c r="S340" s="1" t="s">
        <v>18</v>
      </c>
    </row>
    <row r="341" spans="15:19" x14ac:dyDescent="0.2">
      <c r="O341" s="1" t="s">
        <v>10</v>
      </c>
      <c r="P341" s="1">
        <v>1986</v>
      </c>
      <c r="Q341" s="12" t="s">
        <v>74</v>
      </c>
      <c r="R341" s="1" t="s">
        <v>23</v>
      </c>
      <c r="S341" s="1" t="s">
        <v>23</v>
      </c>
    </row>
    <row r="342" spans="15:19" x14ac:dyDescent="0.2">
      <c r="O342" s="1" t="s">
        <v>10</v>
      </c>
      <c r="P342" s="1">
        <v>1986</v>
      </c>
      <c r="Q342" s="12" t="s">
        <v>74</v>
      </c>
      <c r="R342" s="1" t="s">
        <v>110</v>
      </c>
      <c r="S342" s="1" t="s">
        <v>110</v>
      </c>
    </row>
    <row r="343" spans="15:19" x14ac:dyDescent="0.2">
      <c r="O343" s="1" t="s">
        <v>10</v>
      </c>
      <c r="P343" s="1">
        <v>1986</v>
      </c>
      <c r="Q343" s="12" t="s">
        <v>42</v>
      </c>
      <c r="R343" s="1" t="s">
        <v>133</v>
      </c>
      <c r="S343" s="14" t="s">
        <v>65</v>
      </c>
    </row>
    <row r="344" spans="15:19" x14ac:dyDescent="0.2">
      <c r="O344" s="1" t="s">
        <v>10</v>
      </c>
      <c r="P344" s="1">
        <v>1986</v>
      </c>
      <c r="Q344" s="12" t="s">
        <v>42</v>
      </c>
      <c r="R344" s="1" t="s">
        <v>23</v>
      </c>
      <c r="S344" s="1" t="s">
        <v>23</v>
      </c>
    </row>
    <row r="345" spans="15:19" x14ac:dyDescent="0.2">
      <c r="O345" s="1" t="s">
        <v>10</v>
      </c>
      <c r="P345" s="1">
        <v>1986</v>
      </c>
      <c r="Q345" s="12" t="s">
        <v>76</v>
      </c>
      <c r="R345" s="1" t="s">
        <v>23</v>
      </c>
      <c r="S345" s="1" t="s">
        <v>23</v>
      </c>
    </row>
    <row r="346" spans="15:19" x14ac:dyDescent="0.2">
      <c r="O346" s="1" t="s">
        <v>10</v>
      </c>
      <c r="P346" s="1">
        <v>1986</v>
      </c>
      <c r="Q346" s="12" t="s">
        <v>44</v>
      </c>
      <c r="R346" s="1" t="s">
        <v>133</v>
      </c>
      <c r="S346" s="1" t="s">
        <v>65</v>
      </c>
    </row>
    <row r="347" spans="15:19" x14ac:dyDescent="0.2">
      <c r="O347" s="1" t="s">
        <v>10</v>
      </c>
      <c r="P347" s="1">
        <v>1990</v>
      </c>
      <c r="Q347" s="12" t="s">
        <v>323</v>
      </c>
      <c r="R347" s="1" t="s">
        <v>177</v>
      </c>
      <c r="S347" s="1" t="s">
        <v>177</v>
      </c>
    </row>
    <row r="348" spans="15:19" x14ac:dyDescent="0.2">
      <c r="O348" s="1" t="s">
        <v>10</v>
      </c>
      <c r="P348" s="1">
        <v>1990</v>
      </c>
      <c r="Q348" s="12" t="s">
        <v>323</v>
      </c>
      <c r="R348" s="1" t="s">
        <v>337</v>
      </c>
      <c r="S348" s="1" t="s">
        <v>337</v>
      </c>
    </row>
    <row r="349" spans="15:19" x14ac:dyDescent="0.2">
      <c r="O349" s="1" t="s">
        <v>10</v>
      </c>
      <c r="P349" s="1">
        <v>1990</v>
      </c>
      <c r="Q349" s="12" t="s">
        <v>323</v>
      </c>
      <c r="R349" s="1" t="s">
        <v>33</v>
      </c>
      <c r="S349" s="1" t="s">
        <v>33</v>
      </c>
    </row>
    <row r="350" spans="15:19" x14ac:dyDescent="0.2">
      <c r="O350" s="1" t="s">
        <v>10</v>
      </c>
      <c r="P350" s="1">
        <v>1990</v>
      </c>
      <c r="Q350" s="12" t="s">
        <v>323</v>
      </c>
      <c r="R350" s="1" t="s">
        <v>59</v>
      </c>
      <c r="S350" s="1" t="s">
        <v>59</v>
      </c>
    </row>
    <row r="351" spans="15:19" x14ac:dyDescent="0.2">
      <c r="O351" s="1" t="s">
        <v>10</v>
      </c>
      <c r="P351" s="1">
        <v>1990</v>
      </c>
      <c r="Q351" s="12" t="s">
        <v>323</v>
      </c>
      <c r="R351" s="1" t="s">
        <v>30</v>
      </c>
      <c r="S351" s="1" t="s">
        <v>30</v>
      </c>
    </row>
    <row r="352" spans="15:19" x14ac:dyDescent="0.2">
      <c r="O352" s="1" t="s">
        <v>10</v>
      </c>
      <c r="P352" s="1">
        <v>1990</v>
      </c>
      <c r="Q352" s="12" t="s">
        <v>323</v>
      </c>
      <c r="R352" s="1" t="s">
        <v>16</v>
      </c>
      <c r="S352" s="1" t="s">
        <v>16</v>
      </c>
    </row>
    <row r="353" spans="15:19" x14ac:dyDescent="0.2">
      <c r="O353" s="1" t="s">
        <v>10</v>
      </c>
      <c r="P353" s="1">
        <v>1990</v>
      </c>
      <c r="Q353" s="12" t="s">
        <v>323</v>
      </c>
      <c r="R353" s="1" t="s">
        <v>26</v>
      </c>
      <c r="S353" s="1" t="s">
        <v>26</v>
      </c>
    </row>
    <row r="354" spans="15:19" x14ac:dyDescent="0.2">
      <c r="O354" s="1" t="s">
        <v>10</v>
      </c>
      <c r="P354" s="1">
        <v>1990</v>
      </c>
      <c r="Q354" s="12" t="s">
        <v>323</v>
      </c>
      <c r="R354" s="1" t="s">
        <v>23</v>
      </c>
      <c r="S354" s="1" t="s">
        <v>23</v>
      </c>
    </row>
    <row r="355" spans="15:19" x14ac:dyDescent="0.2">
      <c r="O355" s="1" t="s">
        <v>10</v>
      </c>
      <c r="P355" s="1">
        <v>1990</v>
      </c>
      <c r="Q355" s="12" t="s">
        <v>74</v>
      </c>
      <c r="R355" s="1" t="s">
        <v>33</v>
      </c>
      <c r="S355" s="1" t="s">
        <v>33</v>
      </c>
    </row>
    <row r="356" spans="15:19" x14ac:dyDescent="0.2">
      <c r="O356" s="1" t="s">
        <v>10</v>
      </c>
      <c r="P356" s="1">
        <v>1990</v>
      </c>
      <c r="Q356" s="12" t="s">
        <v>74</v>
      </c>
      <c r="R356" s="1" t="s">
        <v>340</v>
      </c>
      <c r="S356" s="1" t="s">
        <v>340</v>
      </c>
    </row>
    <row r="357" spans="15:19" x14ac:dyDescent="0.2">
      <c r="O357" s="1" t="s">
        <v>10</v>
      </c>
      <c r="P357" s="1">
        <v>1990</v>
      </c>
      <c r="Q357" s="12" t="s">
        <v>74</v>
      </c>
      <c r="R357" s="1" t="s">
        <v>73</v>
      </c>
      <c r="S357" s="1" t="s">
        <v>73</v>
      </c>
    </row>
    <row r="358" spans="15:19" x14ac:dyDescent="0.2">
      <c r="O358" s="1" t="s">
        <v>10</v>
      </c>
      <c r="P358" s="1">
        <v>1990</v>
      </c>
      <c r="Q358" s="12" t="s">
        <v>74</v>
      </c>
      <c r="R358" s="1" t="s">
        <v>273</v>
      </c>
      <c r="S358" s="1" t="s">
        <v>273</v>
      </c>
    </row>
    <row r="359" spans="15:19" x14ac:dyDescent="0.2">
      <c r="O359" s="1" t="s">
        <v>10</v>
      </c>
      <c r="P359" s="1">
        <v>1990</v>
      </c>
      <c r="Q359" s="12" t="s">
        <v>42</v>
      </c>
      <c r="R359" s="1" t="s">
        <v>33</v>
      </c>
      <c r="S359" s="1" t="s">
        <v>33</v>
      </c>
    </row>
    <row r="360" spans="15:19" x14ac:dyDescent="0.2">
      <c r="O360" s="1" t="s">
        <v>10</v>
      </c>
      <c r="P360" s="1">
        <v>1990</v>
      </c>
      <c r="Q360" s="12" t="s">
        <v>42</v>
      </c>
      <c r="R360" s="1" t="s">
        <v>110</v>
      </c>
      <c r="S360" s="1" t="s">
        <v>110</v>
      </c>
    </row>
    <row r="361" spans="15:19" x14ac:dyDescent="0.2">
      <c r="O361" s="1" t="s">
        <v>10</v>
      </c>
      <c r="P361" s="1">
        <v>1990</v>
      </c>
      <c r="Q361" s="12" t="s">
        <v>76</v>
      </c>
      <c r="R361" s="1" t="s">
        <v>110</v>
      </c>
      <c r="S361" s="1" t="s">
        <v>110</v>
      </c>
    </row>
    <row r="362" spans="15:19" x14ac:dyDescent="0.2">
      <c r="O362" s="1" t="s">
        <v>10</v>
      </c>
      <c r="P362" s="1">
        <v>1990</v>
      </c>
      <c r="Q362" s="12" t="s">
        <v>44</v>
      </c>
      <c r="R362" s="1" t="s">
        <v>33</v>
      </c>
      <c r="S362" s="1" t="s">
        <v>33</v>
      </c>
    </row>
    <row r="363" spans="15:19" x14ac:dyDescent="0.2">
      <c r="O363" s="1" t="s">
        <v>10</v>
      </c>
      <c r="P363" s="1">
        <v>1994</v>
      </c>
      <c r="Q363" s="12" t="s">
        <v>323</v>
      </c>
      <c r="R363" s="1" t="s">
        <v>23</v>
      </c>
      <c r="S363" s="1" t="s">
        <v>23</v>
      </c>
    </row>
    <row r="364" spans="15:19" x14ac:dyDescent="0.2">
      <c r="O364" s="1" t="s">
        <v>10</v>
      </c>
      <c r="P364" s="1">
        <v>1994</v>
      </c>
      <c r="Q364" s="12" t="s">
        <v>323</v>
      </c>
      <c r="R364" s="1" t="s">
        <v>58</v>
      </c>
      <c r="S364" s="1" t="s">
        <v>58</v>
      </c>
    </row>
    <row r="365" spans="15:19" x14ac:dyDescent="0.2">
      <c r="O365" s="1" t="s">
        <v>10</v>
      </c>
      <c r="P365" s="1">
        <v>1994</v>
      </c>
      <c r="Q365" s="12" t="s">
        <v>323</v>
      </c>
      <c r="R365" s="1" t="s">
        <v>62</v>
      </c>
      <c r="S365" s="1" t="s">
        <v>62</v>
      </c>
    </row>
    <row r="366" spans="15:19" x14ac:dyDescent="0.2">
      <c r="O366" s="1" t="s">
        <v>10</v>
      </c>
      <c r="P366" s="1">
        <v>1994</v>
      </c>
      <c r="Q366" s="12" t="s">
        <v>323</v>
      </c>
      <c r="R366" s="1" t="s">
        <v>33</v>
      </c>
      <c r="S366" s="1" t="s">
        <v>33</v>
      </c>
    </row>
    <row r="367" spans="15:19" x14ac:dyDescent="0.2">
      <c r="O367" s="1" t="s">
        <v>10</v>
      </c>
      <c r="P367" s="1">
        <v>1994</v>
      </c>
      <c r="Q367" s="12" t="s">
        <v>323</v>
      </c>
      <c r="R367" s="1" t="s">
        <v>340</v>
      </c>
      <c r="S367" s="1" t="s">
        <v>340</v>
      </c>
    </row>
    <row r="368" spans="15:19" x14ac:dyDescent="0.2">
      <c r="O368" s="1" t="s">
        <v>10</v>
      </c>
      <c r="P368" s="1">
        <v>1994</v>
      </c>
      <c r="Q368" s="12" t="s">
        <v>323</v>
      </c>
      <c r="R368" s="1" t="s">
        <v>22</v>
      </c>
      <c r="S368" s="1" t="s">
        <v>22</v>
      </c>
    </row>
    <row r="369" spans="15:19" x14ac:dyDescent="0.2">
      <c r="O369" s="1" t="s">
        <v>10</v>
      </c>
      <c r="P369" s="1">
        <v>1994</v>
      </c>
      <c r="Q369" s="12" t="s">
        <v>323</v>
      </c>
      <c r="R369" s="1" t="s">
        <v>49</v>
      </c>
      <c r="S369" s="1" t="s">
        <v>49</v>
      </c>
    </row>
    <row r="370" spans="15:19" x14ac:dyDescent="0.2">
      <c r="O370" s="1" t="s">
        <v>10</v>
      </c>
      <c r="P370" s="1">
        <v>1994</v>
      </c>
      <c r="Q370" s="12" t="s">
        <v>323</v>
      </c>
      <c r="R370" s="1" t="s">
        <v>182</v>
      </c>
      <c r="S370" s="1" t="s">
        <v>182</v>
      </c>
    </row>
    <row r="371" spans="15:19" x14ac:dyDescent="0.2">
      <c r="O371" s="1" t="s">
        <v>10</v>
      </c>
      <c r="P371" s="1">
        <v>1994</v>
      </c>
      <c r="Q371" s="12" t="s">
        <v>74</v>
      </c>
      <c r="R371" s="1" t="s">
        <v>68</v>
      </c>
      <c r="S371" s="1" t="s">
        <v>68</v>
      </c>
    </row>
    <row r="372" spans="15:19" x14ac:dyDescent="0.2">
      <c r="O372" s="1" t="s">
        <v>10</v>
      </c>
      <c r="P372" s="1">
        <v>1994</v>
      </c>
      <c r="Q372" s="12" t="s">
        <v>74</v>
      </c>
      <c r="R372" s="1" t="s">
        <v>27</v>
      </c>
      <c r="S372" s="1" t="s">
        <v>27</v>
      </c>
    </row>
    <row r="373" spans="15:19" x14ac:dyDescent="0.2">
      <c r="O373" s="1" t="s">
        <v>10</v>
      </c>
      <c r="P373" s="1">
        <v>1994</v>
      </c>
      <c r="Q373" s="12" t="s">
        <v>74</v>
      </c>
      <c r="R373" s="1" t="s">
        <v>65</v>
      </c>
      <c r="S373" s="1" t="s">
        <v>65</v>
      </c>
    </row>
    <row r="374" spans="15:19" x14ac:dyDescent="0.2">
      <c r="O374" s="1" t="s">
        <v>10</v>
      </c>
      <c r="P374" s="1">
        <v>1994</v>
      </c>
      <c r="Q374" s="12" t="s">
        <v>74</v>
      </c>
      <c r="R374" s="1" t="s">
        <v>62</v>
      </c>
      <c r="S374" s="1" t="s">
        <v>62</v>
      </c>
    </row>
    <row r="375" spans="15:19" x14ac:dyDescent="0.2">
      <c r="O375" s="1" t="s">
        <v>10</v>
      </c>
      <c r="P375" s="1">
        <v>1994</v>
      </c>
      <c r="Q375" s="12" t="s">
        <v>42</v>
      </c>
      <c r="R375" s="1" t="s">
        <v>49</v>
      </c>
      <c r="S375" s="1" t="s">
        <v>49</v>
      </c>
    </row>
    <row r="376" spans="15:19" x14ac:dyDescent="0.2">
      <c r="O376" s="1" t="s">
        <v>10</v>
      </c>
      <c r="P376" s="1">
        <v>1994</v>
      </c>
      <c r="Q376" s="12" t="s">
        <v>42</v>
      </c>
      <c r="R376" s="1" t="s">
        <v>27</v>
      </c>
      <c r="S376" s="1" t="s">
        <v>27</v>
      </c>
    </row>
    <row r="377" spans="15:19" x14ac:dyDescent="0.2">
      <c r="O377" s="1" t="s">
        <v>10</v>
      </c>
      <c r="P377" s="1">
        <v>1994</v>
      </c>
      <c r="Q377" s="12" t="s">
        <v>76</v>
      </c>
      <c r="R377" s="1" t="s">
        <v>182</v>
      </c>
      <c r="S377" s="1" t="s">
        <v>182</v>
      </c>
    </row>
    <row r="378" spans="15:19" x14ac:dyDescent="0.2">
      <c r="O378" s="1" t="s">
        <v>10</v>
      </c>
      <c r="P378" s="1">
        <v>1994</v>
      </c>
      <c r="Q378" s="12" t="s">
        <v>44</v>
      </c>
      <c r="R378" s="1" t="s">
        <v>49</v>
      </c>
      <c r="S378" s="1" t="s">
        <v>49</v>
      </c>
    </row>
    <row r="379" spans="15:19" x14ac:dyDescent="0.2">
      <c r="O379" s="1" t="s">
        <v>10</v>
      </c>
      <c r="P379" s="1">
        <v>1998</v>
      </c>
      <c r="Q379" s="12" t="s">
        <v>323</v>
      </c>
      <c r="R379" s="1" t="s">
        <v>93</v>
      </c>
      <c r="S379" s="1" t="s">
        <v>93</v>
      </c>
    </row>
    <row r="380" spans="15:19" x14ac:dyDescent="0.2">
      <c r="O380" s="1" t="s">
        <v>10</v>
      </c>
      <c r="P380" s="1">
        <v>1998</v>
      </c>
      <c r="Q380" s="12" t="s">
        <v>323</v>
      </c>
      <c r="R380" s="1" t="s">
        <v>35</v>
      </c>
      <c r="S380" s="1" t="s">
        <v>35</v>
      </c>
    </row>
    <row r="381" spans="15:19" x14ac:dyDescent="0.2">
      <c r="O381" s="1" t="s">
        <v>10</v>
      </c>
      <c r="P381" s="1">
        <v>1998</v>
      </c>
      <c r="Q381" s="12" t="s">
        <v>323</v>
      </c>
      <c r="R381" s="1" t="s">
        <v>37</v>
      </c>
      <c r="S381" s="1" t="s">
        <v>37</v>
      </c>
    </row>
    <row r="382" spans="15:19" x14ac:dyDescent="0.2">
      <c r="O382" s="1" t="s">
        <v>10</v>
      </c>
      <c r="P382" s="1">
        <v>1998</v>
      </c>
      <c r="Q382" s="12" t="s">
        <v>323</v>
      </c>
      <c r="R382" s="1" t="s">
        <v>320</v>
      </c>
      <c r="S382" s="1" t="s">
        <v>320</v>
      </c>
    </row>
    <row r="383" spans="15:19" x14ac:dyDescent="0.2">
      <c r="O383" s="1" t="s">
        <v>10</v>
      </c>
      <c r="P383" s="1">
        <v>1998</v>
      </c>
      <c r="Q383" s="12" t="s">
        <v>323</v>
      </c>
      <c r="R383" s="1" t="s">
        <v>18</v>
      </c>
      <c r="S383" s="1" t="s">
        <v>18</v>
      </c>
    </row>
    <row r="384" spans="15:19" x14ac:dyDescent="0.2">
      <c r="O384" s="1" t="s">
        <v>10</v>
      </c>
      <c r="P384" s="1">
        <v>1998</v>
      </c>
      <c r="Q384" s="12" t="s">
        <v>323</v>
      </c>
      <c r="R384" s="1" t="s">
        <v>26</v>
      </c>
      <c r="S384" s="1" t="s">
        <v>26</v>
      </c>
    </row>
    <row r="385" spans="15:19" x14ac:dyDescent="0.2">
      <c r="O385" s="1" t="s">
        <v>10</v>
      </c>
      <c r="P385" s="1">
        <v>1998</v>
      </c>
      <c r="Q385" s="12" t="s">
        <v>323</v>
      </c>
      <c r="R385" s="1" t="s">
        <v>399</v>
      </c>
      <c r="S385" s="1" t="s">
        <v>399</v>
      </c>
    </row>
    <row r="386" spans="15:19" x14ac:dyDescent="0.2">
      <c r="O386" s="1" t="s">
        <v>10</v>
      </c>
      <c r="P386" s="1">
        <v>1998</v>
      </c>
      <c r="Q386" s="12" t="s">
        <v>323</v>
      </c>
      <c r="R386" s="1" t="s">
        <v>110</v>
      </c>
      <c r="S386" s="1" t="s">
        <v>110</v>
      </c>
    </row>
    <row r="387" spans="15:19" x14ac:dyDescent="0.2">
      <c r="O387" s="1" t="s">
        <v>10</v>
      </c>
      <c r="P387" s="1">
        <v>1998</v>
      </c>
      <c r="Q387" s="12" t="s">
        <v>74</v>
      </c>
      <c r="R387" s="1" t="s">
        <v>17</v>
      </c>
      <c r="S387" s="1" t="s">
        <v>17</v>
      </c>
    </row>
    <row r="388" spans="15:19" x14ac:dyDescent="0.2">
      <c r="O388" s="1" t="s">
        <v>10</v>
      </c>
      <c r="P388" s="1">
        <v>1998</v>
      </c>
      <c r="Q388" s="12" t="s">
        <v>74</v>
      </c>
      <c r="R388" s="1" t="s">
        <v>320</v>
      </c>
      <c r="S388" s="1" t="s">
        <v>320</v>
      </c>
    </row>
    <row r="389" spans="15:19" x14ac:dyDescent="0.2">
      <c r="O389" s="1" t="s">
        <v>10</v>
      </c>
      <c r="P389" s="1">
        <v>1998</v>
      </c>
      <c r="Q389" s="12" t="s">
        <v>74</v>
      </c>
      <c r="R389" s="1" t="s">
        <v>33</v>
      </c>
      <c r="S389" s="1" t="s">
        <v>33</v>
      </c>
    </row>
    <row r="390" spans="15:19" x14ac:dyDescent="0.2">
      <c r="O390" s="1" t="s">
        <v>10</v>
      </c>
      <c r="P390" s="1">
        <v>1998</v>
      </c>
      <c r="Q390" s="12" t="s">
        <v>74</v>
      </c>
      <c r="R390" s="1" t="s">
        <v>399</v>
      </c>
      <c r="S390" s="1" t="s">
        <v>399</v>
      </c>
    </row>
    <row r="391" spans="15:19" x14ac:dyDescent="0.2">
      <c r="O391" s="1" t="s">
        <v>10</v>
      </c>
      <c r="P391" s="1">
        <v>1998</v>
      </c>
      <c r="Q391" s="12" t="s">
        <v>42</v>
      </c>
      <c r="R391" s="1" t="s">
        <v>59</v>
      </c>
      <c r="S391" s="1" t="s">
        <v>59</v>
      </c>
    </row>
    <row r="392" spans="15:19" x14ac:dyDescent="0.2">
      <c r="O392" s="1" t="s">
        <v>10</v>
      </c>
      <c r="P392" s="1">
        <v>1998</v>
      </c>
      <c r="Q392" s="12" t="s">
        <v>42</v>
      </c>
      <c r="R392" s="1" t="s">
        <v>399</v>
      </c>
      <c r="S392" s="1" t="s">
        <v>399</v>
      </c>
    </row>
    <row r="393" spans="15:19" x14ac:dyDescent="0.2">
      <c r="O393" s="1" t="s">
        <v>10</v>
      </c>
      <c r="P393" s="1">
        <v>1998</v>
      </c>
      <c r="Q393" s="12" t="s">
        <v>76</v>
      </c>
      <c r="R393" s="1" t="s">
        <v>399</v>
      </c>
      <c r="S393" s="1" t="s">
        <v>399</v>
      </c>
    </row>
    <row r="394" spans="15:19" x14ac:dyDescent="0.2">
      <c r="O394" s="1" t="s">
        <v>10</v>
      </c>
      <c r="P394" s="1">
        <v>1998</v>
      </c>
      <c r="Q394" s="12" t="s">
        <v>44</v>
      </c>
      <c r="R394" s="1" t="s">
        <v>17</v>
      </c>
      <c r="S394" s="1" t="s">
        <v>17</v>
      </c>
    </row>
    <row r="395" spans="15:19" x14ac:dyDescent="0.2">
      <c r="O395" s="1" t="s">
        <v>10</v>
      </c>
      <c r="P395" s="1">
        <v>2002</v>
      </c>
      <c r="Q395" s="12" t="s">
        <v>323</v>
      </c>
      <c r="R395" s="1" t="s">
        <v>110</v>
      </c>
      <c r="S395" s="1" t="s">
        <v>110</v>
      </c>
    </row>
    <row r="396" spans="15:19" x14ac:dyDescent="0.2">
      <c r="O396" s="1" t="s">
        <v>10</v>
      </c>
      <c r="P396" s="1">
        <v>2002</v>
      </c>
      <c r="Q396" s="12" t="s">
        <v>323</v>
      </c>
      <c r="R396" s="1" t="s">
        <v>37</v>
      </c>
      <c r="S396" s="1" t="s">
        <v>37</v>
      </c>
    </row>
    <row r="397" spans="15:19" x14ac:dyDescent="0.2">
      <c r="O397" s="1" t="s">
        <v>10</v>
      </c>
      <c r="P397" s="1">
        <v>2002</v>
      </c>
      <c r="Q397" s="12" t="s">
        <v>323</v>
      </c>
      <c r="R397" s="1" t="s">
        <v>340</v>
      </c>
      <c r="S397" s="1" t="s">
        <v>340</v>
      </c>
    </row>
    <row r="398" spans="15:19" x14ac:dyDescent="0.2">
      <c r="O398" s="1" t="s">
        <v>10</v>
      </c>
      <c r="P398" s="1">
        <v>2002</v>
      </c>
      <c r="Q398" s="12" t="s">
        <v>323</v>
      </c>
      <c r="R398" s="1" t="s">
        <v>407</v>
      </c>
      <c r="S398" s="1" t="s">
        <v>407</v>
      </c>
    </row>
    <row r="399" spans="15:19" x14ac:dyDescent="0.2">
      <c r="O399" s="1" t="s">
        <v>10</v>
      </c>
      <c r="P399" s="1">
        <v>2002</v>
      </c>
      <c r="Q399" s="12" t="s">
        <v>323</v>
      </c>
      <c r="R399" s="1" t="s">
        <v>23</v>
      </c>
      <c r="S399" s="1" t="s">
        <v>23</v>
      </c>
    </row>
    <row r="400" spans="15:19" x14ac:dyDescent="0.2">
      <c r="O400" s="1" t="s">
        <v>10</v>
      </c>
      <c r="P400" s="1">
        <v>2002</v>
      </c>
      <c r="Q400" s="12" t="s">
        <v>323</v>
      </c>
      <c r="R400" s="1" t="s">
        <v>22</v>
      </c>
      <c r="S400" s="1" t="s">
        <v>22</v>
      </c>
    </row>
    <row r="401" spans="15:19" x14ac:dyDescent="0.2">
      <c r="O401" s="1" t="s">
        <v>10</v>
      </c>
      <c r="P401" s="1">
        <v>2002</v>
      </c>
      <c r="Q401" s="12" t="s">
        <v>323</v>
      </c>
      <c r="R401" s="1" t="s">
        <v>134</v>
      </c>
      <c r="S401" s="1" t="s">
        <v>134</v>
      </c>
    </row>
    <row r="402" spans="15:19" x14ac:dyDescent="0.2">
      <c r="O402" s="1" t="s">
        <v>10</v>
      </c>
      <c r="P402" s="1">
        <v>2002</v>
      </c>
      <c r="Q402" s="12" t="s">
        <v>323</v>
      </c>
      <c r="R402" s="1" t="s">
        <v>49</v>
      </c>
      <c r="S402" s="1" t="s">
        <v>49</v>
      </c>
    </row>
    <row r="403" spans="15:19" x14ac:dyDescent="0.2">
      <c r="O403" s="1" t="s">
        <v>10</v>
      </c>
      <c r="P403" s="1">
        <v>2002</v>
      </c>
      <c r="Q403" s="12" t="s">
        <v>74</v>
      </c>
      <c r="R403" s="1" t="s">
        <v>27</v>
      </c>
      <c r="S403" s="1" t="s">
        <v>27</v>
      </c>
    </row>
    <row r="404" spans="15:19" x14ac:dyDescent="0.2">
      <c r="O404" s="1" t="s">
        <v>10</v>
      </c>
      <c r="P404" s="1">
        <v>2002</v>
      </c>
      <c r="Q404" s="12" t="s">
        <v>74</v>
      </c>
      <c r="R404" s="1" t="s">
        <v>22</v>
      </c>
      <c r="S404" s="1" t="s">
        <v>22</v>
      </c>
    </row>
    <row r="405" spans="15:19" x14ac:dyDescent="0.2">
      <c r="O405" s="1" t="s">
        <v>10</v>
      </c>
      <c r="P405" s="1">
        <v>2002</v>
      </c>
      <c r="Q405" s="12" t="s">
        <v>74</v>
      </c>
      <c r="R405" s="1" t="s">
        <v>134</v>
      </c>
      <c r="S405" s="1" t="s">
        <v>134</v>
      </c>
    </row>
    <row r="406" spans="15:19" x14ac:dyDescent="0.2">
      <c r="O406" s="1" t="s">
        <v>10</v>
      </c>
      <c r="P406" s="1">
        <v>2002</v>
      </c>
      <c r="Q406" s="12" t="s">
        <v>74</v>
      </c>
      <c r="R406" s="1" t="s">
        <v>135</v>
      </c>
      <c r="S406" s="1" t="s">
        <v>135</v>
      </c>
    </row>
    <row r="407" spans="15:19" x14ac:dyDescent="0.2">
      <c r="O407" s="1" t="s">
        <v>10</v>
      </c>
      <c r="P407" s="1">
        <v>2002</v>
      </c>
      <c r="Q407" s="12" t="s">
        <v>42</v>
      </c>
      <c r="R407" s="1" t="s">
        <v>135</v>
      </c>
      <c r="S407" s="1" t="s">
        <v>135</v>
      </c>
    </row>
    <row r="408" spans="15:19" x14ac:dyDescent="0.2">
      <c r="O408" s="1" t="s">
        <v>10</v>
      </c>
      <c r="P408" s="1">
        <v>2002</v>
      </c>
      <c r="Q408" s="12" t="s">
        <v>42</v>
      </c>
      <c r="R408" s="1" t="s">
        <v>134</v>
      </c>
      <c r="S408" s="1" t="s">
        <v>134</v>
      </c>
    </row>
    <row r="409" spans="15:19" x14ac:dyDescent="0.2">
      <c r="O409" s="1" t="s">
        <v>10</v>
      </c>
      <c r="P409" s="1">
        <v>2002</v>
      </c>
      <c r="Q409" s="12" t="s">
        <v>452</v>
      </c>
      <c r="R409" s="1" t="s">
        <v>134</v>
      </c>
      <c r="S409" s="1" t="s">
        <v>134</v>
      </c>
    </row>
    <row r="410" spans="15:19" x14ac:dyDescent="0.2">
      <c r="O410" s="1" t="s">
        <v>10</v>
      </c>
      <c r="P410" s="1">
        <v>2002</v>
      </c>
      <c r="Q410" s="12" t="s">
        <v>44</v>
      </c>
      <c r="R410" s="1" t="s">
        <v>27</v>
      </c>
      <c r="S410" s="1" t="s">
        <v>27</v>
      </c>
    </row>
    <row r="411" spans="15:19" x14ac:dyDescent="0.2">
      <c r="O411" s="1" t="s">
        <v>10</v>
      </c>
      <c r="P411" s="1">
        <v>2006</v>
      </c>
      <c r="Q411" s="12" t="s">
        <v>323</v>
      </c>
      <c r="R411" s="1" t="s">
        <v>62</v>
      </c>
      <c r="S411" s="1" t="s">
        <v>62</v>
      </c>
    </row>
    <row r="412" spans="15:19" x14ac:dyDescent="0.2">
      <c r="O412" s="1" t="s">
        <v>10</v>
      </c>
      <c r="P412" s="1">
        <v>2006</v>
      </c>
      <c r="Q412" s="12" t="s">
        <v>323</v>
      </c>
      <c r="R412" s="1" t="s">
        <v>18</v>
      </c>
      <c r="S412" s="1" t="s">
        <v>18</v>
      </c>
    </row>
    <row r="413" spans="15:19" x14ac:dyDescent="0.2">
      <c r="O413" s="1" t="s">
        <v>10</v>
      </c>
      <c r="P413" s="1">
        <v>2006</v>
      </c>
      <c r="Q413" s="12" t="s">
        <v>323</v>
      </c>
      <c r="R413" s="1" t="s">
        <v>423</v>
      </c>
      <c r="S413" s="1" t="s">
        <v>423</v>
      </c>
    </row>
    <row r="414" spans="15:19" x14ac:dyDescent="0.2">
      <c r="O414" s="1" t="s">
        <v>10</v>
      </c>
      <c r="P414" s="1">
        <v>2006</v>
      </c>
      <c r="Q414" s="12" t="s">
        <v>323</v>
      </c>
      <c r="R414" s="1" t="s">
        <v>59</v>
      </c>
      <c r="S414" s="1" t="s">
        <v>59</v>
      </c>
    </row>
    <row r="415" spans="15:19" x14ac:dyDescent="0.2">
      <c r="O415" s="1" t="s">
        <v>10</v>
      </c>
      <c r="P415" s="1">
        <v>2006</v>
      </c>
      <c r="Q415" s="12" t="s">
        <v>323</v>
      </c>
      <c r="R415" s="1" t="s">
        <v>227</v>
      </c>
      <c r="S415" s="1" t="s">
        <v>227</v>
      </c>
    </row>
    <row r="416" spans="15:19" x14ac:dyDescent="0.2">
      <c r="O416" s="1" t="s">
        <v>10</v>
      </c>
      <c r="P416" s="1">
        <v>2006</v>
      </c>
      <c r="Q416" s="12" t="s">
        <v>323</v>
      </c>
      <c r="R416" s="1" t="s">
        <v>476</v>
      </c>
      <c r="S416" s="1" t="s">
        <v>476</v>
      </c>
    </row>
    <row r="417" spans="15:19" x14ac:dyDescent="0.2">
      <c r="O417" s="1" t="s">
        <v>10</v>
      </c>
      <c r="P417" s="1">
        <v>2006</v>
      </c>
      <c r="Q417" s="12" t="s">
        <v>323</v>
      </c>
      <c r="R417" s="1" t="s">
        <v>472</v>
      </c>
      <c r="S417" s="1" t="s">
        <v>472</v>
      </c>
    </row>
    <row r="418" spans="15:19" x14ac:dyDescent="0.2">
      <c r="O418" s="1" t="s">
        <v>10</v>
      </c>
      <c r="P418" s="1">
        <v>2006</v>
      </c>
      <c r="Q418" s="12" t="s">
        <v>323</v>
      </c>
      <c r="R418" s="1" t="s">
        <v>17</v>
      </c>
      <c r="S418" s="1" t="s">
        <v>17</v>
      </c>
    </row>
    <row r="419" spans="15:19" x14ac:dyDescent="0.2">
      <c r="O419" s="1" t="s">
        <v>10</v>
      </c>
      <c r="P419" s="1">
        <v>2006</v>
      </c>
      <c r="Q419" s="12" t="s">
        <v>74</v>
      </c>
      <c r="R419" s="1" t="s">
        <v>33</v>
      </c>
      <c r="S419" s="1" t="s">
        <v>33</v>
      </c>
    </row>
    <row r="420" spans="15:19" x14ac:dyDescent="0.2">
      <c r="O420" s="1" t="s">
        <v>10</v>
      </c>
      <c r="P420" s="1">
        <v>2006</v>
      </c>
      <c r="Q420" s="12" t="s">
        <v>74</v>
      </c>
      <c r="R420" s="1" t="s">
        <v>476</v>
      </c>
      <c r="S420" s="1" t="s">
        <v>476</v>
      </c>
    </row>
    <row r="421" spans="15:19" x14ac:dyDescent="0.2">
      <c r="O421" s="1" t="s">
        <v>10</v>
      </c>
      <c r="P421" s="1">
        <v>2006</v>
      </c>
      <c r="Q421" s="12" t="s">
        <v>74</v>
      </c>
      <c r="R421" s="1" t="s">
        <v>197</v>
      </c>
      <c r="S421" s="1" t="s">
        <v>197</v>
      </c>
    </row>
    <row r="422" spans="15:19" x14ac:dyDescent="0.2">
      <c r="O422" s="1" t="s">
        <v>10</v>
      </c>
      <c r="P422" s="1">
        <v>2006</v>
      </c>
      <c r="Q422" s="12" t="s">
        <v>74</v>
      </c>
      <c r="R422" s="1" t="s">
        <v>17</v>
      </c>
      <c r="S422" s="1" t="s">
        <v>17</v>
      </c>
    </row>
    <row r="423" spans="15:19" x14ac:dyDescent="0.2">
      <c r="O423" s="1" t="s">
        <v>10</v>
      </c>
      <c r="P423" s="1">
        <v>2006</v>
      </c>
      <c r="Q423" s="12" t="s">
        <v>42</v>
      </c>
      <c r="R423" s="1" t="s">
        <v>49</v>
      </c>
      <c r="S423" s="1" t="s">
        <v>49</v>
      </c>
    </row>
    <row r="424" spans="15:19" x14ac:dyDescent="0.2">
      <c r="O424" s="1" t="s">
        <v>10</v>
      </c>
      <c r="P424" s="1">
        <v>2006</v>
      </c>
      <c r="Q424" s="12" t="s">
        <v>42</v>
      </c>
      <c r="R424" s="1" t="s">
        <v>17</v>
      </c>
      <c r="S424" s="1" t="s">
        <v>17</v>
      </c>
    </row>
    <row r="425" spans="15:19" x14ac:dyDescent="0.2">
      <c r="O425" s="1" t="s">
        <v>10</v>
      </c>
      <c r="P425" s="1">
        <v>2006</v>
      </c>
      <c r="Q425" s="12" t="s">
        <v>452</v>
      </c>
      <c r="R425" s="1" t="s">
        <v>197</v>
      </c>
      <c r="S425" s="1" t="s">
        <v>197</v>
      </c>
    </row>
    <row r="426" spans="15:19" x14ac:dyDescent="0.2">
      <c r="O426" s="1" t="s">
        <v>10</v>
      </c>
      <c r="P426" s="1">
        <v>2006</v>
      </c>
      <c r="Q426" s="12" t="s">
        <v>44</v>
      </c>
      <c r="R426" s="1" t="s">
        <v>17</v>
      </c>
      <c r="S426" s="1" t="s">
        <v>17</v>
      </c>
    </row>
    <row r="427" spans="15:19" x14ac:dyDescent="0.2">
      <c r="O427" s="1" t="s">
        <v>10</v>
      </c>
      <c r="P427" s="1">
        <v>2010</v>
      </c>
      <c r="Q427" s="12" t="s">
        <v>323</v>
      </c>
      <c r="R427" s="1" t="s">
        <v>135</v>
      </c>
      <c r="S427" s="1" t="s">
        <v>135</v>
      </c>
    </row>
    <row r="428" spans="15:19" x14ac:dyDescent="0.2">
      <c r="O428" s="1" t="s">
        <v>10</v>
      </c>
      <c r="P428" s="1">
        <v>2010</v>
      </c>
      <c r="Q428" s="12" t="s">
        <v>323</v>
      </c>
      <c r="R428" s="1" t="s">
        <v>472</v>
      </c>
      <c r="S428" s="1" t="s">
        <v>472</v>
      </c>
    </row>
    <row r="429" spans="15:19" x14ac:dyDescent="0.2">
      <c r="O429" s="1" t="s">
        <v>10</v>
      </c>
      <c r="P429" s="1">
        <v>2010</v>
      </c>
      <c r="Q429" s="12" t="s">
        <v>323</v>
      </c>
      <c r="R429" s="1" t="s">
        <v>110</v>
      </c>
      <c r="S429" s="1" t="s">
        <v>110</v>
      </c>
    </row>
    <row r="430" spans="15:19" x14ac:dyDescent="0.2">
      <c r="O430" s="1" t="s">
        <v>10</v>
      </c>
      <c r="P430" s="1">
        <v>2010</v>
      </c>
      <c r="Q430" s="12" t="s">
        <v>323</v>
      </c>
      <c r="R430" s="1" t="s">
        <v>18</v>
      </c>
      <c r="S430" s="1" t="s">
        <v>18</v>
      </c>
    </row>
    <row r="431" spans="15:19" x14ac:dyDescent="0.2">
      <c r="O431" s="1" t="s">
        <v>10</v>
      </c>
      <c r="P431" s="1">
        <v>2010</v>
      </c>
      <c r="Q431" s="12" t="s">
        <v>323</v>
      </c>
      <c r="R431" s="1" t="s">
        <v>499</v>
      </c>
      <c r="S431" s="1" t="s">
        <v>499</v>
      </c>
    </row>
    <row r="432" spans="15:19" x14ac:dyDescent="0.2">
      <c r="O432" s="1" t="s">
        <v>10</v>
      </c>
      <c r="P432" s="1">
        <v>2010</v>
      </c>
      <c r="Q432" s="12" t="s">
        <v>323</v>
      </c>
      <c r="R432" s="1" t="s">
        <v>35</v>
      </c>
      <c r="S432" s="1" t="s">
        <v>35</v>
      </c>
    </row>
    <row r="433" spans="15:19" x14ac:dyDescent="0.2">
      <c r="O433" s="1" t="s">
        <v>10</v>
      </c>
      <c r="P433" s="1">
        <v>2010</v>
      </c>
      <c r="Q433" s="12" t="s">
        <v>323</v>
      </c>
      <c r="R433" s="1" t="s">
        <v>395</v>
      </c>
      <c r="S433" s="1" t="s">
        <v>395</v>
      </c>
    </row>
    <row r="434" spans="15:19" x14ac:dyDescent="0.2">
      <c r="O434" s="1" t="s">
        <v>10</v>
      </c>
      <c r="P434" s="1">
        <v>2010</v>
      </c>
      <c r="Q434" s="12" t="s">
        <v>323</v>
      </c>
      <c r="R434" s="1" t="s">
        <v>197</v>
      </c>
      <c r="S434" s="1" t="s">
        <v>197</v>
      </c>
    </row>
    <row r="435" spans="15:19" x14ac:dyDescent="0.2">
      <c r="O435" s="1" t="s">
        <v>10</v>
      </c>
      <c r="P435" s="1">
        <v>2010</v>
      </c>
      <c r="Q435" s="12" t="s">
        <v>74</v>
      </c>
      <c r="R435" s="1" t="s">
        <v>27</v>
      </c>
      <c r="S435" s="1" t="s">
        <v>27</v>
      </c>
    </row>
    <row r="436" spans="15:19" x14ac:dyDescent="0.2">
      <c r="O436" s="1" t="s">
        <v>10</v>
      </c>
      <c r="P436" s="1">
        <v>2010</v>
      </c>
      <c r="Q436" s="12" t="s">
        <v>74</v>
      </c>
      <c r="R436" s="1" t="s">
        <v>472</v>
      </c>
      <c r="S436" s="1" t="s">
        <v>472</v>
      </c>
    </row>
    <row r="437" spans="15:19" x14ac:dyDescent="0.2">
      <c r="O437" s="1" t="s">
        <v>10</v>
      </c>
      <c r="P437" s="1">
        <v>2010</v>
      </c>
      <c r="Q437" s="12" t="s">
        <v>74</v>
      </c>
      <c r="R437" s="1" t="s">
        <v>65</v>
      </c>
      <c r="S437" s="1" t="s">
        <v>65</v>
      </c>
    </row>
    <row r="438" spans="15:19" x14ac:dyDescent="0.2">
      <c r="O438" s="1" t="s">
        <v>10</v>
      </c>
      <c r="P438" s="1">
        <v>2010</v>
      </c>
      <c r="Q438" s="12" t="s">
        <v>74</v>
      </c>
      <c r="R438" s="1" t="s">
        <v>68</v>
      </c>
      <c r="S438" s="1" t="s">
        <v>68</v>
      </c>
    </row>
    <row r="439" spans="15:19" x14ac:dyDescent="0.2">
      <c r="O439" s="1" t="s">
        <v>10</v>
      </c>
      <c r="P439" s="1">
        <v>2010</v>
      </c>
      <c r="Q439" s="12" t="s">
        <v>42</v>
      </c>
      <c r="R439" s="1" t="s">
        <v>59</v>
      </c>
      <c r="S439" s="1" t="s">
        <v>59</v>
      </c>
    </row>
    <row r="440" spans="15:19" x14ac:dyDescent="0.2">
      <c r="O440" s="1" t="s">
        <v>10</v>
      </c>
      <c r="P440" s="1">
        <v>2010</v>
      </c>
      <c r="Q440" s="12" t="s">
        <v>42</v>
      </c>
      <c r="R440" s="1" t="s">
        <v>68</v>
      </c>
      <c r="S440" s="1" t="s">
        <v>68</v>
      </c>
    </row>
    <row r="441" spans="15:19" x14ac:dyDescent="0.2">
      <c r="O441" s="1" t="s">
        <v>10</v>
      </c>
      <c r="P441" s="1">
        <v>2010</v>
      </c>
      <c r="Q441" s="12" t="s">
        <v>76</v>
      </c>
      <c r="R441" s="1" t="s">
        <v>65</v>
      </c>
      <c r="S441" s="1" t="s">
        <v>65</v>
      </c>
    </row>
    <row r="442" spans="15:19" x14ac:dyDescent="0.2">
      <c r="O442" s="1" t="s">
        <v>10</v>
      </c>
      <c r="P442" s="1">
        <v>2010</v>
      </c>
      <c r="Q442" s="12" t="s">
        <v>44</v>
      </c>
      <c r="R442" s="1" t="s">
        <v>68</v>
      </c>
      <c r="S442" s="1" t="s">
        <v>68</v>
      </c>
    </row>
    <row r="443" spans="15:19" x14ac:dyDescent="0.2">
      <c r="O443" s="1" t="s">
        <v>10</v>
      </c>
      <c r="P443" s="1">
        <v>2014</v>
      </c>
      <c r="Q443" s="12" t="s">
        <v>323</v>
      </c>
      <c r="R443" s="1" t="s">
        <v>35</v>
      </c>
      <c r="S443" s="1" t="s">
        <v>35</v>
      </c>
    </row>
    <row r="444" spans="15:19" x14ac:dyDescent="0.2">
      <c r="O444" s="1" t="s">
        <v>10</v>
      </c>
      <c r="P444" s="1">
        <v>2014</v>
      </c>
      <c r="Q444" s="12" t="s">
        <v>323</v>
      </c>
      <c r="R444" s="1" t="s">
        <v>16</v>
      </c>
      <c r="S444" s="1" t="s">
        <v>16</v>
      </c>
    </row>
    <row r="445" spans="15:19" x14ac:dyDescent="0.2">
      <c r="O445" s="1" t="s">
        <v>10</v>
      </c>
      <c r="P445" s="1">
        <v>2014</v>
      </c>
      <c r="Q445" s="12" t="s">
        <v>323</v>
      </c>
      <c r="R445" s="1" t="s">
        <v>378</v>
      </c>
      <c r="S445" s="1" t="s">
        <v>378</v>
      </c>
    </row>
    <row r="446" spans="15:19" x14ac:dyDescent="0.2">
      <c r="O446" s="1" t="s">
        <v>10</v>
      </c>
      <c r="P446" s="1">
        <v>2014</v>
      </c>
      <c r="Q446" s="12" t="s">
        <v>323</v>
      </c>
      <c r="R446" s="1" t="s">
        <v>281</v>
      </c>
      <c r="S446" s="1" t="s">
        <v>281</v>
      </c>
    </row>
    <row r="447" spans="15:19" x14ac:dyDescent="0.2">
      <c r="O447" s="1" t="s">
        <v>10</v>
      </c>
      <c r="P447" s="1">
        <v>2014</v>
      </c>
      <c r="Q447" s="12" t="s">
        <v>74</v>
      </c>
      <c r="R447" s="1" t="s">
        <v>177</v>
      </c>
      <c r="S447" s="1" t="s">
        <v>177</v>
      </c>
    </row>
    <row r="448" spans="15:19" x14ac:dyDescent="0.2">
      <c r="O448" s="1" t="s">
        <v>10</v>
      </c>
      <c r="P448" s="1">
        <v>2014</v>
      </c>
      <c r="Q448" s="12" t="s">
        <v>74</v>
      </c>
      <c r="R448" s="1" t="s">
        <v>65</v>
      </c>
      <c r="S448" s="1" t="s">
        <v>65</v>
      </c>
    </row>
    <row r="449" spans="15:19" x14ac:dyDescent="0.2">
      <c r="O449" s="1" t="s">
        <v>10</v>
      </c>
      <c r="P449" s="1">
        <v>2014</v>
      </c>
      <c r="Q449" s="12" t="s">
        <v>42</v>
      </c>
      <c r="R449" s="1" t="s">
        <v>65</v>
      </c>
      <c r="S449" s="1" t="s">
        <v>65</v>
      </c>
    </row>
    <row r="450" spans="15:19" x14ac:dyDescent="0.2">
      <c r="O450" s="1" t="s">
        <v>10</v>
      </c>
      <c r="P450" s="1">
        <v>2014</v>
      </c>
      <c r="Q450" s="12" t="s">
        <v>527</v>
      </c>
      <c r="R450" s="1" t="s">
        <v>59</v>
      </c>
      <c r="S450" s="1" t="s">
        <v>59</v>
      </c>
    </row>
    <row r="451" spans="15:19" x14ac:dyDescent="0.2">
      <c r="O451" s="1" t="s">
        <v>10</v>
      </c>
      <c r="P451" s="1">
        <v>2014</v>
      </c>
      <c r="Q451" s="12" t="s">
        <v>44</v>
      </c>
      <c r="R451" s="1" t="s">
        <v>33</v>
      </c>
      <c r="S451" s="1" t="s">
        <v>33</v>
      </c>
    </row>
    <row r="452" spans="15:19" x14ac:dyDescent="0.2">
      <c r="O452" s="1" t="s">
        <v>10</v>
      </c>
      <c r="P452" s="1">
        <v>2014</v>
      </c>
      <c r="Q452" s="12" t="s">
        <v>42</v>
      </c>
      <c r="R452" s="1" t="s">
        <v>33</v>
      </c>
      <c r="S452" s="1" t="s">
        <v>33</v>
      </c>
    </row>
    <row r="453" spans="15:19" x14ac:dyDescent="0.2">
      <c r="O453" s="1" t="s">
        <v>10</v>
      </c>
      <c r="P453" s="1">
        <v>2014</v>
      </c>
      <c r="Q453" s="12" t="s">
        <v>74</v>
      </c>
      <c r="R453" s="1" t="s">
        <v>337</v>
      </c>
      <c r="S453" s="1" t="s">
        <v>337</v>
      </c>
    </row>
    <row r="454" spans="15:19" x14ac:dyDescent="0.2">
      <c r="O454" s="1" t="s">
        <v>10</v>
      </c>
      <c r="P454" s="1">
        <v>2014</v>
      </c>
      <c r="Q454" s="12" t="s">
        <v>74</v>
      </c>
      <c r="R454" s="1" t="s">
        <v>23</v>
      </c>
      <c r="S454" s="1" t="s">
        <v>23</v>
      </c>
    </row>
    <row r="455" spans="15:19" x14ac:dyDescent="0.2">
      <c r="O455" s="1" t="s">
        <v>10</v>
      </c>
      <c r="P455" s="1">
        <v>2014</v>
      </c>
      <c r="Q455" s="12" t="s">
        <v>323</v>
      </c>
      <c r="R455" s="1" t="s">
        <v>18</v>
      </c>
      <c r="S455" s="1" t="s">
        <v>18</v>
      </c>
    </row>
    <row r="456" spans="15:19" x14ac:dyDescent="0.2">
      <c r="O456" s="1" t="s">
        <v>10</v>
      </c>
      <c r="P456" s="1">
        <v>2014</v>
      </c>
      <c r="Q456" s="12" t="s">
        <v>323</v>
      </c>
      <c r="R456" s="1" t="s">
        <v>377</v>
      </c>
      <c r="S456" s="1" t="s">
        <v>377</v>
      </c>
    </row>
    <row r="457" spans="15:19" x14ac:dyDescent="0.2">
      <c r="O457" s="1" t="s">
        <v>10</v>
      </c>
      <c r="P457" s="1">
        <v>2014</v>
      </c>
      <c r="Q457" s="12" t="s">
        <v>323</v>
      </c>
      <c r="R457" s="1" t="s">
        <v>58</v>
      </c>
      <c r="S457" s="1" t="s">
        <v>58</v>
      </c>
    </row>
    <row r="458" spans="15:19" x14ac:dyDescent="0.2">
      <c r="O458" s="1" t="s">
        <v>10</v>
      </c>
      <c r="P458" s="1">
        <v>2014</v>
      </c>
      <c r="Q458" s="12" t="s">
        <v>323</v>
      </c>
      <c r="R458" s="1" t="s">
        <v>22</v>
      </c>
      <c r="S458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AC9C-4993-064C-9844-BA27EF28CC1B}">
  <dimension ref="A1:N119"/>
  <sheetViews>
    <sheetView zoomScale="125" workbookViewId="0">
      <selection activeCell="C21" sqref="C21"/>
    </sheetView>
  </sheetViews>
  <sheetFormatPr baseColWidth="10" defaultRowHeight="16" x14ac:dyDescent="0.2"/>
  <cols>
    <col min="1" max="2" width="10.83203125" style="1"/>
    <col min="4" max="4" width="12.1640625" bestFit="1" customWidth="1"/>
    <col min="5" max="5" width="12.33203125" bestFit="1" customWidth="1"/>
    <col min="6" max="6" width="6.6640625" bestFit="1" customWidth="1"/>
    <col min="8" max="8" width="12.1640625" bestFit="1" customWidth="1"/>
    <col min="12" max="12" width="17.1640625" bestFit="1" customWidth="1"/>
    <col min="13" max="13" width="12.33203125" bestFit="1" customWidth="1"/>
    <col min="14" max="14" width="6" style="1" bestFit="1" customWidth="1"/>
  </cols>
  <sheetData>
    <row r="1" spans="1:14" ht="18" x14ac:dyDescent="0.2">
      <c r="A1" s="4" t="s">
        <v>619</v>
      </c>
    </row>
    <row r="3" spans="1:14" x14ac:dyDescent="0.2">
      <c r="A3" s="24" t="s">
        <v>6</v>
      </c>
      <c r="B3" s="24" t="s">
        <v>622</v>
      </c>
    </row>
    <row r="4" spans="1:14" x14ac:dyDescent="0.2">
      <c r="A4" s="22" t="s">
        <v>54</v>
      </c>
      <c r="B4" s="23">
        <f>AVERAGE(E6:E37)</f>
        <v>2.71875</v>
      </c>
    </row>
    <row r="5" spans="1:14" x14ac:dyDescent="0.2">
      <c r="A5" s="22" t="s">
        <v>27</v>
      </c>
      <c r="B5" s="23">
        <f>AVERAGE(I6:I109)</f>
        <v>2.125</v>
      </c>
      <c r="D5" s="3" t="s">
        <v>7</v>
      </c>
      <c r="E5" s="3" t="s">
        <v>544</v>
      </c>
      <c r="F5" s="3" t="s">
        <v>543</v>
      </c>
      <c r="H5" s="3" t="s">
        <v>7</v>
      </c>
      <c r="I5" s="3" t="s">
        <v>544</v>
      </c>
      <c r="J5" s="3" t="s">
        <v>543</v>
      </c>
      <c r="L5" s="3" t="s">
        <v>7</v>
      </c>
      <c r="M5" s="3" t="s">
        <v>544</v>
      </c>
      <c r="N5" s="3" t="s">
        <v>543</v>
      </c>
    </row>
    <row r="6" spans="1:14" x14ac:dyDescent="0.2">
      <c r="A6" s="22" t="s">
        <v>65</v>
      </c>
      <c r="B6" s="23">
        <f>AVERAGE(M6:M119)</f>
        <v>2.0350877192982457</v>
      </c>
      <c r="D6" s="1" t="s">
        <v>54</v>
      </c>
      <c r="E6" s="1">
        <v>4</v>
      </c>
      <c r="F6" s="1" t="s">
        <v>620</v>
      </c>
      <c r="H6" s="1" t="s">
        <v>27</v>
      </c>
      <c r="I6" s="1">
        <v>4</v>
      </c>
      <c r="J6" s="1" t="s">
        <v>620</v>
      </c>
      <c r="L6" s="1" t="s">
        <v>65</v>
      </c>
      <c r="M6" s="1">
        <v>5</v>
      </c>
      <c r="N6" s="1" t="s">
        <v>620</v>
      </c>
    </row>
    <row r="7" spans="1:14" x14ac:dyDescent="0.2">
      <c r="D7" s="1" t="s">
        <v>54</v>
      </c>
      <c r="E7" s="1">
        <v>6</v>
      </c>
      <c r="F7" s="1" t="s">
        <v>620</v>
      </c>
      <c r="H7" s="1" t="s">
        <v>27</v>
      </c>
      <c r="I7" s="1">
        <v>6</v>
      </c>
      <c r="J7" s="1" t="s">
        <v>620</v>
      </c>
      <c r="L7" s="1" t="s">
        <v>65</v>
      </c>
      <c r="M7" s="1">
        <v>2</v>
      </c>
      <c r="N7" s="1" t="s">
        <v>620</v>
      </c>
    </row>
    <row r="8" spans="1:14" x14ac:dyDescent="0.2">
      <c r="D8" s="1" t="s">
        <v>54</v>
      </c>
      <c r="E8" s="1">
        <v>2</v>
      </c>
      <c r="F8" s="1" t="s">
        <v>620</v>
      </c>
      <c r="H8" s="1" t="s">
        <v>27</v>
      </c>
      <c r="I8" s="1">
        <v>1</v>
      </c>
      <c r="J8" s="1" t="s">
        <v>620</v>
      </c>
      <c r="L8" s="1" t="s">
        <v>65</v>
      </c>
      <c r="M8" s="1">
        <v>3</v>
      </c>
      <c r="N8" s="1" t="s">
        <v>620</v>
      </c>
    </row>
    <row r="9" spans="1:14" x14ac:dyDescent="0.2">
      <c r="D9" s="1" t="s">
        <v>54</v>
      </c>
      <c r="E9" s="1">
        <v>5</v>
      </c>
      <c r="F9" s="1" t="s">
        <v>620</v>
      </c>
      <c r="H9" s="1" t="s">
        <v>27</v>
      </c>
      <c r="I9" s="1">
        <v>2</v>
      </c>
      <c r="J9" s="1" t="s">
        <v>620</v>
      </c>
      <c r="L9" s="1" t="s">
        <v>133</v>
      </c>
      <c r="M9" s="1">
        <v>4</v>
      </c>
      <c r="N9" s="1" t="s">
        <v>620</v>
      </c>
    </row>
    <row r="10" spans="1:14" x14ac:dyDescent="0.2">
      <c r="D10" s="1" t="s">
        <v>54</v>
      </c>
      <c r="E10" s="1">
        <v>9</v>
      </c>
      <c r="F10" s="1" t="s">
        <v>620</v>
      </c>
      <c r="H10" s="1" t="s">
        <v>27</v>
      </c>
      <c r="I10" s="1">
        <v>4</v>
      </c>
      <c r="J10" s="1" t="s">
        <v>620</v>
      </c>
      <c r="L10" s="1" t="s">
        <v>133</v>
      </c>
      <c r="M10" s="1">
        <v>7</v>
      </c>
      <c r="N10" s="1" t="s">
        <v>620</v>
      </c>
    </row>
    <row r="11" spans="1:14" x14ac:dyDescent="0.2">
      <c r="D11" s="1" t="s">
        <v>54</v>
      </c>
      <c r="E11" s="1">
        <v>8</v>
      </c>
      <c r="F11" s="1" t="s">
        <v>620</v>
      </c>
      <c r="H11" s="1" t="s">
        <v>27</v>
      </c>
      <c r="I11" s="1">
        <v>4</v>
      </c>
      <c r="J11" s="1" t="s">
        <v>620</v>
      </c>
      <c r="L11" s="1" t="s">
        <v>133</v>
      </c>
      <c r="M11" s="1">
        <v>2</v>
      </c>
      <c r="N11" s="1" t="s">
        <v>620</v>
      </c>
    </row>
    <row r="12" spans="1:14" x14ac:dyDescent="0.2">
      <c r="D12" s="1" t="s">
        <v>54</v>
      </c>
      <c r="E12" s="1">
        <v>4</v>
      </c>
      <c r="F12" s="1" t="s">
        <v>620</v>
      </c>
      <c r="H12" s="1" t="s">
        <v>27</v>
      </c>
      <c r="I12" s="1">
        <v>2</v>
      </c>
      <c r="J12" s="1" t="s">
        <v>620</v>
      </c>
      <c r="L12" s="1" t="s">
        <v>133</v>
      </c>
      <c r="M12" s="1">
        <v>6</v>
      </c>
      <c r="N12" s="1" t="s">
        <v>620</v>
      </c>
    </row>
    <row r="13" spans="1:14" x14ac:dyDescent="0.2">
      <c r="D13" s="1" t="s">
        <v>54</v>
      </c>
      <c r="E13" s="1">
        <v>4</v>
      </c>
      <c r="F13" s="1" t="s">
        <v>620</v>
      </c>
      <c r="H13" s="1" t="s">
        <v>27</v>
      </c>
      <c r="I13" s="1">
        <v>2</v>
      </c>
      <c r="J13" s="1" t="s">
        <v>620</v>
      </c>
      <c r="L13" s="1" t="s">
        <v>133</v>
      </c>
      <c r="M13" s="1">
        <v>3</v>
      </c>
      <c r="N13" s="1" t="s">
        <v>620</v>
      </c>
    </row>
    <row r="14" spans="1:14" x14ac:dyDescent="0.2">
      <c r="D14" s="1" t="s">
        <v>54</v>
      </c>
      <c r="E14" s="1">
        <v>1</v>
      </c>
      <c r="F14" s="1" t="s">
        <v>620</v>
      </c>
      <c r="H14" s="1" t="s">
        <v>27</v>
      </c>
      <c r="I14" s="1">
        <v>7</v>
      </c>
      <c r="J14" s="1" t="s">
        <v>620</v>
      </c>
      <c r="L14" s="1" t="s">
        <v>133</v>
      </c>
      <c r="M14" s="1">
        <v>2</v>
      </c>
      <c r="N14" s="1" t="s">
        <v>620</v>
      </c>
    </row>
    <row r="15" spans="1:14" x14ac:dyDescent="0.2">
      <c r="D15" s="1" t="s">
        <v>54</v>
      </c>
      <c r="E15" s="1">
        <v>4</v>
      </c>
      <c r="F15" s="1" t="s">
        <v>620</v>
      </c>
      <c r="H15" s="1" t="s">
        <v>27</v>
      </c>
      <c r="I15" s="1">
        <v>6</v>
      </c>
      <c r="J15" s="1" t="s">
        <v>620</v>
      </c>
      <c r="L15" s="1" t="s">
        <v>133</v>
      </c>
      <c r="M15" s="1">
        <v>2</v>
      </c>
      <c r="N15" s="1" t="s">
        <v>620</v>
      </c>
    </row>
    <row r="16" spans="1:14" x14ac:dyDescent="0.2">
      <c r="D16" s="1" t="s">
        <v>54</v>
      </c>
      <c r="E16" s="1">
        <v>2</v>
      </c>
      <c r="F16" s="1" t="s">
        <v>620</v>
      </c>
      <c r="H16" s="1" t="s">
        <v>27</v>
      </c>
      <c r="I16" s="1">
        <v>5</v>
      </c>
      <c r="J16" s="1" t="s">
        <v>620</v>
      </c>
      <c r="L16" s="1" t="s">
        <v>133</v>
      </c>
      <c r="M16" s="1">
        <v>1</v>
      </c>
      <c r="N16" s="1" t="s">
        <v>620</v>
      </c>
    </row>
    <row r="17" spans="4:14" x14ac:dyDescent="0.2">
      <c r="D17" s="1" t="s">
        <v>54</v>
      </c>
      <c r="E17" s="1">
        <v>6</v>
      </c>
      <c r="F17" s="1" t="s">
        <v>620</v>
      </c>
      <c r="H17" s="1" t="s">
        <v>27</v>
      </c>
      <c r="I17" s="1">
        <v>1</v>
      </c>
      <c r="J17" s="1" t="s">
        <v>620</v>
      </c>
      <c r="L17" s="1" t="s">
        <v>133</v>
      </c>
      <c r="M17" s="1">
        <v>0</v>
      </c>
      <c r="N17" s="1" t="s">
        <v>620</v>
      </c>
    </row>
    <row r="18" spans="4:14" x14ac:dyDescent="0.2">
      <c r="D18" s="1" t="s">
        <v>54</v>
      </c>
      <c r="E18" s="1">
        <v>0</v>
      </c>
      <c r="F18" s="1" t="s">
        <v>620</v>
      </c>
      <c r="H18" s="1" t="s">
        <v>27</v>
      </c>
      <c r="I18" s="1">
        <v>3</v>
      </c>
      <c r="J18" s="1" t="s">
        <v>620</v>
      </c>
      <c r="L18" s="1" t="s">
        <v>133</v>
      </c>
      <c r="M18" s="1">
        <v>2</v>
      </c>
      <c r="N18" s="1" t="s">
        <v>620</v>
      </c>
    </row>
    <row r="19" spans="4:14" x14ac:dyDescent="0.2">
      <c r="D19" s="1" t="s">
        <v>54</v>
      </c>
      <c r="E19" s="1">
        <v>3</v>
      </c>
      <c r="F19" s="1" t="s">
        <v>620</v>
      </c>
      <c r="H19" s="1" t="s">
        <v>27</v>
      </c>
      <c r="I19" s="1">
        <v>0</v>
      </c>
      <c r="J19" s="1" t="s">
        <v>620</v>
      </c>
      <c r="L19" s="1" t="s">
        <v>133</v>
      </c>
      <c r="M19" s="1">
        <v>2</v>
      </c>
      <c r="N19" s="1" t="s">
        <v>620</v>
      </c>
    </row>
    <row r="20" spans="4:14" x14ac:dyDescent="0.2">
      <c r="D20" s="1" t="s">
        <v>54</v>
      </c>
      <c r="E20" s="1">
        <v>3</v>
      </c>
      <c r="F20" s="1" t="s">
        <v>620</v>
      </c>
      <c r="H20" s="1" t="s">
        <v>27</v>
      </c>
      <c r="I20" s="1">
        <v>2</v>
      </c>
      <c r="J20" s="1" t="s">
        <v>620</v>
      </c>
      <c r="L20" s="1" t="s">
        <v>133</v>
      </c>
      <c r="M20" s="1">
        <v>5</v>
      </c>
      <c r="N20" s="1" t="s">
        <v>620</v>
      </c>
    </row>
    <row r="21" spans="4:14" x14ac:dyDescent="0.2">
      <c r="D21" s="1" t="s">
        <v>54</v>
      </c>
      <c r="E21" s="1">
        <v>10</v>
      </c>
      <c r="F21" s="1" t="s">
        <v>620</v>
      </c>
      <c r="H21" s="1" t="s">
        <v>27</v>
      </c>
      <c r="I21" s="1">
        <v>1</v>
      </c>
      <c r="J21" s="1" t="s">
        <v>620</v>
      </c>
      <c r="L21" s="1" t="s">
        <v>133</v>
      </c>
      <c r="M21" s="1">
        <v>0</v>
      </c>
      <c r="N21" s="1" t="s">
        <v>620</v>
      </c>
    </row>
    <row r="22" spans="4:14" x14ac:dyDescent="0.2">
      <c r="D22" s="1" t="s">
        <v>54</v>
      </c>
      <c r="E22" s="1">
        <v>2</v>
      </c>
      <c r="F22" s="1" t="s">
        <v>620</v>
      </c>
      <c r="H22" s="1" t="s">
        <v>27</v>
      </c>
      <c r="I22" s="1">
        <v>5</v>
      </c>
      <c r="J22" s="1" t="s">
        <v>620</v>
      </c>
      <c r="L22" s="1" t="s">
        <v>133</v>
      </c>
      <c r="M22" s="1">
        <v>2</v>
      </c>
      <c r="N22" s="1" t="s">
        <v>620</v>
      </c>
    </row>
    <row r="23" spans="4:14" x14ac:dyDescent="0.2">
      <c r="D23" s="1" t="s">
        <v>54</v>
      </c>
      <c r="E23" s="1">
        <v>0</v>
      </c>
      <c r="F23" s="1" t="s">
        <v>620</v>
      </c>
      <c r="H23" s="1" t="s">
        <v>27</v>
      </c>
      <c r="I23" s="1">
        <v>5</v>
      </c>
      <c r="J23" s="1" t="s">
        <v>620</v>
      </c>
      <c r="L23" s="1" t="s">
        <v>133</v>
      </c>
      <c r="M23" s="1">
        <v>4</v>
      </c>
      <c r="N23" s="1" t="s">
        <v>620</v>
      </c>
    </row>
    <row r="24" spans="4:14" x14ac:dyDescent="0.2">
      <c r="D24" s="1" t="s">
        <v>54</v>
      </c>
      <c r="E24" s="1">
        <v>1</v>
      </c>
      <c r="F24" s="1" t="s">
        <v>621</v>
      </c>
      <c r="H24" s="1" t="s">
        <v>27</v>
      </c>
      <c r="I24" s="1">
        <v>2</v>
      </c>
      <c r="J24" s="1" t="s">
        <v>620</v>
      </c>
      <c r="L24" s="1" t="s">
        <v>133</v>
      </c>
      <c r="M24" s="1">
        <v>2</v>
      </c>
      <c r="N24" s="1" t="s">
        <v>620</v>
      </c>
    </row>
    <row r="25" spans="4:14" x14ac:dyDescent="0.2">
      <c r="D25" s="1" t="s">
        <v>54</v>
      </c>
      <c r="E25" s="1">
        <v>2</v>
      </c>
      <c r="F25" s="1" t="s">
        <v>621</v>
      </c>
      <c r="H25" s="1" t="s">
        <v>27</v>
      </c>
      <c r="I25" s="1">
        <v>0</v>
      </c>
      <c r="J25" s="1" t="s">
        <v>620</v>
      </c>
      <c r="L25" s="1" t="s">
        <v>133</v>
      </c>
      <c r="M25" s="1">
        <v>2</v>
      </c>
      <c r="N25" s="1" t="s">
        <v>620</v>
      </c>
    </row>
    <row r="26" spans="4:14" x14ac:dyDescent="0.2">
      <c r="D26" s="1" t="s">
        <v>54</v>
      </c>
      <c r="E26" s="1">
        <v>2</v>
      </c>
      <c r="F26" s="1" t="s">
        <v>621</v>
      </c>
      <c r="H26" s="1" t="s">
        <v>27</v>
      </c>
      <c r="I26" s="1">
        <v>2</v>
      </c>
      <c r="J26" s="1" t="s">
        <v>620</v>
      </c>
      <c r="L26" s="1" t="s">
        <v>133</v>
      </c>
      <c r="M26" s="1">
        <v>5</v>
      </c>
      <c r="N26" s="1" t="s">
        <v>620</v>
      </c>
    </row>
    <row r="27" spans="4:14" x14ac:dyDescent="0.2">
      <c r="D27" s="1" t="s">
        <v>54</v>
      </c>
      <c r="E27" s="1">
        <v>1</v>
      </c>
      <c r="F27" s="1" t="s">
        <v>621</v>
      </c>
      <c r="H27" s="1" t="s">
        <v>27</v>
      </c>
      <c r="I27" s="1">
        <v>3</v>
      </c>
      <c r="J27" s="1" t="s">
        <v>620</v>
      </c>
      <c r="L27" s="1" t="s">
        <v>133</v>
      </c>
      <c r="M27" s="1">
        <v>3</v>
      </c>
      <c r="N27" s="1" t="s">
        <v>620</v>
      </c>
    </row>
    <row r="28" spans="4:14" x14ac:dyDescent="0.2">
      <c r="D28" s="1" t="s">
        <v>54</v>
      </c>
      <c r="E28" s="1">
        <v>1</v>
      </c>
      <c r="F28" s="1" t="s">
        <v>621</v>
      </c>
      <c r="H28" s="1" t="s">
        <v>27</v>
      </c>
      <c r="I28" s="1">
        <v>4</v>
      </c>
      <c r="J28" s="1" t="s">
        <v>620</v>
      </c>
      <c r="L28" s="1" t="s">
        <v>133</v>
      </c>
      <c r="M28" s="1">
        <v>3</v>
      </c>
      <c r="N28" s="1" t="s">
        <v>620</v>
      </c>
    </row>
    <row r="29" spans="4:14" x14ac:dyDescent="0.2">
      <c r="D29" s="1" t="s">
        <v>54</v>
      </c>
      <c r="E29" s="1">
        <v>0</v>
      </c>
      <c r="F29" s="1" t="s">
        <v>621</v>
      </c>
      <c r="H29" s="1" t="s">
        <v>27</v>
      </c>
      <c r="I29" s="1">
        <v>3</v>
      </c>
      <c r="J29" s="1" t="s">
        <v>620</v>
      </c>
      <c r="L29" s="1" t="s">
        <v>133</v>
      </c>
      <c r="M29" s="1">
        <v>1</v>
      </c>
      <c r="N29" s="1" t="s">
        <v>620</v>
      </c>
    </row>
    <row r="30" spans="4:14" x14ac:dyDescent="0.2">
      <c r="D30" s="1" t="s">
        <v>54</v>
      </c>
      <c r="E30" s="1">
        <v>1</v>
      </c>
      <c r="F30" s="1" t="s">
        <v>621</v>
      </c>
      <c r="H30" s="1" t="s">
        <v>27</v>
      </c>
      <c r="I30" s="1">
        <v>2</v>
      </c>
      <c r="J30" s="1" t="s">
        <v>620</v>
      </c>
      <c r="L30" s="1" t="s">
        <v>133</v>
      </c>
      <c r="M30" s="1">
        <v>1</v>
      </c>
      <c r="N30" s="1" t="s">
        <v>620</v>
      </c>
    </row>
    <row r="31" spans="4:14" x14ac:dyDescent="0.2">
      <c r="D31" s="1" t="s">
        <v>54</v>
      </c>
      <c r="E31" s="1">
        <v>1</v>
      </c>
      <c r="F31" s="1" t="s">
        <v>621</v>
      </c>
      <c r="H31" s="1" t="s">
        <v>27</v>
      </c>
      <c r="I31" s="1">
        <v>4</v>
      </c>
      <c r="J31" s="1" t="s">
        <v>620</v>
      </c>
      <c r="L31" s="1" t="s">
        <v>226</v>
      </c>
      <c r="M31" s="1">
        <v>2</v>
      </c>
      <c r="N31" s="1" t="s">
        <v>620</v>
      </c>
    </row>
    <row r="32" spans="4:14" x14ac:dyDescent="0.2">
      <c r="D32" s="1" t="s">
        <v>54</v>
      </c>
      <c r="E32" s="1">
        <v>1</v>
      </c>
      <c r="F32" s="1" t="s">
        <v>621</v>
      </c>
      <c r="H32" s="1" t="s">
        <v>27</v>
      </c>
      <c r="I32" s="1">
        <v>1</v>
      </c>
      <c r="J32" s="1" t="s">
        <v>620</v>
      </c>
      <c r="L32" s="1" t="s">
        <v>226</v>
      </c>
      <c r="M32" s="1">
        <v>1</v>
      </c>
      <c r="N32" s="1" t="s">
        <v>620</v>
      </c>
    </row>
    <row r="33" spans="4:14" x14ac:dyDescent="0.2">
      <c r="D33" s="1" t="s">
        <v>54</v>
      </c>
      <c r="E33" s="1">
        <v>1</v>
      </c>
      <c r="F33" s="1" t="s">
        <v>621</v>
      </c>
      <c r="H33" s="1" t="s">
        <v>27</v>
      </c>
      <c r="I33" s="1">
        <v>3</v>
      </c>
      <c r="J33" s="1" t="s">
        <v>620</v>
      </c>
      <c r="L33" s="1" t="s">
        <v>226</v>
      </c>
      <c r="M33" s="1">
        <v>0</v>
      </c>
      <c r="N33" s="1" t="s">
        <v>620</v>
      </c>
    </row>
    <row r="34" spans="4:14" x14ac:dyDescent="0.2">
      <c r="D34" s="1" t="s">
        <v>54</v>
      </c>
      <c r="E34" s="1">
        <v>1</v>
      </c>
      <c r="F34" s="1" t="s">
        <v>621</v>
      </c>
      <c r="H34" s="1" t="s">
        <v>27</v>
      </c>
      <c r="I34" s="1">
        <v>4</v>
      </c>
      <c r="J34" s="1" t="s">
        <v>620</v>
      </c>
      <c r="L34" s="1" t="s">
        <v>133</v>
      </c>
      <c r="M34" s="1">
        <v>4</v>
      </c>
      <c r="N34" s="1" t="s">
        <v>620</v>
      </c>
    </row>
    <row r="35" spans="4:14" x14ac:dyDescent="0.2">
      <c r="D35" s="1" t="s">
        <v>54</v>
      </c>
      <c r="E35" s="1">
        <v>1</v>
      </c>
      <c r="F35" s="1" t="s">
        <v>621</v>
      </c>
      <c r="H35" s="1" t="s">
        <v>27</v>
      </c>
      <c r="I35" s="1">
        <v>3</v>
      </c>
      <c r="J35" s="1" t="s">
        <v>620</v>
      </c>
      <c r="L35" s="1" t="s">
        <v>133</v>
      </c>
      <c r="M35" s="1">
        <v>0</v>
      </c>
      <c r="N35" s="1" t="s">
        <v>620</v>
      </c>
    </row>
    <row r="36" spans="4:14" x14ac:dyDescent="0.2">
      <c r="D36" s="1" t="s">
        <v>54</v>
      </c>
      <c r="E36" s="1">
        <v>1</v>
      </c>
      <c r="F36" s="1" t="s">
        <v>621</v>
      </c>
      <c r="H36" s="1" t="s">
        <v>27</v>
      </c>
      <c r="I36" s="1">
        <v>4</v>
      </c>
      <c r="J36" s="1" t="s">
        <v>620</v>
      </c>
      <c r="L36" s="1" t="s">
        <v>133</v>
      </c>
      <c r="M36" s="1">
        <v>6</v>
      </c>
      <c r="N36" s="1" t="s">
        <v>620</v>
      </c>
    </row>
    <row r="37" spans="4:14" x14ac:dyDescent="0.2">
      <c r="D37" s="1" t="s">
        <v>54</v>
      </c>
      <c r="E37" s="1">
        <v>0</v>
      </c>
      <c r="F37" s="1" t="s">
        <v>621</v>
      </c>
      <c r="H37" s="1" t="s">
        <v>27</v>
      </c>
      <c r="I37" s="1">
        <v>0</v>
      </c>
      <c r="J37" s="1" t="s">
        <v>620</v>
      </c>
      <c r="L37" s="1" t="s">
        <v>133</v>
      </c>
      <c r="M37" s="1">
        <v>0</v>
      </c>
      <c r="N37" s="1" t="s">
        <v>620</v>
      </c>
    </row>
    <row r="38" spans="4:14" x14ac:dyDescent="0.2">
      <c r="H38" s="1" t="s">
        <v>27</v>
      </c>
      <c r="I38" s="1">
        <v>1</v>
      </c>
      <c r="J38" s="1" t="s">
        <v>620</v>
      </c>
      <c r="L38" s="1" t="s">
        <v>133</v>
      </c>
      <c r="M38" s="1">
        <v>0</v>
      </c>
      <c r="N38" s="1" t="s">
        <v>620</v>
      </c>
    </row>
    <row r="39" spans="4:14" x14ac:dyDescent="0.2">
      <c r="H39" s="1" t="s">
        <v>27</v>
      </c>
      <c r="I39" s="1">
        <v>0</v>
      </c>
      <c r="J39" s="1" t="s">
        <v>620</v>
      </c>
      <c r="L39" s="1" t="s">
        <v>133</v>
      </c>
      <c r="M39" s="1">
        <v>2</v>
      </c>
      <c r="N39" s="1" t="s">
        <v>620</v>
      </c>
    </row>
    <row r="40" spans="4:14" x14ac:dyDescent="0.2">
      <c r="H40" s="1" t="s">
        <v>27</v>
      </c>
      <c r="I40" s="1">
        <v>0</v>
      </c>
      <c r="J40" s="1" t="s">
        <v>620</v>
      </c>
      <c r="L40" s="1" t="s">
        <v>133</v>
      </c>
      <c r="M40" s="1">
        <v>1</v>
      </c>
      <c r="N40" s="1" t="s">
        <v>620</v>
      </c>
    </row>
    <row r="41" spans="4:14" x14ac:dyDescent="0.2">
      <c r="H41" s="1" t="s">
        <v>27</v>
      </c>
      <c r="I41" s="1">
        <v>1</v>
      </c>
      <c r="J41" s="1" t="s">
        <v>620</v>
      </c>
      <c r="L41" s="1" t="s">
        <v>133</v>
      </c>
      <c r="M41" s="1">
        <v>4</v>
      </c>
      <c r="N41" s="1" t="s">
        <v>620</v>
      </c>
    </row>
    <row r="42" spans="4:14" x14ac:dyDescent="0.2">
      <c r="H42" s="1" t="s">
        <v>27</v>
      </c>
      <c r="I42" s="1">
        <v>3</v>
      </c>
      <c r="J42" s="1" t="s">
        <v>620</v>
      </c>
      <c r="L42" s="1" t="s">
        <v>133</v>
      </c>
      <c r="M42" s="1">
        <v>1</v>
      </c>
      <c r="N42" s="1" t="s">
        <v>620</v>
      </c>
    </row>
    <row r="43" spans="4:14" x14ac:dyDescent="0.2">
      <c r="H43" s="1" t="s">
        <v>27</v>
      </c>
      <c r="I43" s="1">
        <v>3</v>
      </c>
      <c r="J43" s="1" t="s">
        <v>620</v>
      </c>
      <c r="L43" s="1" t="s">
        <v>133</v>
      </c>
      <c r="M43" s="1">
        <v>0</v>
      </c>
      <c r="N43" s="1" t="s">
        <v>620</v>
      </c>
    </row>
    <row r="44" spans="4:14" x14ac:dyDescent="0.2">
      <c r="H44" s="1" t="s">
        <v>27</v>
      </c>
      <c r="I44" s="1">
        <v>2</v>
      </c>
      <c r="J44" s="1" t="s">
        <v>620</v>
      </c>
      <c r="L44" s="1" t="s">
        <v>133</v>
      </c>
      <c r="M44" s="1">
        <v>2</v>
      </c>
      <c r="N44" s="1" t="s">
        <v>620</v>
      </c>
    </row>
    <row r="45" spans="4:14" x14ac:dyDescent="0.2">
      <c r="H45" s="1" t="s">
        <v>27</v>
      </c>
      <c r="I45" s="1">
        <v>2</v>
      </c>
      <c r="J45" s="1" t="s">
        <v>620</v>
      </c>
      <c r="L45" s="1" t="s">
        <v>133</v>
      </c>
      <c r="M45" s="1">
        <v>3</v>
      </c>
      <c r="N45" s="1" t="s">
        <v>620</v>
      </c>
    </row>
    <row r="46" spans="4:14" x14ac:dyDescent="0.2">
      <c r="H46" s="1" t="s">
        <v>27</v>
      </c>
      <c r="I46" s="1">
        <v>4</v>
      </c>
      <c r="J46" s="1" t="s">
        <v>620</v>
      </c>
      <c r="L46" s="1" t="s">
        <v>133</v>
      </c>
      <c r="M46" s="1">
        <v>2</v>
      </c>
      <c r="N46" s="1" t="s">
        <v>620</v>
      </c>
    </row>
    <row r="47" spans="4:14" x14ac:dyDescent="0.2">
      <c r="H47" s="1" t="s">
        <v>27</v>
      </c>
      <c r="I47" s="1">
        <v>4</v>
      </c>
      <c r="J47" s="1" t="s">
        <v>620</v>
      </c>
      <c r="L47" s="1" t="s">
        <v>133</v>
      </c>
      <c r="M47" s="1">
        <v>0</v>
      </c>
      <c r="N47" s="1" t="s">
        <v>620</v>
      </c>
    </row>
    <row r="48" spans="4:14" x14ac:dyDescent="0.2">
      <c r="H48" s="1" t="s">
        <v>27</v>
      </c>
      <c r="I48" s="1">
        <v>1</v>
      </c>
      <c r="J48" s="1" t="s">
        <v>620</v>
      </c>
      <c r="L48" s="1" t="s">
        <v>133</v>
      </c>
      <c r="M48" s="1">
        <v>4</v>
      </c>
      <c r="N48" s="1" t="s">
        <v>620</v>
      </c>
    </row>
    <row r="49" spans="8:14" x14ac:dyDescent="0.2">
      <c r="H49" s="1" t="s">
        <v>27</v>
      </c>
      <c r="I49" s="1">
        <v>4</v>
      </c>
      <c r="J49" s="1" t="s">
        <v>620</v>
      </c>
      <c r="L49" s="1" t="s">
        <v>133</v>
      </c>
      <c r="M49" s="1">
        <v>5</v>
      </c>
      <c r="N49" s="1" t="s">
        <v>620</v>
      </c>
    </row>
    <row r="50" spans="8:14" x14ac:dyDescent="0.2">
      <c r="H50" s="1" t="s">
        <v>27</v>
      </c>
      <c r="I50" s="1">
        <v>1</v>
      </c>
      <c r="J50" s="1" t="s">
        <v>620</v>
      </c>
      <c r="L50" s="1" t="s">
        <v>133</v>
      </c>
      <c r="M50" s="1">
        <v>1</v>
      </c>
      <c r="N50" s="1" t="s">
        <v>620</v>
      </c>
    </row>
    <row r="51" spans="8:14" x14ac:dyDescent="0.2">
      <c r="H51" s="1" t="s">
        <v>27</v>
      </c>
      <c r="I51" s="1">
        <v>2</v>
      </c>
      <c r="J51" s="1" t="s">
        <v>620</v>
      </c>
      <c r="L51" s="1" t="s">
        <v>133</v>
      </c>
      <c r="M51" s="1">
        <v>2</v>
      </c>
      <c r="N51" s="1" t="s">
        <v>620</v>
      </c>
    </row>
    <row r="52" spans="8:14" x14ac:dyDescent="0.2">
      <c r="H52" s="1" t="s">
        <v>27</v>
      </c>
      <c r="I52" s="1">
        <v>1</v>
      </c>
      <c r="J52" s="1" t="s">
        <v>620</v>
      </c>
      <c r="L52" s="1" t="s">
        <v>133</v>
      </c>
      <c r="M52" s="1">
        <v>1</v>
      </c>
      <c r="N52" s="1" t="s">
        <v>620</v>
      </c>
    </row>
    <row r="53" spans="8:14" x14ac:dyDescent="0.2">
      <c r="H53" s="1" t="s">
        <v>27</v>
      </c>
      <c r="I53" s="1">
        <v>1</v>
      </c>
      <c r="J53" s="1" t="s">
        <v>620</v>
      </c>
      <c r="L53" s="1" t="s">
        <v>133</v>
      </c>
      <c r="M53" s="1">
        <v>1</v>
      </c>
      <c r="N53" s="1" t="s">
        <v>620</v>
      </c>
    </row>
    <row r="54" spans="8:14" x14ac:dyDescent="0.2">
      <c r="H54" s="1" t="s">
        <v>27</v>
      </c>
      <c r="I54" s="1">
        <v>0</v>
      </c>
      <c r="J54" s="1" t="s">
        <v>620</v>
      </c>
      <c r="L54" s="1" t="s">
        <v>133</v>
      </c>
      <c r="M54" s="1">
        <v>1</v>
      </c>
      <c r="N54" s="1" t="s">
        <v>620</v>
      </c>
    </row>
    <row r="55" spans="8:14" x14ac:dyDescent="0.2">
      <c r="H55" s="1" t="s">
        <v>27</v>
      </c>
      <c r="I55" s="1">
        <v>2</v>
      </c>
      <c r="J55" s="1" t="s">
        <v>620</v>
      </c>
      <c r="L55" s="1" t="s">
        <v>65</v>
      </c>
      <c r="M55" s="1">
        <v>1</v>
      </c>
      <c r="N55" s="1" t="s">
        <v>620</v>
      </c>
    </row>
    <row r="56" spans="8:14" x14ac:dyDescent="0.2">
      <c r="H56" s="1" t="s">
        <v>27</v>
      </c>
      <c r="I56" s="1">
        <v>3</v>
      </c>
      <c r="J56" s="1" t="s">
        <v>620</v>
      </c>
      <c r="L56" s="1" t="s">
        <v>65</v>
      </c>
      <c r="M56" s="1">
        <v>1</v>
      </c>
      <c r="N56" s="1" t="s">
        <v>620</v>
      </c>
    </row>
    <row r="57" spans="8:14" x14ac:dyDescent="0.2">
      <c r="H57" s="1" t="s">
        <v>27</v>
      </c>
      <c r="I57" s="1">
        <v>1</v>
      </c>
      <c r="J57" s="1" t="s">
        <v>620</v>
      </c>
      <c r="L57" s="1" t="s">
        <v>65</v>
      </c>
      <c r="M57" s="1">
        <v>3</v>
      </c>
      <c r="N57" s="1" t="s">
        <v>620</v>
      </c>
    </row>
    <row r="58" spans="8:14" x14ac:dyDescent="0.2">
      <c r="H58" s="1" t="s">
        <v>27</v>
      </c>
      <c r="I58" s="1">
        <v>1</v>
      </c>
      <c r="J58" s="1" t="s">
        <v>620</v>
      </c>
      <c r="L58" s="1" t="s">
        <v>65</v>
      </c>
      <c r="M58" s="1">
        <v>3</v>
      </c>
      <c r="N58" s="1" t="s">
        <v>620</v>
      </c>
    </row>
    <row r="59" spans="8:14" x14ac:dyDescent="0.2">
      <c r="H59" s="1" t="s">
        <v>27</v>
      </c>
      <c r="I59" s="1">
        <v>0</v>
      </c>
      <c r="J59" s="1" t="s">
        <v>620</v>
      </c>
      <c r="L59" s="1" t="s">
        <v>65</v>
      </c>
      <c r="M59" s="1">
        <v>2</v>
      </c>
      <c r="N59" s="1" t="s">
        <v>620</v>
      </c>
    </row>
    <row r="60" spans="8:14" x14ac:dyDescent="0.2">
      <c r="H60" s="1" t="s">
        <v>27</v>
      </c>
      <c r="I60" s="1">
        <v>2</v>
      </c>
      <c r="J60" s="1" t="s">
        <v>620</v>
      </c>
      <c r="L60" s="1" t="s">
        <v>65</v>
      </c>
      <c r="M60" s="1">
        <v>2</v>
      </c>
      <c r="N60" s="1" t="s">
        <v>620</v>
      </c>
    </row>
    <row r="61" spans="8:14" x14ac:dyDescent="0.2">
      <c r="H61" s="1" t="s">
        <v>27</v>
      </c>
      <c r="I61" s="1">
        <v>3</v>
      </c>
      <c r="J61" s="1" t="s">
        <v>620</v>
      </c>
      <c r="L61" s="1" t="s">
        <v>65</v>
      </c>
      <c r="M61" s="1">
        <v>2</v>
      </c>
      <c r="N61" s="1" t="s">
        <v>620</v>
      </c>
    </row>
    <row r="62" spans="8:14" x14ac:dyDescent="0.2">
      <c r="H62" s="1" t="s">
        <v>27</v>
      </c>
      <c r="I62" s="1">
        <v>1</v>
      </c>
      <c r="J62" s="1" t="s">
        <v>620</v>
      </c>
      <c r="L62" s="1" t="s">
        <v>65</v>
      </c>
      <c r="M62" s="1">
        <v>2</v>
      </c>
      <c r="N62" s="1" t="s">
        <v>620</v>
      </c>
    </row>
    <row r="63" spans="8:14" x14ac:dyDescent="0.2">
      <c r="H63" s="1" t="s">
        <v>27</v>
      </c>
      <c r="I63" s="1">
        <v>4</v>
      </c>
      <c r="J63" s="1" t="s">
        <v>620</v>
      </c>
      <c r="L63" s="1" t="s">
        <v>65</v>
      </c>
      <c r="M63" s="1">
        <v>0</v>
      </c>
      <c r="N63" s="1" t="s">
        <v>620</v>
      </c>
    </row>
    <row r="64" spans="8:14" x14ac:dyDescent="0.2">
      <c r="H64" s="1" t="s">
        <v>27</v>
      </c>
      <c r="I64" s="1">
        <v>3</v>
      </c>
      <c r="J64" s="1" t="s">
        <v>620</v>
      </c>
      <c r="L64" s="1" t="s">
        <v>65</v>
      </c>
      <c r="M64" s="1">
        <v>8</v>
      </c>
      <c r="N64" s="1" t="s">
        <v>620</v>
      </c>
    </row>
    <row r="65" spans="8:14" x14ac:dyDescent="0.2">
      <c r="H65" s="1" t="s">
        <v>27</v>
      </c>
      <c r="I65" s="1">
        <v>1</v>
      </c>
      <c r="J65" s="1" t="s">
        <v>620</v>
      </c>
      <c r="L65" s="1" t="s">
        <v>65</v>
      </c>
      <c r="M65" s="1">
        <v>1</v>
      </c>
      <c r="N65" s="1" t="s">
        <v>620</v>
      </c>
    </row>
    <row r="66" spans="8:14" x14ac:dyDescent="0.2">
      <c r="H66" s="1" t="s">
        <v>27</v>
      </c>
      <c r="I66" s="1">
        <v>0</v>
      </c>
      <c r="J66" s="1" t="s">
        <v>620</v>
      </c>
      <c r="L66" s="1" t="s">
        <v>65</v>
      </c>
      <c r="M66" s="1">
        <v>1</v>
      </c>
      <c r="N66" s="1" t="s">
        <v>620</v>
      </c>
    </row>
    <row r="67" spans="8:14" x14ac:dyDescent="0.2">
      <c r="H67" s="1" t="s">
        <v>27</v>
      </c>
      <c r="I67" s="1">
        <v>2</v>
      </c>
      <c r="J67" s="1" t="s">
        <v>620</v>
      </c>
      <c r="L67" s="1" t="s">
        <v>65</v>
      </c>
      <c r="M67" s="1">
        <v>1</v>
      </c>
      <c r="N67" s="1" t="s">
        <v>620</v>
      </c>
    </row>
    <row r="68" spans="8:14" x14ac:dyDescent="0.2">
      <c r="H68" s="1" t="s">
        <v>27</v>
      </c>
      <c r="I68" s="1">
        <v>4</v>
      </c>
      <c r="J68" s="1" t="s">
        <v>620</v>
      </c>
      <c r="L68" s="1" t="s">
        <v>65</v>
      </c>
      <c r="M68" s="1">
        <v>1</v>
      </c>
      <c r="N68" s="1" t="s">
        <v>620</v>
      </c>
    </row>
    <row r="69" spans="8:14" x14ac:dyDescent="0.2">
      <c r="H69" s="1" t="s">
        <v>27</v>
      </c>
      <c r="I69" s="1">
        <v>2</v>
      </c>
      <c r="J69" s="1" t="s">
        <v>620</v>
      </c>
      <c r="L69" s="1" t="s">
        <v>65</v>
      </c>
      <c r="M69" s="1">
        <v>0</v>
      </c>
      <c r="N69" s="1" t="s">
        <v>620</v>
      </c>
    </row>
    <row r="70" spans="8:14" x14ac:dyDescent="0.2">
      <c r="H70" s="1" t="s">
        <v>27</v>
      </c>
      <c r="I70" s="1">
        <v>1</v>
      </c>
      <c r="J70" s="1" t="s">
        <v>620</v>
      </c>
      <c r="L70" s="1" t="s">
        <v>65</v>
      </c>
      <c r="M70" s="1">
        <v>4</v>
      </c>
      <c r="N70" s="1" t="s">
        <v>620</v>
      </c>
    </row>
    <row r="71" spans="8:14" x14ac:dyDescent="0.2">
      <c r="H71" s="1" t="s">
        <v>27</v>
      </c>
      <c r="I71" s="1">
        <v>1</v>
      </c>
      <c r="J71" s="1" t="s">
        <v>620</v>
      </c>
      <c r="L71" s="1" t="s">
        <v>65</v>
      </c>
      <c r="M71" s="1">
        <v>1</v>
      </c>
      <c r="N71" s="1" t="s">
        <v>620</v>
      </c>
    </row>
    <row r="72" spans="8:14" x14ac:dyDescent="0.2">
      <c r="H72" s="1" t="s">
        <v>27</v>
      </c>
      <c r="I72" s="1">
        <v>2</v>
      </c>
      <c r="J72" s="1" t="s">
        <v>620</v>
      </c>
      <c r="L72" s="1" t="s">
        <v>65</v>
      </c>
      <c r="M72" s="1">
        <v>2</v>
      </c>
      <c r="N72" s="1" t="s">
        <v>620</v>
      </c>
    </row>
    <row r="73" spans="8:14" x14ac:dyDescent="0.2">
      <c r="H73" s="1" t="s">
        <v>27</v>
      </c>
      <c r="I73" s="1">
        <v>3</v>
      </c>
      <c r="J73" s="1" t="s">
        <v>620</v>
      </c>
      <c r="L73" s="1" t="s">
        <v>65</v>
      </c>
      <c r="M73" s="1">
        <v>1</v>
      </c>
      <c r="N73" s="1" t="s">
        <v>620</v>
      </c>
    </row>
    <row r="74" spans="8:14" x14ac:dyDescent="0.2">
      <c r="H74" s="1" t="s">
        <v>27</v>
      </c>
      <c r="I74" s="1">
        <v>0</v>
      </c>
      <c r="J74" s="1" t="s">
        <v>620</v>
      </c>
      <c r="L74" s="1" t="s">
        <v>65</v>
      </c>
      <c r="M74" s="1">
        <v>0</v>
      </c>
      <c r="N74" s="1" t="s">
        <v>620</v>
      </c>
    </row>
    <row r="75" spans="8:14" x14ac:dyDescent="0.2">
      <c r="H75" s="1" t="s">
        <v>27</v>
      </c>
      <c r="I75" s="1">
        <v>2</v>
      </c>
      <c r="J75" s="1" t="s">
        <v>620</v>
      </c>
      <c r="L75" s="1" t="s">
        <v>65</v>
      </c>
      <c r="M75" s="1">
        <v>3</v>
      </c>
      <c r="N75" s="1" t="s">
        <v>620</v>
      </c>
    </row>
    <row r="76" spans="8:14" x14ac:dyDescent="0.2">
      <c r="H76" s="1" t="s">
        <v>27</v>
      </c>
      <c r="I76" s="1">
        <v>3</v>
      </c>
      <c r="J76" s="1" t="s">
        <v>620</v>
      </c>
      <c r="L76" s="1" t="s">
        <v>65</v>
      </c>
      <c r="M76" s="1">
        <v>4</v>
      </c>
      <c r="N76" s="1" t="s">
        <v>620</v>
      </c>
    </row>
    <row r="77" spans="8:14" x14ac:dyDescent="0.2">
      <c r="H77" s="1" t="s">
        <v>27</v>
      </c>
      <c r="I77" s="1">
        <v>3</v>
      </c>
      <c r="J77" s="1" t="s">
        <v>620</v>
      </c>
      <c r="L77" s="1" t="s">
        <v>65</v>
      </c>
      <c r="M77" s="1">
        <v>0</v>
      </c>
      <c r="N77" s="1" t="s">
        <v>620</v>
      </c>
    </row>
    <row r="78" spans="8:14" x14ac:dyDescent="0.2">
      <c r="H78" s="1" t="s">
        <v>27</v>
      </c>
      <c r="I78" s="1">
        <v>3</v>
      </c>
      <c r="J78" s="1" t="s">
        <v>620</v>
      </c>
      <c r="L78" s="1" t="s">
        <v>65</v>
      </c>
      <c r="M78" s="1">
        <v>4</v>
      </c>
      <c r="N78" s="1" t="s">
        <v>620</v>
      </c>
    </row>
    <row r="79" spans="8:14" x14ac:dyDescent="0.2">
      <c r="H79" s="1" t="s">
        <v>27</v>
      </c>
      <c r="I79" s="1">
        <v>0</v>
      </c>
      <c r="J79" s="1" t="s">
        <v>620</v>
      </c>
      <c r="L79" s="1" t="s">
        <v>65</v>
      </c>
      <c r="M79" s="1">
        <v>0</v>
      </c>
      <c r="N79" s="1" t="s">
        <v>620</v>
      </c>
    </row>
    <row r="80" spans="8:14" x14ac:dyDescent="0.2">
      <c r="H80" s="1" t="s">
        <v>27</v>
      </c>
      <c r="I80" s="1">
        <v>1</v>
      </c>
      <c r="J80" s="1" t="s">
        <v>620</v>
      </c>
      <c r="L80" s="1" t="s">
        <v>65</v>
      </c>
      <c r="M80" s="1">
        <v>4</v>
      </c>
      <c r="N80" s="1" t="s">
        <v>620</v>
      </c>
    </row>
    <row r="81" spans="8:14" x14ac:dyDescent="0.2">
      <c r="H81" s="1" t="s">
        <v>27</v>
      </c>
      <c r="I81" s="1">
        <v>2</v>
      </c>
      <c r="J81" s="1" t="s">
        <v>620</v>
      </c>
      <c r="L81" s="1" t="s">
        <v>65</v>
      </c>
      <c r="M81" s="1">
        <v>2</v>
      </c>
      <c r="N81" s="1" t="s">
        <v>620</v>
      </c>
    </row>
    <row r="82" spans="8:14" x14ac:dyDescent="0.2">
      <c r="H82" s="1" t="s">
        <v>27</v>
      </c>
      <c r="I82" s="1">
        <v>1</v>
      </c>
      <c r="J82" s="1" t="s">
        <v>620</v>
      </c>
      <c r="L82" s="1" t="s">
        <v>65</v>
      </c>
      <c r="M82" s="1">
        <v>2</v>
      </c>
      <c r="N82" s="1" t="s">
        <v>620</v>
      </c>
    </row>
    <row r="83" spans="8:14" x14ac:dyDescent="0.2">
      <c r="H83" s="1" t="s">
        <v>27</v>
      </c>
      <c r="I83" s="1">
        <v>0</v>
      </c>
      <c r="J83" s="1" t="s">
        <v>620</v>
      </c>
      <c r="L83" s="1" t="s">
        <v>65</v>
      </c>
      <c r="M83" s="1">
        <v>1</v>
      </c>
      <c r="N83" s="1" t="s">
        <v>620</v>
      </c>
    </row>
    <row r="84" spans="8:14" x14ac:dyDescent="0.2">
      <c r="H84" s="1" t="s">
        <v>27</v>
      </c>
      <c r="I84" s="1">
        <v>1</v>
      </c>
      <c r="J84" s="1" t="s">
        <v>621</v>
      </c>
      <c r="L84" s="1" t="s">
        <v>65</v>
      </c>
      <c r="M84" s="1">
        <v>2</v>
      </c>
      <c r="N84" s="1" t="s">
        <v>620</v>
      </c>
    </row>
    <row r="85" spans="8:14" x14ac:dyDescent="0.2">
      <c r="H85" s="1" t="s">
        <v>27</v>
      </c>
      <c r="I85" s="1">
        <v>1</v>
      </c>
      <c r="J85" s="1" t="s">
        <v>621</v>
      </c>
      <c r="L85" s="1" t="s">
        <v>65</v>
      </c>
      <c r="M85" s="1">
        <v>1</v>
      </c>
      <c r="N85" s="1" t="s">
        <v>620</v>
      </c>
    </row>
    <row r="86" spans="8:14" x14ac:dyDescent="0.2">
      <c r="H86" s="1" t="s">
        <v>27</v>
      </c>
      <c r="I86" s="1">
        <v>1</v>
      </c>
      <c r="J86" s="1" t="s">
        <v>621</v>
      </c>
      <c r="L86" s="1" t="s">
        <v>65</v>
      </c>
      <c r="M86" s="1">
        <v>1</v>
      </c>
      <c r="N86" s="1" t="s">
        <v>621</v>
      </c>
    </row>
    <row r="87" spans="8:14" x14ac:dyDescent="0.2">
      <c r="H87" s="1" t="s">
        <v>27</v>
      </c>
      <c r="I87" s="1">
        <v>1</v>
      </c>
      <c r="J87" s="1" t="s">
        <v>621</v>
      </c>
      <c r="L87" s="1" t="s">
        <v>65</v>
      </c>
      <c r="M87" s="1">
        <v>1</v>
      </c>
      <c r="N87" s="1" t="s">
        <v>621</v>
      </c>
    </row>
    <row r="88" spans="8:14" x14ac:dyDescent="0.2">
      <c r="H88" s="1" t="s">
        <v>27</v>
      </c>
      <c r="I88" s="1">
        <v>2</v>
      </c>
      <c r="J88" s="1" t="s">
        <v>621</v>
      </c>
      <c r="L88" s="1" t="s">
        <v>65</v>
      </c>
      <c r="M88" s="1">
        <v>2</v>
      </c>
      <c r="N88" s="1" t="s">
        <v>621</v>
      </c>
    </row>
    <row r="89" spans="8:14" x14ac:dyDescent="0.2">
      <c r="H89" s="1" t="s">
        <v>27</v>
      </c>
      <c r="I89" s="1">
        <v>1</v>
      </c>
      <c r="J89" s="1" t="s">
        <v>621</v>
      </c>
      <c r="L89" s="1" t="s">
        <v>133</v>
      </c>
      <c r="M89" s="1">
        <v>3</v>
      </c>
      <c r="N89" s="1" t="s">
        <v>621</v>
      </c>
    </row>
    <row r="90" spans="8:14" x14ac:dyDescent="0.2">
      <c r="H90" s="1" t="s">
        <v>27</v>
      </c>
      <c r="I90" s="1">
        <v>1</v>
      </c>
      <c r="J90" s="1" t="s">
        <v>621</v>
      </c>
      <c r="L90" s="1" t="s">
        <v>133</v>
      </c>
      <c r="M90" s="1">
        <v>3</v>
      </c>
      <c r="N90" s="1" t="s">
        <v>621</v>
      </c>
    </row>
    <row r="91" spans="8:14" x14ac:dyDescent="0.2">
      <c r="H91" s="1" t="s">
        <v>27</v>
      </c>
      <c r="I91" s="1">
        <v>0</v>
      </c>
      <c r="J91" s="1" t="s">
        <v>621</v>
      </c>
      <c r="L91" s="1" t="s">
        <v>133</v>
      </c>
      <c r="M91" s="1">
        <v>1</v>
      </c>
      <c r="N91" s="1" t="s">
        <v>621</v>
      </c>
    </row>
    <row r="92" spans="8:14" x14ac:dyDescent="0.2">
      <c r="H92" s="1" t="s">
        <v>27</v>
      </c>
      <c r="I92" s="1">
        <v>3</v>
      </c>
      <c r="J92" s="1" t="s">
        <v>621</v>
      </c>
      <c r="L92" s="1" t="s">
        <v>133</v>
      </c>
      <c r="M92" s="1">
        <v>3</v>
      </c>
      <c r="N92" s="1" t="s">
        <v>621</v>
      </c>
    </row>
    <row r="93" spans="8:14" x14ac:dyDescent="0.2">
      <c r="H93" s="1" t="s">
        <v>27</v>
      </c>
      <c r="I93" s="1">
        <v>2</v>
      </c>
      <c r="J93" s="1" t="s">
        <v>621</v>
      </c>
      <c r="L93" s="1" t="s">
        <v>133</v>
      </c>
      <c r="M93" s="1">
        <v>0</v>
      </c>
      <c r="N93" s="1" t="s">
        <v>621</v>
      </c>
    </row>
    <row r="94" spans="8:14" x14ac:dyDescent="0.2">
      <c r="H94" s="1" t="s">
        <v>27</v>
      </c>
      <c r="I94" s="1">
        <v>0</v>
      </c>
      <c r="J94" s="1" t="s">
        <v>621</v>
      </c>
      <c r="L94" s="1" t="s">
        <v>133</v>
      </c>
      <c r="M94" s="1">
        <v>2</v>
      </c>
      <c r="N94" s="1" t="s">
        <v>621</v>
      </c>
    </row>
    <row r="95" spans="8:14" x14ac:dyDescent="0.2">
      <c r="H95" s="1" t="s">
        <v>27</v>
      </c>
      <c r="I95" s="1">
        <v>1</v>
      </c>
      <c r="J95" s="1" t="s">
        <v>621</v>
      </c>
      <c r="L95" s="1" t="s">
        <v>133</v>
      </c>
      <c r="M95" s="1">
        <v>3</v>
      </c>
      <c r="N95" s="1" t="s">
        <v>621</v>
      </c>
    </row>
    <row r="96" spans="8:14" x14ac:dyDescent="0.2">
      <c r="H96" s="1" t="s">
        <v>27</v>
      </c>
      <c r="I96" s="1">
        <v>0</v>
      </c>
      <c r="J96" s="1" t="s">
        <v>621</v>
      </c>
      <c r="L96" s="1" t="s">
        <v>133</v>
      </c>
      <c r="M96" s="1">
        <v>3</v>
      </c>
      <c r="N96" s="1" t="s">
        <v>621</v>
      </c>
    </row>
    <row r="97" spans="8:14" x14ac:dyDescent="0.2">
      <c r="H97" s="1" t="s">
        <v>27</v>
      </c>
      <c r="I97" s="1">
        <v>3</v>
      </c>
      <c r="J97" s="1" t="s">
        <v>621</v>
      </c>
      <c r="L97" s="1" t="s">
        <v>226</v>
      </c>
      <c r="M97" s="1">
        <v>1</v>
      </c>
      <c r="N97" s="1" t="s">
        <v>621</v>
      </c>
    </row>
    <row r="98" spans="8:14" x14ac:dyDescent="0.2">
      <c r="H98" s="1" t="s">
        <v>27</v>
      </c>
      <c r="I98" s="1">
        <v>2</v>
      </c>
      <c r="J98" s="1" t="s">
        <v>621</v>
      </c>
      <c r="L98" s="1" t="s">
        <v>133</v>
      </c>
      <c r="M98" s="1">
        <v>0</v>
      </c>
      <c r="N98" s="1" t="s">
        <v>621</v>
      </c>
    </row>
    <row r="99" spans="8:14" x14ac:dyDescent="0.2">
      <c r="H99" s="1" t="s">
        <v>27</v>
      </c>
      <c r="I99" s="1">
        <v>1</v>
      </c>
      <c r="J99" s="1" t="s">
        <v>621</v>
      </c>
      <c r="L99" s="1" t="s">
        <v>133</v>
      </c>
      <c r="M99" s="1">
        <v>2</v>
      </c>
      <c r="N99" s="1" t="s">
        <v>621</v>
      </c>
    </row>
    <row r="100" spans="8:14" x14ac:dyDescent="0.2">
      <c r="H100" s="1" t="s">
        <v>27</v>
      </c>
      <c r="I100" s="1">
        <v>3</v>
      </c>
      <c r="J100" s="1" t="s">
        <v>621</v>
      </c>
      <c r="L100" s="1" t="s">
        <v>226</v>
      </c>
      <c r="M100" s="1">
        <v>0</v>
      </c>
      <c r="N100" s="1" t="s">
        <v>621</v>
      </c>
    </row>
    <row r="101" spans="8:14" x14ac:dyDescent="0.2">
      <c r="H101" s="1" t="s">
        <v>27</v>
      </c>
      <c r="I101" s="1">
        <v>3</v>
      </c>
      <c r="J101" s="1" t="s">
        <v>621</v>
      </c>
      <c r="L101" s="1" t="s">
        <v>133</v>
      </c>
      <c r="M101" s="1">
        <v>1</v>
      </c>
      <c r="N101" s="1" t="s">
        <v>621</v>
      </c>
    </row>
    <row r="102" spans="8:14" x14ac:dyDescent="0.2">
      <c r="H102" s="1" t="s">
        <v>27</v>
      </c>
      <c r="I102" s="1">
        <v>1</v>
      </c>
      <c r="J102" s="1" t="s">
        <v>621</v>
      </c>
      <c r="L102" s="1" t="s">
        <v>226</v>
      </c>
      <c r="M102" s="1">
        <v>1</v>
      </c>
      <c r="N102" s="1" t="s">
        <v>621</v>
      </c>
    </row>
    <row r="103" spans="8:14" x14ac:dyDescent="0.2">
      <c r="H103" s="1" t="s">
        <v>27</v>
      </c>
      <c r="I103" s="1">
        <v>5</v>
      </c>
      <c r="J103" s="1" t="s">
        <v>621</v>
      </c>
      <c r="L103" s="1" t="s">
        <v>133</v>
      </c>
      <c r="M103" s="1">
        <v>2</v>
      </c>
      <c r="N103" s="1" t="s">
        <v>621</v>
      </c>
    </row>
    <row r="104" spans="8:14" x14ac:dyDescent="0.2">
      <c r="H104" s="1" t="s">
        <v>27</v>
      </c>
      <c r="I104" s="1">
        <v>2</v>
      </c>
      <c r="J104" s="1" t="s">
        <v>621</v>
      </c>
      <c r="L104" s="1" t="s">
        <v>133</v>
      </c>
      <c r="M104" s="1">
        <v>2</v>
      </c>
      <c r="N104" s="1" t="s">
        <v>621</v>
      </c>
    </row>
    <row r="105" spans="8:14" x14ac:dyDescent="0.2">
      <c r="H105" s="1" t="s">
        <v>27</v>
      </c>
      <c r="I105" s="1">
        <v>2</v>
      </c>
      <c r="J105" s="1" t="s">
        <v>621</v>
      </c>
      <c r="L105" s="1" t="s">
        <v>133</v>
      </c>
      <c r="M105" s="1">
        <v>1</v>
      </c>
      <c r="N105" s="1" t="s">
        <v>621</v>
      </c>
    </row>
    <row r="106" spans="8:14" x14ac:dyDescent="0.2">
      <c r="H106" s="1" t="s">
        <v>27</v>
      </c>
      <c r="I106" s="1">
        <v>4</v>
      </c>
      <c r="J106" s="1" t="s">
        <v>621</v>
      </c>
      <c r="L106" s="1" t="s">
        <v>133</v>
      </c>
      <c r="M106" s="1">
        <v>1</v>
      </c>
      <c r="N106" s="1" t="s">
        <v>621</v>
      </c>
    </row>
    <row r="107" spans="8:14" x14ac:dyDescent="0.2">
      <c r="H107" s="1" t="s">
        <v>27</v>
      </c>
      <c r="I107" s="1">
        <v>0</v>
      </c>
      <c r="J107" s="1" t="s">
        <v>621</v>
      </c>
      <c r="L107" s="1" t="s">
        <v>133</v>
      </c>
      <c r="M107" s="1">
        <v>0</v>
      </c>
      <c r="N107" s="1" t="s">
        <v>621</v>
      </c>
    </row>
    <row r="108" spans="8:14" x14ac:dyDescent="0.2">
      <c r="H108" s="1" t="s">
        <v>27</v>
      </c>
      <c r="I108" s="1">
        <v>1</v>
      </c>
      <c r="J108" s="1" t="s">
        <v>621</v>
      </c>
      <c r="L108" s="1" t="s">
        <v>133</v>
      </c>
      <c r="M108" s="1">
        <v>1</v>
      </c>
      <c r="N108" s="1" t="s">
        <v>621</v>
      </c>
    </row>
    <row r="109" spans="8:14" x14ac:dyDescent="0.2">
      <c r="H109" s="1" t="s">
        <v>27</v>
      </c>
      <c r="I109" s="1">
        <v>4</v>
      </c>
      <c r="J109" s="1" t="s">
        <v>621</v>
      </c>
      <c r="L109" s="1" t="s">
        <v>133</v>
      </c>
      <c r="M109" s="1">
        <v>2</v>
      </c>
      <c r="N109" s="1" t="s">
        <v>621</v>
      </c>
    </row>
    <row r="110" spans="8:14" x14ac:dyDescent="0.2">
      <c r="L110" s="1" t="s">
        <v>133</v>
      </c>
      <c r="M110" s="1">
        <v>2</v>
      </c>
      <c r="N110" s="1" t="s">
        <v>621</v>
      </c>
    </row>
    <row r="111" spans="8:14" x14ac:dyDescent="0.2">
      <c r="L111" s="1" t="s">
        <v>65</v>
      </c>
      <c r="M111" s="1">
        <v>1</v>
      </c>
      <c r="N111" s="1" t="s">
        <v>621</v>
      </c>
    </row>
    <row r="112" spans="8:14" x14ac:dyDescent="0.2">
      <c r="L112" s="1" t="s">
        <v>65</v>
      </c>
      <c r="M112" s="1">
        <v>2</v>
      </c>
      <c r="N112" s="1" t="s">
        <v>621</v>
      </c>
    </row>
    <row r="113" spans="12:14" x14ac:dyDescent="0.2">
      <c r="L113" s="1" t="s">
        <v>65</v>
      </c>
      <c r="M113" s="1">
        <v>3</v>
      </c>
      <c r="N113" s="1" t="s">
        <v>621</v>
      </c>
    </row>
    <row r="114" spans="12:14" x14ac:dyDescent="0.2">
      <c r="L114" s="1" t="s">
        <v>65</v>
      </c>
      <c r="M114" s="1">
        <v>1</v>
      </c>
      <c r="N114" s="1" t="s">
        <v>621</v>
      </c>
    </row>
    <row r="115" spans="12:14" x14ac:dyDescent="0.2">
      <c r="L115" s="1" t="s">
        <v>65</v>
      </c>
      <c r="M115" s="1">
        <v>4</v>
      </c>
      <c r="N115" s="1" t="s">
        <v>621</v>
      </c>
    </row>
    <row r="116" spans="12:14" x14ac:dyDescent="0.2">
      <c r="L116" s="1" t="s">
        <v>65</v>
      </c>
      <c r="M116" s="1">
        <v>3</v>
      </c>
      <c r="N116" s="1" t="s">
        <v>621</v>
      </c>
    </row>
    <row r="117" spans="12:14" x14ac:dyDescent="0.2">
      <c r="L117" s="1" t="s">
        <v>65</v>
      </c>
      <c r="M117" s="1">
        <v>1</v>
      </c>
      <c r="N117" s="1" t="s">
        <v>621</v>
      </c>
    </row>
    <row r="118" spans="12:14" x14ac:dyDescent="0.2">
      <c r="L118" s="1" t="s">
        <v>65</v>
      </c>
      <c r="M118" s="1">
        <v>1</v>
      </c>
      <c r="N118" s="1" t="s">
        <v>621</v>
      </c>
    </row>
    <row r="119" spans="12:14" x14ac:dyDescent="0.2">
      <c r="L119" s="1" t="s">
        <v>65</v>
      </c>
      <c r="M119" s="1">
        <v>7</v>
      </c>
      <c r="N119" s="1" t="s">
        <v>621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B7CF-8BFC-8F4F-824A-AC1E7AB50678}">
  <dimension ref="A1:C5"/>
  <sheetViews>
    <sheetView tabSelected="1" zoomScale="138" workbookViewId="0">
      <selection activeCell="A4" sqref="A4"/>
    </sheetView>
  </sheetViews>
  <sheetFormatPr baseColWidth="10" defaultRowHeight="16" x14ac:dyDescent="0.2"/>
  <cols>
    <col min="1" max="2" width="10.83203125" style="1"/>
    <col min="3" max="3" width="13" style="1" bestFit="1" customWidth="1"/>
    <col min="4" max="16384" width="10.83203125" style="1"/>
  </cols>
  <sheetData>
    <row r="1" spans="1:3" x14ac:dyDescent="0.2">
      <c r="A1" s="3" t="s">
        <v>609</v>
      </c>
      <c r="B1" s="3" t="s">
        <v>610</v>
      </c>
      <c r="C1" s="3" t="s">
        <v>611</v>
      </c>
    </row>
    <row r="2" spans="1:3" x14ac:dyDescent="0.2">
      <c r="A2" s="14" t="s">
        <v>590</v>
      </c>
      <c r="B2" s="1" t="s">
        <v>591</v>
      </c>
      <c r="C2" s="1" t="s">
        <v>592</v>
      </c>
    </row>
    <row r="3" spans="1:3" x14ac:dyDescent="0.2">
      <c r="A3" s="1" t="s">
        <v>593</v>
      </c>
      <c r="B3" s="1" t="s">
        <v>594</v>
      </c>
      <c r="C3" s="1" t="s">
        <v>595</v>
      </c>
    </row>
    <row r="4" spans="1:3" x14ac:dyDescent="0.2">
      <c r="A4" s="14" t="s">
        <v>596</v>
      </c>
      <c r="B4" s="1" t="s">
        <v>597</v>
      </c>
      <c r="C4" s="1" t="s">
        <v>598</v>
      </c>
    </row>
    <row r="5" spans="1:3" x14ac:dyDescent="0.2">
      <c r="A5" s="1" t="s">
        <v>599</v>
      </c>
      <c r="B5" s="1" t="s">
        <v>600</v>
      </c>
      <c r="C5" s="1" t="s">
        <v>601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FCF8-5239-3744-BAC3-DC641F02662F}">
  <dimension ref="A1:D21"/>
  <sheetViews>
    <sheetView zoomScale="141" workbookViewId="0">
      <selection activeCell="C4" sqref="C4"/>
    </sheetView>
  </sheetViews>
  <sheetFormatPr baseColWidth="10" defaultRowHeight="16" x14ac:dyDescent="0.2"/>
  <cols>
    <col min="1" max="1" width="13.83203125" style="1" bestFit="1" customWidth="1"/>
    <col min="2" max="2" width="16.6640625" style="1" bestFit="1" customWidth="1"/>
    <col min="3" max="3" width="45" style="1" bestFit="1" customWidth="1"/>
    <col min="4" max="4" width="17.1640625" style="1" bestFit="1" customWidth="1"/>
    <col min="5" max="16384" width="10.83203125" style="1"/>
  </cols>
  <sheetData>
    <row r="1" spans="1:4" ht="18" x14ac:dyDescent="0.2">
      <c r="A1" s="18" t="s">
        <v>561</v>
      </c>
      <c r="B1" s="18" t="s">
        <v>562</v>
      </c>
      <c r="C1" s="18" t="s">
        <v>563</v>
      </c>
      <c r="D1" s="18" t="s">
        <v>564</v>
      </c>
    </row>
    <row r="2" spans="1:4" ht="18" x14ac:dyDescent="0.2">
      <c r="A2" s="18">
        <v>1934</v>
      </c>
      <c r="B2" s="19">
        <v>11</v>
      </c>
      <c r="C2" s="19" t="s">
        <v>565</v>
      </c>
      <c r="D2" s="19" t="s">
        <v>566</v>
      </c>
    </row>
    <row r="3" spans="1:4" ht="18" x14ac:dyDescent="0.2">
      <c r="A3" s="18">
        <v>1938</v>
      </c>
      <c r="B3" s="19">
        <v>3</v>
      </c>
      <c r="C3" s="19" t="s">
        <v>567</v>
      </c>
      <c r="D3" s="19" t="s">
        <v>568</v>
      </c>
    </row>
    <row r="4" spans="1:4" ht="18" x14ac:dyDescent="0.2">
      <c r="A4" s="18">
        <v>1954</v>
      </c>
      <c r="B4" s="18">
        <v>25</v>
      </c>
      <c r="C4" s="19" t="s">
        <v>569</v>
      </c>
      <c r="D4" s="18" t="s">
        <v>570</v>
      </c>
    </row>
    <row r="5" spans="1:4" ht="18" x14ac:dyDescent="0.2">
      <c r="A5" s="18">
        <v>1958</v>
      </c>
      <c r="B5" s="19">
        <v>12</v>
      </c>
      <c r="C5" s="19" t="s">
        <v>571</v>
      </c>
      <c r="D5" s="19" t="s">
        <v>572</v>
      </c>
    </row>
    <row r="6" spans="1:4" ht="18" x14ac:dyDescent="0.2">
      <c r="A6" s="18">
        <v>1962</v>
      </c>
      <c r="B6" s="19">
        <v>4</v>
      </c>
      <c r="C6" s="19" t="s">
        <v>573</v>
      </c>
      <c r="D6" s="19" t="s">
        <v>74</v>
      </c>
    </row>
    <row r="7" spans="1:4" ht="18" x14ac:dyDescent="0.2">
      <c r="A7" s="18">
        <v>1966</v>
      </c>
      <c r="B7" s="19">
        <v>15</v>
      </c>
      <c r="C7" s="19" t="s">
        <v>574</v>
      </c>
      <c r="D7" s="19" t="s">
        <v>575</v>
      </c>
    </row>
    <row r="8" spans="1:4" ht="18" x14ac:dyDescent="0.2">
      <c r="A8" s="18">
        <v>1970</v>
      </c>
      <c r="B8" s="19">
        <v>17</v>
      </c>
      <c r="C8" s="19" t="s">
        <v>576</v>
      </c>
      <c r="D8" s="19" t="s">
        <v>566</v>
      </c>
    </row>
    <row r="9" spans="1:4" ht="18" x14ac:dyDescent="0.2">
      <c r="A9" s="18">
        <v>1974</v>
      </c>
      <c r="B9" s="19">
        <v>13</v>
      </c>
      <c r="C9" s="19" t="s">
        <v>577</v>
      </c>
      <c r="D9" s="18" t="s">
        <v>570</v>
      </c>
    </row>
    <row r="10" spans="1:4" ht="18" x14ac:dyDescent="0.2">
      <c r="A10" s="18">
        <v>1978</v>
      </c>
      <c r="B10" s="19">
        <v>10</v>
      </c>
      <c r="C10" s="19" t="s">
        <v>578</v>
      </c>
      <c r="D10" s="19" t="s">
        <v>579</v>
      </c>
    </row>
    <row r="11" spans="1:4" ht="18" x14ac:dyDescent="0.2">
      <c r="A11" s="18">
        <v>1982</v>
      </c>
      <c r="B11" s="19">
        <v>12</v>
      </c>
      <c r="C11" s="19" t="s">
        <v>580</v>
      </c>
      <c r="D11" s="19" t="s">
        <v>575</v>
      </c>
    </row>
    <row r="12" spans="1:4" ht="18" x14ac:dyDescent="0.2">
      <c r="A12" s="18">
        <v>1986</v>
      </c>
      <c r="B12" s="19">
        <v>8</v>
      </c>
      <c r="C12" s="19" t="s">
        <v>581</v>
      </c>
      <c r="D12" s="19" t="s">
        <v>575</v>
      </c>
    </row>
    <row r="13" spans="1:4" ht="18" x14ac:dyDescent="0.2">
      <c r="A13" s="18">
        <v>1990</v>
      </c>
      <c r="B13" s="19">
        <v>15</v>
      </c>
      <c r="C13" s="19" t="s">
        <v>582</v>
      </c>
      <c r="D13" s="18" t="s">
        <v>570</v>
      </c>
    </row>
    <row r="14" spans="1:4" ht="18" x14ac:dyDescent="0.2">
      <c r="A14" s="18">
        <v>1994</v>
      </c>
      <c r="B14" s="19">
        <v>9</v>
      </c>
      <c r="C14" s="19" t="s">
        <v>583</v>
      </c>
      <c r="D14" s="19" t="s">
        <v>74</v>
      </c>
    </row>
    <row r="15" spans="1:4" ht="18" x14ac:dyDescent="0.2">
      <c r="A15" s="18">
        <v>1998</v>
      </c>
      <c r="B15" s="19">
        <v>8</v>
      </c>
      <c r="C15" s="19" t="s">
        <v>584</v>
      </c>
      <c r="D15" s="19" t="s">
        <v>74</v>
      </c>
    </row>
    <row r="16" spans="1:4" ht="18" x14ac:dyDescent="0.2">
      <c r="A16" s="18">
        <v>2002</v>
      </c>
      <c r="B16" s="19">
        <v>14</v>
      </c>
      <c r="C16" s="19" t="s">
        <v>585</v>
      </c>
      <c r="D16" s="19" t="s">
        <v>575</v>
      </c>
    </row>
    <row r="17" spans="1:4" ht="18" x14ac:dyDescent="0.2">
      <c r="A17" s="18">
        <v>2006</v>
      </c>
      <c r="B17" s="19">
        <v>14</v>
      </c>
      <c r="C17" s="19" t="s">
        <v>585</v>
      </c>
      <c r="D17" s="19" t="s">
        <v>566</v>
      </c>
    </row>
    <row r="18" spans="1:4" ht="18" x14ac:dyDescent="0.2">
      <c r="A18" s="18">
        <v>2010</v>
      </c>
      <c r="B18" s="19">
        <v>16</v>
      </c>
      <c r="C18" s="19" t="s">
        <v>586</v>
      </c>
      <c r="D18" s="19" t="s">
        <v>566</v>
      </c>
    </row>
    <row r="19" spans="1:4" ht="18" x14ac:dyDescent="0.2">
      <c r="A19" s="18">
        <v>2014</v>
      </c>
      <c r="B19" s="19">
        <v>18</v>
      </c>
      <c r="C19" s="19" t="s">
        <v>586</v>
      </c>
      <c r="D19" s="18" t="s">
        <v>570</v>
      </c>
    </row>
    <row r="20" spans="1:4" ht="18" x14ac:dyDescent="0.2">
      <c r="A20" s="18">
        <v>2018</v>
      </c>
      <c r="B20" s="19">
        <v>2</v>
      </c>
      <c r="C20" s="19" t="s">
        <v>587</v>
      </c>
      <c r="D20" s="19" t="s">
        <v>588</v>
      </c>
    </row>
    <row r="21" spans="1:4" ht="18" x14ac:dyDescent="0.2">
      <c r="A21" s="18">
        <v>2022</v>
      </c>
      <c r="B21" s="19">
        <v>6</v>
      </c>
      <c r="C21" s="19" t="s">
        <v>589</v>
      </c>
      <c r="D21" s="19" t="s">
        <v>588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Soccer_world_cup_results _CLEAN</vt:lpstr>
      <vt:lpstr>Soccer_world_cup_results</vt:lpstr>
      <vt:lpstr>Chart 1-Highest Scoring Tourney</vt:lpstr>
      <vt:lpstr>Chart 2-Top Scoring Countries</vt:lpstr>
      <vt:lpstr>Chart 3-Most Finals Appearance</vt:lpstr>
      <vt:lpstr>Chart 4-Most Knock-out Appearan</vt:lpstr>
      <vt:lpstr>Chart 5-Scoring Efficiency</vt:lpstr>
      <vt:lpstr>Color Palette</vt:lpstr>
      <vt:lpstr>Sheet2</vt:lpstr>
      <vt:lpstr>'Chart 4-Most Knock-out Appearan'!Extract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Jeremiah SY</dc:creator>
  <cp:lastModifiedBy>Joseph Jeremiah SY</cp:lastModifiedBy>
  <dcterms:created xsi:type="dcterms:W3CDTF">2026-04-13T15:22:01Z</dcterms:created>
  <dcterms:modified xsi:type="dcterms:W3CDTF">2026-04-16T08:39:33Z</dcterms:modified>
</cp:coreProperties>
</file>